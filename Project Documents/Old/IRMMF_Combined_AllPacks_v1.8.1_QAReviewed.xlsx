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wnloads/"/>
    </mc:Choice>
  </mc:AlternateContent>
  <xr:revisionPtr revIDLastSave="0" documentId="13_ncr:1_{BCCFBA65-A1F4-2945-A77A-6F047F65AAFE}" xr6:coauthVersionLast="47" xr6:coauthVersionMax="47" xr10:uidLastSave="{00000000-0000-0000-0000-000000000000}"/>
  <bookViews>
    <workbookView xWindow="0" yWindow="660" windowWidth="30240" windowHeight="17720" activeTab="6" xr2:uid="{00000000-000D-0000-FFFF-FFFF00000000}"/>
  </bookViews>
  <sheets>
    <sheet name="Metadata" sheetId="1" r:id="rId1"/>
    <sheet name="Reference" sheetId="2" r:id="rId2"/>
    <sheet name="Lists" sheetId="3" r:id="rId3"/>
    <sheet name="PackDefinitions" sheetId="4" r:id="rId4"/>
    <sheet name="PackLayer_Notes" sheetId="5" r:id="rId5"/>
    <sheet name="PackMap" sheetId="6" r:id="rId6"/>
    <sheet name="Questions" sheetId="7" r:id="rId7"/>
    <sheet name="AnswerOptions" sheetId="8" r:id="rId8"/>
    <sheet name="Pack_Table" sheetId="9" r:id="rId9"/>
    <sheet name="Response_Template" sheetId="10" r:id="rId10"/>
    <sheet name="Validation" sheetId="11" r:id="rId11"/>
  </sheets>
  <definedNames>
    <definedName name="_xlnm._FilterDatabase" localSheetId="6" hidden="1">Questions!$A$1:$W$171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21" i="9" l="1"/>
  <c r="AF721" i="9"/>
  <c r="AE721" i="9"/>
  <c r="AD721" i="9"/>
  <c r="AC721" i="9"/>
  <c r="AB721" i="9"/>
  <c r="AA721" i="9"/>
  <c r="Z721" i="9"/>
  <c r="Y721" i="9"/>
  <c r="AG720" i="9"/>
  <c r="AF720" i="9"/>
  <c r="AE720" i="9"/>
  <c r="AD720" i="9"/>
  <c r="AC720" i="9"/>
  <c r="AB720" i="9"/>
  <c r="AA720" i="9"/>
  <c r="Z720" i="9"/>
  <c r="Y720" i="9"/>
  <c r="AG719" i="9"/>
  <c r="AF719" i="9"/>
  <c r="AE719" i="9"/>
  <c r="AD719" i="9"/>
  <c r="AC719" i="9"/>
  <c r="AB719" i="9"/>
  <c r="AA719" i="9"/>
  <c r="Z719" i="9"/>
  <c r="Y719" i="9"/>
  <c r="AG718" i="9"/>
  <c r="AF718" i="9"/>
  <c r="AE718" i="9"/>
  <c r="AD718" i="9"/>
  <c r="AC718" i="9"/>
  <c r="AB718" i="9"/>
  <c r="AA718" i="9"/>
  <c r="Z718" i="9"/>
  <c r="Y718" i="9"/>
  <c r="AG717" i="9"/>
  <c r="AF717" i="9"/>
  <c r="AE717" i="9"/>
  <c r="AD717" i="9"/>
  <c r="AC717" i="9"/>
  <c r="AB717" i="9"/>
  <c r="AA717" i="9"/>
  <c r="Z717" i="9"/>
  <c r="Y717" i="9"/>
  <c r="AG716" i="9"/>
  <c r="AF716" i="9"/>
  <c r="AE716" i="9"/>
  <c r="AD716" i="9"/>
  <c r="AC716" i="9"/>
  <c r="AB716" i="9"/>
  <c r="AA716" i="9"/>
  <c r="Z716" i="9"/>
  <c r="Y716" i="9"/>
  <c r="AG715" i="9"/>
  <c r="AF715" i="9"/>
  <c r="AE715" i="9"/>
  <c r="AD715" i="9"/>
  <c r="AC715" i="9"/>
  <c r="AB715" i="9"/>
  <c r="AA715" i="9"/>
  <c r="Z715" i="9"/>
  <c r="Y715" i="9"/>
  <c r="AG714" i="9"/>
  <c r="AF714" i="9"/>
  <c r="AE714" i="9"/>
  <c r="AD714" i="9"/>
  <c r="AC714" i="9"/>
  <c r="AB714" i="9"/>
  <c r="AA714" i="9"/>
  <c r="Z714" i="9"/>
  <c r="Y714" i="9"/>
  <c r="AG713" i="9"/>
  <c r="AF713" i="9"/>
  <c r="AE713" i="9"/>
  <c r="AD713" i="9"/>
  <c r="AC713" i="9"/>
  <c r="AB713" i="9"/>
  <c r="AA713" i="9"/>
  <c r="Z713" i="9"/>
  <c r="Y713" i="9"/>
  <c r="AG712" i="9"/>
  <c r="AF712" i="9"/>
  <c r="AE712" i="9"/>
  <c r="AD712" i="9"/>
  <c r="AC712" i="9"/>
  <c r="AB712" i="9"/>
  <c r="AA712" i="9"/>
  <c r="Z712" i="9"/>
  <c r="Y712" i="9"/>
  <c r="AG711" i="9"/>
  <c r="AF711" i="9"/>
  <c r="AE711" i="9"/>
  <c r="AD711" i="9"/>
  <c r="AC711" i="9"/>
  <c r="AB711" i="9"/>
  <c r="AA711" i="9"/>
  <c r="Z711" i="9"/>
  <c r="Y711" i="9"/>
  <c r="AG710" i="9"/>
  <c r="AF710" i="9"/>
  <c r="AE710" i="9"/>
  <c r="AD710" i="9"/>
  <c r="AC710" i="9"/>
  <c r="AB710" i="9"/>
  <c r="AA710" i="9"/>
  <c r="Z710" i="9"/>
  <c r="Y710" i="9"/>
  <c r="AG709" i="9"/>
  <c r="AF709" i="9"/>
  <c r="AE709" i="9"/>
  <c r="AD709" i="9"/>
  <c r="AC709" i="9"/>
  <c r="AB709" i="9"/>
  <c r="AA709" i="9"/>
  <c r="Z709" i="9"/>
  <c r="Y709" i="9"/>
  <c r="AG708" i="9"/>
  <c r="AF708" i="9"/>
  <c r="AE708" i="9"/>
  <c r="AD708" i="9"/>
  <c r="AC708" i="9"/>
  <c r="AB708" i="9"/>
  <c r="AA708" i="9"/>
  <c r="Z708" i="9"/>
  <c r="Y708" i="9"/>
  <c r="AG707" i="9"/>
  <c r="AF707" i="9"/>
  <c r="AE707" i="9"/>
  <c r="AD707" i="9"/>
  <c r="AC707" i="9"/>
  <c r="AB707" i="9"/>
  <c r="AA707" i="9"/>
  <c r="Z707" i="9"/>
  <c r="Y707" i="9"/>
  <c r="AG706" i="9"/>
  <c r="AF706" i="9"/>
  <c r="AE706" i="9"/>
  <c r="AD706" i="9"/>
  <c r="AC706" i="9"/>
  <c r="AB706" i="9"/>
  <c r="AA706" i="9"/>
  <c r="Z706" i="9"/>
  <c r="Y706" i="9"/>
  <c r="AG705" i="9"/>
  <c r="AF705" i="9"/>
  <c r="AE705" i="9"/>
  <c r="AD705" i="9"/>
  <c r="AC705" i="9"/>
  <c r="AB705" i="9"/>
  <c r="AA705" i="9"/>
  <c r="Z705" i="9"/>
  <c r="Y705" i="9"/>
  <c r="AG704" i="9"/>
  <c r="AF704" i="9"/>
  <c r="AE704" i="9"/>
  <c r="AD704" i="9"/>
  <c r="AC704" i="9"/>
  <c r="AB704" i="9"/>
  <c r="AA704" i="9"/>
  <c r="Z704" i="9"/>
  <c r="Y704" i="9"/>
  <c r="AG703" i="9"/>
  <c r="AF703" i="9"/>
  <c r="AE703" i="9"/>
  <c r="AD703" i="9"/>
  <c r="AC703" i="9"/>
  <c r="AB703" i="9"/>
  <c r="AA703" i="9"/>
  <c r="Z703" i="9"/>
  <c r="Y703" i="9"/>
  <c r="AG702" i="9"/>
  <c r="AF702" i="9"/>
  <c r="AE702" i="9"/>
  <c r="AD702" i="9"/>
  <c r="AC702" i="9"/>
  <c r="AB702" i="9"/>
  <c r="AA702" i="9"/>
  <c r="Z702" i="9"/>
  <c r="Y702" i="9"/>
  <c r="AG701" i="9"/>
  <c r="AF701" i="9"/>
  <c r="AE701" i="9"/>
  <c r="AD701" i="9"/>
  <c r="AC701" i="9"/>
  <c r="AB701" i="9"/>
  <c r="AA701" i="9"/>
  <c r="Z701" i="9"/>
  <c r="Y701" i="9"/>
  <c r="AG700" i="9"/>
  <c r="AF700" i="9"/>
  <c r="AE700" i="9"/>
  <c r="AD700" i="9"/>
  <c r="AC700" i="9"/>
  <c r="AB700" i="9"/>
  <c r="AA700" i="9"/>
  <c r="Z700" i="9"/>
  <c r="Y700" i="9"/>
  <c r="AG699" i="9"/>
  <c r="AF699" i="9"/>
  <c r="AE699" i="9"/>
  <c r="AD699" i="9"/>
  <c r="AC699" i="9"/>
  <c r="AB699" i="9"/>
  <c r="AA699" i="9"/>
  <c r="Z699" i="9"/>
  <c r="Y699" i="9"/>
  <c r="AG698" i="9"/>
  <c r="AF698" i="9"/>
  <c r="AE698" i="9"/>
  <c r="AD698" i="9"/>
  <c r="AC698" i="9"/>
  <c r="AB698" i="9"/>
  <c r="AA698" i="9"/>
  <c r="Z698" i="9"/>
  <c r="Y698" i="9"/>
  <c r="AG697" i="9"/>
  <c r="AF697" i="9"/>
  <c r="AE697" i="9"/>
  <c r="AD697" i="9"/>
  <c r="AC697" i="9"/>
  <c r="AB697" i="9"/>
  <c r="AA697" i="9"/>
  <c r="Z697" i="9"/>
  <c r="Y697" i="9"/>
  <c r="AG696" i="9"/>
  <c r="AF696" i="9"/>
  <c r="AE696" i="9"/>
  <c r="AD696" i="9"/>
  <c r="AC696" i="9"/>
  <c r="AB696" i="9"/>
  <c r="AA696" i="9"/>
  <c r="Z696" i="9"/>
  <c r="Y696" i="9"/>
  <c r="AG695" i="9"/>
  <c r="AF695" i="9"/>
  <c r="AE695" i="9"/>
  <c r="AD695" i="9"/>
  <c r="AC695" i="9"/>
  <c r="AB695" i="9"/>
  <c r="AA695" i="9"/>
  <c r="Z695" i="9"/>
  <c r="Y695" i="9"/>
  <c r="AG694" i="9"/>
  <c r="AF694" i="9"/>
  <c r="AE694" i="9"/>
  <c r="AD694" i="9"/>
  <c r="AC694" i="9"/>
  <c r="AB694" i="9"/>
  <c r="AA694" i="9"/>
  <c r="Z694" i="9"/>
  <c r="Y694" i="9"/>
  <c r="AG693" i="9"/>
  <c r="AF693" i="9"/>
  <c r="AE693" i="9"/>
  <c r="AD693" i="9"/>
  <c r="AC693" i="9"/>
  <c r="AB693" i="9"/>
  <c r="AA693" i="9"/>
  <c r="Z693" i="9"/>
  <c r="Y693" i="9"/>
  <c r="AG692" i="9"/>
  <c r="AF692" i="9"/>
  <c r="AE692" i="9"/>
  <c r="AD692" i="9"/>
  <c r="AC692" i="9"/>
  <c r="AB692" i="9"/>
  <c r="AA692" i="9"/>
  <c r="Z692" i="9"/>
  <c r="Y692" i="9"/>
  <c r="AG691" i="9"/>
  <c r="AF691" i="9"/>
  <c r="AE691" i="9"/>
  <c r="AD691" i="9"/>
  <c r="AC691" i="9"/>
  <c r="AB691" i="9"/>
  <c r="AA691" i="9"/>
  <c r="Z691" i="9"/>
  <c r="Y691" i="9"/>
  <c r="AG690" i="9"/>
  <c r="AF690" i="9"/>
  <c r="AE690" i="9"/>
  <c r="AD690" i="9"/>
  <c r="AC690" i="9"/>
  <c r="AB690" i="9"/>
  <c r="AA690" i="9"/>
  <c r="Z690" i="9"/>
  <c r="Y690" i="9"/>
  <c r="AG689" i="9"/>
  <c r="AF689" i="9"/>
  <c r="AE689" i="9"/>
  <c r="AD689" i="9"/>
  <c r="AC689" i="9"/>
  <c r="AB689" i="9"/>
  <c r="AA689" i="9"/>
  <c r="Z689" i="9"/>
  <c r="Y689" i="9"/>
  <c r="AG688" i="9"/>
  <c r="AF688" i="9"/>
  <c r="AE688" i="9"/>
  <c r="AD688" i="9"/>
  <c r="AC688" i="9"/>
  <c r="AB688" i="9"/>
  <c r="AA688" i="9"/>
  <c r="Z688" i="9"/>
  <c r="Y688" i="9"/>
  <c r="AG687" i="9"/>
  <c r="AF687" i="9"/>
  <c r="AE687" i="9"/>
  <c r="AD687" i="9"/>
  <c r="AC687" i="9"/>
  <c r="AB687" i="9"/>
  <c r="AA687" i="9"/>
  <c r="Z687" i="9"/>
  <c r="Y687" i="9"/>
  <c r="AG686" i="9"/>
  <c r="AF686" i="9"/>
  <c r="AE686" i="9"/>
  <c r="AD686" i="9"/>
  <c r="AC686" i="9"/>
  <c r="AB686" i="9"/>
  <c r="AA686" i="9"/>
  <c r="Z686" i="9"/>
  <c r="Y686" i="9"/>
  <c r="AG685" i="9"/>
  <c r="AF685" i="9"/>
  <c r="AE685" i="9"/>
  <c r="AD685" i="9"/>
  <c r="AC685" i="9"/>
  <c r="AB685" i="9"/>
  <c r="AA685" i="9"/>
  <c r="Z685" i="9"/>
  <c r="Y685" i="9"/>
  <c r="AG684" i="9"/>
  <c r="AF684" i="9"/>
  <c r="AE684" i="9"/>
  <c r="AD684" i="9"/>
  <c r="AC684" i="9"/>
  <c r="AB684" i="9"/>
  <c r="AA684" i="9"/>
  <c r="Z684" i="9"/>
  <c r="Y684" i="9"/>
  <c r="AG683" i="9"/>
  <c r="AF683" i="9"/>
  <c r="AE683" i="9"/>
  <c r="AD683" i="9"/>
  <c r="AC683" i="9"/>
  <c r="AB683" i="9"/>
  <c r="AA683" i="9"/>
  <c r="Z683" i="9"/>
  <c r="Y683" i="9"/>
  <c r="AG682" i="9"/>
  <c r="AF682" i="9"/>
  <c r="AE682" i="9"/>
  <c r="AD682" i="9"/>
  <c r="AC682" i="9"/>
  <c r="AB682" i="9"/>
  <c r="AA682" i="9"/>
  <c r="Z682" i="9"/>
  <c r="Y682" i="9"/>
  <c r="AG681" i="9"/>
  <c r="AF681" i="9"/>
  <c r="AE681" i="9"/>
  <c r="AD681" i="9"/>
  <c r="AC681" i="9"/>
  <c r="AB681" i="9"/>
  <c r="AA681" i="9"/>
  <c r="Z681" i="9"/>
  <c r="Y681" i="9"/>
  <c r="AG680" i="9"/>
  <c r="AF680" i="9"/>
  <c r="AE680" i="9"/>
  <c r="AD680" i="9"/>
  <c r="AC680" i="9"/>
  <c r="AB680" i="9"/>
  <c r="AA680" i="9"/>
  <c r="Z680" i="9"/>
  <c r="Y680" i="9"/>
  <c r="AG679" i="9"/>
  <c r="AF679" i="9"/>
  <c r="AE679" i="9"/>
  <c r="AD679" i="9"/>
  <c r="AC679" i="9"/>
  <c r="AB679" i="9"/>
  <c r="AA679" i="9"/>
  <c r="Z679" i="9"/>
  <c r="Y679" i="9"/>
  <c r="AG678" i="9"/>
  <c r="AF678" i="9"/>
  <c r="AE678" i="9"/>
  <c r="AD678" i="9"/>
  <c r="AC678" i="9"/>
  <c r="AB678" i="9"/>
  <c r="AA678" i="9"/>
  <c r="Z678" i="9"/>
  <c r="Y678" i="9"/>
  <c r="AG677" i="9"/>
  <c r="AF677" i="9"/>
  <c r="AE677" i="9"/>
  <c r="AD677" i="9"/>
  <c r="AC677" i="9"/>
  <c r="AB677" i="9"/>
  <c r="AA677" i="9"/>
  <c r="Z677" i="9"/>
  <c r="Y677" i="9"/>
  <c r="AG676" i="9"/>
  <c r="AF676" i="9"/>
  <c r="AE676" i="9"/>
  <c r="AD676" i="9"/>
  <c r="AC676" i="9"/>
  <c r="AB676" i="9"/>
  <c r="AA676" i="9"/>
  <c r="Z676" i="9"/>
  <c r="Y676" i="9"/>
  <c r="AG675" i="9"/>
  <c r="AF675" i="9"/>
  <c r="AE675" i="9"/>
  <c r="AD675" i="9"/>
  <c r="AC675" i="9"/>
  <c r="AB675" i="9"/>
  <c r="AA675" i="9"/>
  <c r="Z675" i="9"/>
  <c r="Y675" i="9"/>
  <c r="AG674" i="9"/>
  <c r="AF674" i="9"/>
  <c r="AE674" i="9"/>
  <c r="AD674" i="9"/>
  <c r="AC674" i="9"/>
  <c r="AB674" i="9"/>
  <c r="AA674" i="9"/>
  <c r="Z674" i="9"/>
  <c r="Y674" i="9"/>
  <c r="AG673" i="9"/>
  <c r="AF673" i="9"/>
  <c r="AE673" i="9"/>
  <c r="AD673" i="9"/>
  <c r="AC673" i="9"/>
  <c r="AB673" i="9"/>
  <c r="AA673" i="9"/>
  <c r="Z673" i="9"/>
  <c r="Y673" i="9"/>
  <c r="AG672" i="9"/>
  <c r="AF672" i="9"/>
  <c r="AE672" i="9"/>
  <c r="AD672" i="9"/>
  <c r="AC672" i="9"/>
  <c r="AB672" i="9"/>
  <c r="AA672" i="9"/>
  <c r="Z672" i="9"/>
  <c r="Y672" i="9"/>
  <c r="AG671" i="9"/>
  <c r="AF671" i="9"/>
  <c r="AE671" i="9"/>
  <c r="AD671" i="9"/>
  <c r="AC671" i="9"/>
  <c r="AB671" i="9"/>
  <c r="AA671" i="9"/>
  <c r="Z671" i="9"/>
  <c r="Y671" i="9"/>
  <c r="AG670" i="9"/>
  <c r="AF670" i="9"/>
  <c r="AE670" i="9"/>
  <c r="AD670" i="9"/>
  <c r="AC670" i="9"/>
  <c r="AB670" i="9"/>
  <c r="AA670" i="9"/>
  <c r="Z670" i="9"/>
  <c r="Y670" i="9"/>
  <c r="AG669" i="9"/>
  <c r="AF669" i="9"/>
  <c r="AE669" i="9"/>
  <c r="AD669" i="9"/>
  <c r="AC669" i="9"/>
  <c r="AB669" i="9"/>
  <c r="AA669" i="9"/>
  <c r="Z669" i="9"/>
  <c r="Y669" i="9"/>
  <c r="AG668" i="9"/>
  <c r="AF668" i="9"/>
  <c r="AE668" i="9"/>
  <c r="AD668" i="9"/>
  <c r="AC668" i="9"/>
  <c r="AB668" i="9"/>
  <c r="AA668" i="9"/>
  <c r="Z668" i="9"/>
  <c r="Y668" i="9"/>
  <c r="AG667" i="9"/>
  <c r="AF667" i="9"/>
  <c r="AE667" i="9"/>
  <c r="AD667" i="9"/>
  <c r="AC667" i="9"/>
  <c r="AB667" i="9"/>
  <c r="AA667" i="9"/>
  <c r="Z667" i="9"/>
  <c r="Y667" i="9"/>
  <c r="AG666" i="9"/>
  <c r="AF666" i="9"/>
  <c r="AE666" i="9"/>
  <c r="AD666" i="9"/>
  <c r="AC666" i="9"/>
  <c r="AB666" i="9"/>
  <c r="AA666" i="9"/>
  <c r="Z666" i="9"/>
  <c r="Y666" i="9"/>
  <c r="AG665" i="9"/>
  <c r="AF665" i="9"/>
  <c r="AE665" i="9"/>
  <c r="AD665" i="9"/>
  <c r="AC665" i="9"/>
  <c r="AB665" i="9"/>
  <c r="AA665" i="9"/>
  <c r="Z665" i="9"/>
  <c r="Y665" i="9"/>
  <c r="AG664" i="9"/>
  <c r="AF664" i="9"/>
  <c r="AE664" i="9"/>
  <c r="AD664" i="9"/>
  <c r="AC664" i="9"/>
  <c r="AB664" i="9"/>
  <c r="AA664" i="9"/>
  <c r="Z664" i="9"/>
  <c r="Y664" i="9"/>
  <c r="AG663" i="9"/>
  <c r="AF663" i="9"/>
  <c r="AE663" i="9"/>
  <c r="AD663" i="9"/>
  <c r="AC663" i="9"/>
  <c r="AB663" i="9"/>
  <c r="AA663" i="9"/>
  <c r="Z663" i="9"/>
  <c r="Y663" i="9"/>
  <c r="AG662" i="9"/>
  <c r="AF662" i="9"/>
  <c r="AE662" i="9"/>
  <c r="AD662" i="9"/>
  <c r="AC662" i="9"/>
  <c r="AB662" i="9"/>
  <c r="AA662" i="9"/>
  <c r="Z662" i="9"/>
  <c r="Y662" i="9"/>
  <c r="AG661" i="9"/>
  <c r="AF661" i="9"/>
  <c r="AE661" i="9"/>
  <c r="AD661" i="9"/>
  <c r="AC661" i="9"/>
  <c r="AB661" i="9"/>
  <c r="AA661" i="9"/>
  <c r="Z661" i="9"/>
  <c r="Y661" i="9"/>
  <c r="AG660" i="9"/>
  <c r="AF660" i="9"/>
  <c r="AE660" i="9"/>
  <c r="AD660" i="9"/>
  <c r="AC660" i="9"/>
  <c r="AB660" i="9"/>
  <c r="AA660" i="9"/>
  <c r="Z660" i="9"/>
  <c r="Y660" i="9"/>
  <c r="AG659" i="9"/>
  <c r="AF659" i="9"/>
  <c r="AE659" i="9"/>
  <c r="AD659" i="9"/>
  <c r="AC659" i="9"/>
  <c r="AB659" i="9"/>
  <c r="AA659" i="9"/>
  <c r="Z659" i="9"/>
  <c r="Y659" i="9"/>
  <c r="AG658" i="9"/>
  <c r="AF658" i="9"/>
  <c r="AE658" i="9"/>
  <c r="AD658" i="9"/>
  <c r="AC658" i="9"/>
  <c r="AB658" i="9"/>
  <c r="AA658" i="9"/>
  <c r="Z658" i="9"/>
  <c r="Y658" i="9"/>
  <c r="AG657" i="9"/>
  <c r="AF657" i="9"/>
  <c r="AE657" i="9"/>
  <c r="AD657" i="9"/>
  <c r="AC657" i="9"/>
  <c r="AB657" i="9"/>
  <c r="AA657" i="9"/>
  <c r="Z657" i="9"/>
  <c r="Y657" i="9"/>
  <c r="AG656" i="9"/>
  <c r="AF656" i="9"/>
  <c r="AE656" i="9"/>
  <c r="AD656" i="9"/>
  <c r="AC656" i="9"/>
  <c r="AB656" i="9"/>
  <c r="AA656" i="9"/>
  <c r="Z656" i="9"/>
  <c r="Y656" i="9"/>
  <c r="AG655" i="9"/>
  <c r="AF655" i="9"/>
  <c r="AE655" i="9"/>
  <c r="AD655" i="9"/>
  <c r="AC655" i="9"/>
  <c r="AB655" i="9"/>
  <c r="AA655" i="9"/>
  <c r="Z655" i="9"/>
  <c r="Y655" i="9"/>
  <c r="AG654" i="9"/>
  <c r="AF654" i="9"/>
  <c r="AE654" i="9"/>
  <c r="AD654" i="9"/>
  <c r="AC654" i="9"/>
  <c r="AB654" i="9"/>
  <c r="AA654" i="9"/>
  <c r="Z654" i="9"/>
  <c r="Y654" i="9"/>
  <c r="AG653" i="9"/>
  <c r="AF653" i="9"/>
  <c r="AE653" i="9"/>
  <c r="AD653" i="9"/>
  <c r="AC653" i="9"/>
  <c r="AB653" i="9"/>
  <c r="AA653" i="9"/>
  <c r="Z653" i="9"/>
  <c r="Y653" i="9"/>
  <c r="AG652" i="9"/>
  <c r="AF652" i="9"/>
  <c r="AE652" i="9"/>
  <c r="AD652" i="9"/>
  <c r="AC652" i="9"/>
  <c r="AB652" i="9"/>
  <c r="AA652" i="9"/>
  <c r="Z652" i="9"/>
  <c r="Y652" i="9"/>
  <c r="AG651" i="9"/>
  <c r="AF651" i="9"/>
  <c r="AE651" i="9"/>
  <c r="AD651" i="9"/>
  <c r="AC651" i="9"/>
  <c r="AB651" i="9"/>
  <c r="AA651" i="9"/>
  <c r="Z651" i="9"/>
  <c r="Y651" i="9"/>
  <c r="AG650" i="9"/>
  <c r="AF650" i="9"/>
  <c r="AE650" i="9"/>
  <c r="AD650" i="9"/>
  <c r="AC650" i="9"/>
  <c r="AB650" i="9"/>
  <c r="AA650" i="9"/>
  <c r="Z650" i="9"/>
  <c r="Y650" i="9"/>
  <c r="AG649" i="9"/>
  <c r="AF649" i="9"/>
  <c r="AE649" i="9"/>
  <c r="AD649" i="9"/>
  <c r="AC649" i="9"/>
  <c r="AB649" i="9"/>
  <c r="AA649" i="9"/>
  <c r="Z649" i="9"/>
  <c r="Y649" i="9"/>
  <c r="AG648" i="9"/>
  <c r="AF648" i="9"/>
  <c r="AE648" i="9"/>
  <c r="AD648" i="9"/>
  <c r="AC648" i="9"/>
  <c r="AB648" i="9"/>
  <c r="AA648" i="9"/>
  <c r="Z648" i="9"/>
  <c r="Y648" i="9"/>
  <c r="AG647" i="9"/>
  <c r="AF647" i="9"/>
  <c r="AE647" i="9"/>
  <c r="AD647" i="9"/>
  <c r="AC647" i="9"/>
  <c r="AB647" i="9"/>
  <c r="AA647" i="9"/>
  <c r="Z647" i="9"/>
  <c r="Y647" i="9"/>
  <c r="AG646" i="9"/>
  <c r="AF646" i="9"/>
  <c r="AE646" i="9"/>
  <c r="AD646" i="9"/>
  <c r="AC646" i="9"/>
  <c r="AB646" i="9"/>
  <c r="AA646" i="9"/>
  <c r="Z646" i="9"/>
  <c r="Y646" i="9"/>
  <c r="AG645" i="9"/>
  <c r="AF645" i="9"/>
  <c r="AE645" i="9"/>
  <c r="AD645" i="9"/>
  <c r="AC645" i="9"/>
  <c r="AB645" i="9"/>
  <c r="AA645" i="9"/>
  <c r="Z645" i="9"/>
  <c r="Y645" i="9"/>
  <c r="AG644" i="9"/>
  <c r="AF644" i="9"/>
  <c r="AE644" i="9"/>
  <c r="AD644" i="9"/>
  <c r="AC644" i="9"/>
  <c r="AB644" i="9"/>
  <c r="AA644" i="9"/>
  <c r="Z644" i="9"/>
  <c r="Y644" i="9"/>
  <c r="AG643" i="9"/>
  <c r="AF643" i="9"/>
  <c r="AE643" i="9"/>
  <c r="AD643" i="9"/>
  <c r="AC643" i="9"/>
  <c r="AB643" i="9"/>
  <c r="AA643" i="9"/>
  <c r="Z643" i="9"/>
  <c r="Y643" i="9"/>
  <c r="AG642" i="9"/>
  <c r="AF642" i="9"/>
  <c r="AE642" i="9"/>
  <c r="AD642" i="9"/>
  <c r="AC642" i="9"/>
  <c r="AB642" i="9"/>
  <c r="AA642" i="9"/>
  <c r="Z642" i="9"/>
  <c r="Y642" i="9"/>
  <c r="AG641" i="9"/>
  <c r="AF641" i="9"/>
  <c r="AE641" i="9"/>
  <c r="AD641" i="9"/>
  <c r="AC641" i="9"/>
  <c r="AB641" i="9"/>
  <c r="AA641" i="9"/>
  <c r="Z641" i="9"/>
  <c r="Y641" i="9"/>
  <c r="AG640" i="9"/>
  <c r="AF640" i="9"/>
  <c r="AE640" i="9"/>
  <c r="AD640" i="9"/>
  <c r="AC640" i="9"/>
  <c r="AB640" i="9"/>
  <c r="AA640" i="9"/>
  <c r="Z640" i="9"/>
  <c r="Y640" i="9"/>
  <c r="AG639" i="9"/>
  <c r="AF639" i="9"/>
  <c r="AE639" i="9"/>
  <c r="AD639" i="9"/>
  <c r="AC639" i="9"/>
  <c r="AB639" i="9"/>
  <c r="AA639" i="9"/>
  <c r="Z639" i="9"/>
  <c r="Y639" i="9"/>
  <c r="AG638" i="9"/>
  <c r="AF638" i="9"/>
  <c r="AE638" i="9"/>
  <c r="AD638" i="9"/>
  <c r="AC638" i="9"/>
  <c r="AB638" i="9"/>
  <c r="AA638" i="9"/>
  <c r="Z638" i="9"/>
  <c r="Y638" i="9"/>
  <c r="AG637" i="9"/>
  <c r="AF637" i="9"/>
  <c r="AE637" i="9"/>
  <c r="AD637" i="9"/>
  <c r="AC637" i="9"/>
  <c r="AB637" i="9"/>
  <c r="AA637" i="9"/>
  <c r="Z637" i="9"/>
  <c r="Y637" i="9"/>
  <c r="AG636" i="9"/>
  <c r="AF636" i="9"/>
  <c r="AE636" i="9"/>
  <c r="AD636" i="9"/>
  <c r="AC636" i="9"/>
  <c r="AB636" i="9"/>
  <c r="AA636" i="9"/>
  <c r="Z636" i="9"/>
  <c r="Y636" i="9"/>
  <c r="AG635" i="9"/>
  <c r="AF635" i="9"/>
  <c r="AE635" i="9"/>
  <c r="AD635" i="9"/>
  <c r="AC635" i="9"/>
  <c r="AB635" i="9"/>
  <c r="AA635" i="9"/>
  <c r="Z635" i="9"/>
  <c r="Y635" i="9"/>
  <c r="AG634" i="9"/>
  <c r="AF634" i="9"/>
  <c r="AE634" i="9"/>
  <c r="AD634" i="9"/>
  <c r="AC634" i="9"/>
  <c r="AB634" i="9"/>
  <c r="AA634" i="9"/>
  <c r="Z634" i="9"/>
  <c r="Y634" i="9"/>
  <c r="AG633" i="9"/>
  <c r="AF633" i="9"/>
  <c r="AE633" i="9"/>
  <c r="AD633" i="9"/>
  <c r="AC633" i="9"/>
  <c r="AB633" i="9"/>
  <c r="AA633" i="9"/>
  <c r="Z633" i="9"/>
  <c r="Y633" i="9"/>
  <c r="AG632" i="9"/>
  <c r="AF632" i="9"/>
  <c r="AE632" i="9"/>
  <c r="AD632" i="9"/>
  <c r="AC632" i="9"/>
  <c r="AB632" i="9"/>
  <c r="AA632" i="9"/>
  <c r="Z632" i="9"/>
  <c r="Y632" i="9"/>
  <c r="AG631" i="9"/>
  <c r="AF631" i="9"/>
  <c r="AE631" i="9"/>
  <c r="AD631" i="9"/>
  <c r="AC631" i="9"/>
  <c r="AB631" i="9"/>
  <c r="AA631" i="9"/>
  <c r="Z631" i="9"/>
  <c r="Y631" i="9"/>
  <c r="AG630" i="9"/>
  <c r="AF630" i="9"/>
  <c r="AE630" i="9"/>
  <c r="AD630" i="9"/>
  <c r="AC630" i="9"/>
  <c r="AB630" i="9"/>
  <c r="AA630" i="9"/>
  <c r="Z630" i="9"/>
  <c r="Y630" i="9"/>
  <c r="AG629" i="9"/>
  <c r="AF629" i="9"/>
  <c r="AE629" i="9"/>
  <c r="AD629" i="9"/>
  <c r="AC629" i="9"/>
  <c r="AB629" i="9"/>
  <c r="AA629" i="9"/>
  <c r="Z629" i="9"/>
  <c r="Y629" i="9"/>
  <c r="AG628" i="9"/>
  <c r="AF628" i="9"/>
  <c r="AE628" i="9"/>
  <c r="AD628" i="9"/>
  <c r="AC628" i="9"/>
  <c r="AB628" i="9"/>
  <c r="AA628" i="9"/>
  <c r="Z628" i="9"/>
  <c r="Y628" i="9"/>
  <c r="AG627" i="9"/>
  <c r="AF627" i="9"/>
  <c r="AE627" i="9"/>
  <c r="AD627" i="9"/>
  <c r="AC627" i="9"/>
  <c r="AB627" i="9"/>
  <c r="AA627" i="9"/>
  <c r="Z627" i="9"/>
  <c r="Y627" i="9"/>
  <c r="AG626" i="9"/>
  <c r="AF626" i="9"/>
  <c r="AE626" i="9"/>
  <c r="AD626" i="9"/>
  <c r="AC626" i="9"/>
  <c r="AB626" i="9"/>
  <c r="AA626" i="9"/>
  <c r="Z626" i="9"/>
  <c r="Y626" i="9"/>
  <c r="AG625" i="9"/>
  <c r="AF625" i="9"/>
  <c r="AE625" i="9"/>
  <c r="AD625" i="9"/>
  <c r="AC625" i="9"/>
  <c r="AB625" i="9"/>
  <c r="AA625" i="9"/>
  <c r="Z625" i="9"/>
  <c r="Y625" i="9"/>
  <c r="AG624" i="9"/>
  <c r="AF624" i="9"/>
  <c r="AE624" i="9"/>
  <c r="AD624" i="9"/>
  <c r="AC624" i="9"/>
  <c r="AB624" i="9"/>
  <c r="AA624" i="9"/>
  <c r="Z624" i="9"/>
  <c r="Y624" i="9"/>
  <c r="AG623" i="9"/>
  <c r="AF623" i="9"/>
  <c r="AE623" i="9"/>
  <c r="AD623" i="9"/>
  <c r="AC623" i="9"/>
  <c r="AB623" i="9"/>
  <c r="AA623" i="9"/>
  <c r="Z623" i="9"/>
  <c r="Y623" i="9"/>
  <c r="AG622" i="9"/>
  <c r="AF622" i="9"/>
  <c r="AE622" i="9"/>
  <c r="AD622" i="9"/>
  <c r="AC622" i="9"/>
  <c r="AB622" i="9"/>
  <c r="AA622" i="9"/>
  <c r="Z622" i="9"/>
  <c r="Y622" i="9"/>
  <c r="AG621" i="9"/>
  <c r="AF621" i="9"/>
  <c r="AE621" i="9"/>
  <c r="AD621" i="9"/>
  <c r="AC621" i="9"/>
  <c r="AB621" i="9"/>
  <c r="AA621" i="9"/>
  <c r="Z621" i="9"/>
  <c r="Y621" i="9"/>
  <c r="AG620" i="9"/>
  <c r="AF620" i="9"/>
  <c r="AE620" i="9"/>
  <c r="AD620" i="9"/>
  <c r="AC620" i="9"/>
  <c r="AB620" i="9"/>
  <c r="AA620" i="9"/>
  <c r="Z620" i="9"/>
  <c r="Y620" i="9"/>
  <c r="AG619" i="9"/>
  <c r="AF619" i="9"/>
  <c r="AE619" i="9"/>
  <c r="AD619" i="9"/>
  <c r="AC619" i="9"/>
  <c r="AB619" i="9"/>
  <c r="AA619" i="9"/>
  <c r="Z619" i="9"/>
  <c r="Y619" i="9"/>
  <c r="AG618" i="9"/>
  <c r="AF618" i="9"/>
  <c r="AE618" i="9"/>
  <c r="AD618" i="9"/>
  <c r="AC618" i="9"/>
  <c r="AB618" i="9"/>
  <c r="AA618" i="9"/>
  <c r="Z618" i="9"/>
  <c r="Y618" i="9"/>
  <c r="AG617" i="9"/>
  <c r="AF617" i="9"/>
  <c r="AE617" i="9"/>
  <c r="AD617" i="9"/>
  <c r="AC617" i="9"/>
  <c r="AB617" i="9"/>
  <c r="AA617" i="9"/>
  <c r="Z617" i="9"/>
  <c r="Y617" i="9"/>
  <c r="AG616" i="9"/>
  <c r="AF616" i="9"/>
  <c r="AE616" i="9"/>
  <c r="AD616" i="9"/>
  <c r="AC616" i="9"/>
  <c r="AB616" i="9"/>
  <c r="AA616" i="9"/>
  <c r="Z616" i="9"/>
  <c r="Y616" i="9"/>
  <c r="AG615" i="9"/>
  <c r="AF615" i="9"/>
  <c r="AE615" i="9"/>
  <c r="AD615" i="9"/>
  <c r="AC615" i="9"/>
  <c r="AB615" i="9"/>
  <c r="AA615" i="9"/>
  <c r="Z615" i="9"/>
  <c r="Y615" i="9"/>
  <c r="AG614" i="9"/>
  <c r="AF614" i="9"/>
  <c r="AE614" i="9"/>
  <c r="AD614" i="9"/>
  <c r="AC614" i="9"/>
  <c r="AB614" i="9"/>
  <c r="AA614" i="9"/>
  <c r="Z614" i="9"/>
  <c r="Y614" i="9"/>
  <c r="AG613" i="9"/>
  <c r="AF613" i="9"/>
  <c r="AE613" i="9"/>
  <c r="AD613" i="9"/>
  <c r="AC613" i="9"/>
  <c r="AB613" i="9"/>
  <c r="AA613" i="9"/>
  <c r="Z613" i="9"/>
  <c r="Y613" i="9"/>
  <c r="AG612" i="9"/>
  <c r="AF612" i="9"/>
  <c r="AE612" i="9"/>
  <c r="AD612" i="9"/>
  <c r="AC612" i="9"/>
  <c r="AB612" i="9"/>
  <c r="AA612" i="9"/>
  <c r="Z612" i="9"/>
  <c r="Y612" i="9"/>
  <c r="AG611" i="9"/>
  <c r="AF611" i="9"/>
  <c r="AE611" i="9"/>
  <c r="AD611" i="9"/>
  <c r="AC611" i="9"/>
  <c r="AB611" i="9"/>
  <c r="AA611" i="9"/>
  <c r="Z611" i="9"/>
  <c r="Y611" i="9"/>
  <c r="AG610" i="9"/>
  <c r="AF610" i="9"/>
  <c r="AE610" i="9"/>
  <c r="AD610" i="9"/>
  <c r="AC610" i="9"/>
  <c r="AB610" i="9"/>
  <c r="AA610" i="9"/>
  <c r="Z610" i="9"/>
  <c r="Y610" i="9"/>
  <c r="AG609" i="9"/>
  <c r="AF609" i="9"/>
  <c r="AE609" i="9"/>
  <c r="AD609" i="9"/>
  <c r="AC609" i="9"/>
  <c r="AB609" i="9"/>
  <c r="AA609" i="9"/>
  <c r="Z609" i="9"/>
  <c r="Y609" i="9"/>
  <c r="AG608" i="9"/>
  <c r="AF608" i="9"/>
  <c r="AE608" i="9"/>
  <c r="AD608" i="9"/>
  <c r="AC608" i="9"/>
  <c r="AB608" i="9"/>
  <c r="AA608" i="9"/>
  <c r="Z608" i="9"/>
  <c r="Y608" i="9"/>
  <c r="AG607" i="9"/>
  <c r="AF607" i="9"/>
  <c r="AE607" i="9"/>
  <c r="AD607" i="9"/>
  <c r="AC607" i="9"/>
  <c r="AB607" i="9"/>
  <c r="AA607" i="9"/>
  <c r="Z607" i="9"/>
  <c r="Y607" i="9"/>
  <c r="AG606" i="9"/>
  <c r="AF606" i="9"/>
  <c r="AE606" i="9"/>
  <c r="AD606" i="9"/>
  <c r="AC606" i="9"/>
  <c r="AB606" i="9"/>
  <c r="AA606" i="9"/>
  <c r="Z606" i="9"/>
  <c r="Y606" i="9"/>
  <c r="AG605" i="9"/>
  <c r="AF605" i="9"/>
  <c r="AE605" i="9"/>
  <c r="AD605" i="9"/>
  <c r="AC605" i="9"/>
  <c r="AB605" i="9"/>
  <c r="AA605" i="9"/>
  <c r="Z605" i="9"/>
  <c r="Y605" i="9"/>
  <c r="AG604" i="9"/>
  <c r="AF604" i="9"/>
  <c r="AE604" i="9"/>
  <c r="AD604" i="9"/>
  <c r="AC604" i="9"/>
  <c r="AB604" i="9"/>
  <c r="AA604" i="9"/>
  <c r="Z604" i="9"/>
  <c r="Y604" i="9"/>
  <c r="AG603" i="9"/>
  <c r="AF603" i="9"/>
  <c r="AE603" i="9"/>
  <c r="AD603" i="9"/>
  <c r="AC603" i="9"/>
  <c r="AB603" i="9"/>
  <c r="AA603" i="9"/>
  <c r="Z603" i="9"/>
  <c r="Y603" i="9"/>
  <c r="AG602" i="9"/>
  <c r="AF602" i="9"/>
  <c r="AE602" i="9"/>
  <c r="AD602" i="9"/>
  <c r="AC602" i="9"/>
  <c r="AB602" i="9"/>
  <c r="AA602" i="9"/>
  <c r="Z602" i="9"/>
  <c r="Y602" i="9"/>
  <c r="AG601" i="9"/>
  <c r="AF601" i="9"/>
  <c r="AE601" i="9"/>
  <c r="AD601" i="9"/>
  <c r="AC601" i="9"/>
  <c r="AB601" i="9"/>
  <c r="AA601" i="9"/>
  <c r="Z601" i="9"/>
  <c r="Y601" i="9"/>
  <c r="AG600" i="9"/>
  <c r="AF600" i="9"/>
  <c r="AE600" i="9"/>
  <c r="AD600" i="9"/>
  <c r="AC600" i="9"/>
  <c r="AB600" i="9"/>
  <c r="AA600" i="9"/>
  <c r="Z600" i="9"/>
  <c r="Y600" i="9"/>
  <c r="AG599" i="9"/>
  <c r="AF599" i="9"/>
  <c r="AE599" i="9"/>
  <c r="AD599" i="9"/>
  <c r="AC599" i="9"/>
  <c r="AB599" i="9"/>
  <c r="AA599" i="9"/>
  <c r="Z599" i="9"/>
  <c r="Y599" i="9"/>
  <c r="AG598" i="9"/>
  <c r="AF598" i="9"/>
  <c r="AE598" i="9"/>
  <c r="AD598" i="9"/>
  <c r="AC598" i="9"/>
  <c r="AB598" i="9"/>
  <c r="AA598" i="9"/>
  <c r="Z598" i="9"/>
  <c r="Y598" i="9"/>
  <c r="AG597" i="9"/>
  <c r="AF597" i="9"/>
  <c r="AE597" i="9"/>
  <c r="AD597" i="9"/>
  <c r="AC597" i="9"/>
  <c r="AB597" i="9"/>
  <c r="AA597" i="9"/>
  <c r="Z597" i="9"/>
  <c r="Y597" i="9"/>
  <c r="AG596" i="9"/>
  <c r="AF596" i="9"/>
  <c r="AE596" i="9"/>
  <c r="AD596" i="9"/>
  <c r="AC596" i="9"/>
  <c r="AB596" i="9"/>
  <c r="AA596" i="9"/>
  <c r="Z596" i="9"/>
  <c r="Y596" i="9"/>
  <c r="AG595" i="9"/>
  <c r="AF595" i="9"/>
  <c r="AE595" i="9"/>
  <c r="AD595" i="9"/>
  <c r="AC595" i="9"/>
  <c r="AB595" i="9"/>
  <c r="AA595" i="9"/>
  <c r="Z595" i="9"/>
  <c r="Y595" i="9"/>
  <c r="AG594" i="9"/>
  <c r="AF594" i="9"/>
  <c r="AE594" i="9"/>
  <c r="AD594" i="9"/>
  <c r="AC594" i="9"/>
  <c r="AB594" i="9"/>
  <c r="AA594" i="9"/>
  <c r="Z594" i="9"/>
  <c r="Y594" i="9"/>
  <c r="AG593" i="9"/>
  <c r="AF593" i="9"/>
  <c r="AE593" i="9"/>
  <c r="AD593" i="9"/>
  <c r="AC593" i="9"/>
  <c r="AB593" i="9"/>
  <c r="AA593" i="9"/>
  <c r="Z593" i="9"/>
  <c r="Y593" i="9"/>
  <c r="AG592" i="9"/>
  <c r="AF592" i="9"/>
  <c r="AE592" i="9"/>
  <c r="AD592" i="9"/>
  <c r="AC592" i="9"/>
  <c r="AB592" i="9"/>
  <c r="AA592" i="9"/>
  <c r="Z592" i="9"/>
  <c r="Y592" i="9"/>
  <c r="AG591" i="9"/>
  <c r="AF591" i="9"/>
  <c r="AE591" i="9"/>
  <c r="AD591" i="9"/>
  <c r="AC591" i="9"/>
  <c r="AB591" i="9"/>
  <c r="AA591" i="9"/>
  <c r="Z591" i="9"/>
  <c r="Y591" i="9"/>
  <c r="AG590" i="9"/>
  <c r="AF590" i="9"/>
  <c r="AE590" i="9"/>
  <c r="AD590" i="9"/>
  <c r="AC590" i="9"/>
  <c r="AB590" i="9"/>
  <c r="AA590" i="9"/>
  <c r="Z590" i="9"/>
  <c r="Y590" i="9"/>
  <c r="AG589" i="9"/>
  <c r="AF589" i="9"/>
  <c r="AE589" i="9"/>
  <c r="AD589" i="9"/>
  <c r="AC589" i="9"/>
  <c r="AB589" i="9"/>
  <c r="AA589" i="9"/>
  <c r="Z589" i="9"/>
  <c r="Y589" i="9"/>
  <c r="AG588" i="9"/>
  <c r="AF588" i="9"/>
  <c r="AE588" i="9"/>
  <c r="AD588" i="9"/>
  <c r="AC588" i="9"/>
  <c r="AB588" i="9"/>
  <c r="AA588" i="9"/>
  <c r="Z588" i="9"/>
  <c r="Y588" i="9"/>
  <c r="AG587" i="9"/>
  <c r="AF587" i="9"/>
  <c r="AE587" i="9"/>
  <c r="AD587" i="9"/>
  <c r="AC587" i="9"/>
  <c r="AB587" i="9"/>
  <c r="AA587" i="9"/>
  <c r="Z587" i="9"/>
  <c r="Y587" i="9"/>
  <c r="AG586" i="9"/>
  <c r="AF586" i="9"/>
  <c r="AE586" i="9"/>
  <c r="AD586" i="9"/>
  <c r="AC586" i="9"/>
  <c r="AB586" i="9"/>
  <c r="AA586" i="9"/>
  <c r="Z586" i="9"/>
  <c r="Y586" i="9"/>
  <c r="AG585" i="9"/>
  <c r="AF585" i="9"/>
  <c r="AE585" i="9"/>
  <c r="AD585" i="9"/>
  <c r="AC585" i="9"/>
  <c r="AB585" i="9"/>
  <c r="AA585" i="9"/>
  <c r="Z585" i="9"/>
  <c r="Y585" i="9"/>
  <c r="AG584" i="9"/>
  <c r="AF584" i="9"/>
  <c r="AE584" i="9"/>
  <c r="AD584" i="9"/>
  <c r="AC584" i="9"/>
  <c r="AB584" i="9"/>
  <c r="AA584" i="9"/>
  <c r="Z584" i="9"/>
  <c r="Y584" i="9"/>
  <c r="AG583" i="9"/>
  <c r="AF583" i="9"/>
  <c r="AE583" i="9"/>
  <c r="AD583" i="9"/>
  <c r="AC583" i="9"/>
  <c r="AB583" i="9"/>
  <c r="AA583" i="9"/>
  <c r="Z583" i="9"/>
  <c r="Y583" i="9"/>
  <c r="AG582" i="9"/>
  <c r="AF582" i="9"/>
  <c r="AE582" i="9"/>
  <c r="AD582" i="9"/>
  <c r="AC582" i="9"/>
  <c r="AB582" i="9"/>
  <c r="AA582" i="9"/>
  <c r="Z582" i="9"/>
  <c r="Y582" i="9"/>
  <c r="AG581" i="9"/>
  <c r="AF581" i="9"/>
  <c r="AE581" i="9"/>
  <c r="AD581" i="9"/>
  <c r="AC581" i="9"/>
  <c r="AB581" i="9"/>
  <c r="AA581" i="9"/>
  <c r="Z581" i="9"/>
  <c r="Y581" i="9"/>
  <c r="AG580" i="9"/>
  <c r="AF580" i="9"/>
  <c r="AE580" i="9"/>
  <c r="AD580" i="9"/>
  <c r="AC580" i="9"/>
  <c r="AB580" i="9"/>
  <c r="AA580" i="9"/>
  <c r="Z580" i="9"/>
  <c r="Y580" i="9"/>
  <c r="AG579" i="9"/>
  <c r="AF579" i="9"/>
  <c r="AE579" i="9"/>
  <c r="AD579" i="9"/>
  <c r="AC579" i="9"/>
  <c r="AB579" i="9"/>
  <c r="AA579" i="9"/>
  <c r="Z579" i="9"/>
  <c r="Y579" i="9"/>
  <c r="AG578" i="9"/>
  <c r="AF578" i="9"/>
  <c r="AE578" i="9"/>
  <c r="AD578" i="9"/>
  <c r="AC578" i="9"/>
  <c r="AB578" i="9"/>
  <c r="AA578" i="9"/>
  <c r="Z578" i="9"/>
  <c r="Y578" i="9"/>
  <c r="AG577" i="9"/>
  <c r="AF577" i="9"/>
  <c r="AE577" i="9"/>
  <c r="AD577" i="9"/>
  <c r="AC577" i="9"/>
  <c r="AB577" i="9"/>
  <c r="AA577" i="9"/>
  <c r="Z577" i="9"/>
  <c r="Y577" i="9"/>
  <c r="AG576" i="9"/>
  <c r="AF576" i="9"/>
  <c r="AE576" i="9"/>
  <c r="AD576" i="9"/>
  <c r="AC576" i="9"/>
  <c r="AB576" i="9"/>
  <c r="AA576" i="9"/>
  <c r="Z576" i="9"/>
  <c r="Y576" i="9"/>
  <c r="AG575" i="9"/>
  <c r="AF575" i="9"/>
  <c r="AE575" i="9"/>
  <c r="AD575" i="9"/>
  <c r="AC575" i="9"/>
  <c r="AB575" i="9"/>
  <c r="AA575" i="9"/>
  <c r="Z575" i="9"/>
  <c r="Y575" i="9"/>
  <c r="AG574" i="9"/>
  <c r="AF574" i="9"/>
  <c r="AE574" i="9"/>
  <c r="AD574" i="9"/>
  <c r="AC574" i="9"/>
  <c r="AB574" i="9"/>
  <c r="AA574" i="9"/>
  <c r="Z574" i="9"/>
  <c r="Y574" i="9"/>
  <c r="AG573" i="9"/>
  <c r="AF573" i="9"/>
  <c r="AE573" i="9"/>
  <c r="AD573" i="9"/>
  <c r="AC573" i="9"/>
  <c r="AB573" i="9"/>
  <c r="AA573" i="9"/>
  <c r="Z573" i="9"/>
  <c r="Y573" i="9"/>
  <c r="AG572" i="9"/>
  <c r="AF572" i="9"/>
  <c r="AE572" i="9"/>
  <c r="AD572" i="9"/>
  <c r="AC572" i="9"/>
  <c r="AB572" i="9"/>
  <c r="AA572" i="9"/>
  <c r="Z572" i="9"/>
  <c r="Y572" i="9"/>
  <c r="AG571" i="9"/>
  <c r="AF571" i="9"/>
  <c r="AE571" i="9"/>
  <c r="AD571" i="9"/>
  <c r="AC571" i="9"/>
  <c r="AB571" i="9"/>
  <c r="AA571" i="9"/>
  <c r="Z571" i="9"/>
  <c r="Y571" i="9"/>
  <c r="AG570" i="9"/>
  <c r="AF570" i="9"/>
  <c r="AE570" i="9"/>
  <c r="AD570" i="9"/>
  <c r="AC570" i="9"/>
  <c r="AB570" i="9"/>
  <c r="AA570" i="9"/>
  <c r="Z570" i="9"/>
  <c r="Y570" i="9"/>
  <c r="AG569" i="9"/>
  <c r="AF569" i="9"/>
  <c r="AE569" i="9"/>
  <c r="AD569" i="9"/>
  <c r="AC569" i="9"/>
  <c r="AB569" i="9"/>
  <c r="AA569" i="9"/>
  <c r="Z569" i="9"/>
  <c r="Y569" i="9"/>
  <c r="AG568" i="9"/>
  <c r="AF568" i="9"/>
  <c r="AE568" i="9"/>
  <c r="AD568" i="9"/>
  <c r="AC568" i="9"/>
  <c r="AB568" i="9"/>
  <c r="AA568" i="9"/>
  <c r="Z568" i="9"/>
  <c r="Y568" i="9"/>
  <c r="AG567" i="9"/>
  <c r="AF567" i="9"/>
  <c r="AE567" i="9"/>
  <c r="AD567" i="9"/>
  <c r="AC567" i="9"/>
  <c r="AB567" i="9"/>
  <c r="AA567" i="9"/>
  <c r="Z567" i="9"/>
  <c r="Y567" i="9"/>
  <c r="AG566" i="9"/>
  <c r="AF566" i="9"/>
  <c r="AE566" i="9"/>
  <c r="AD566" i="9"/>
  <c r="AC566" i="9"/>
  <c r="AB566" i="9"/>
  <c r="AA566" i="9"/>
  <c r="Z566" i="9"/>
  <c r="Y566" i="9"/>
  <c r="AG565" i="9"/>
  <c r="AF565" i="9"/>
  <c r="AE565" i="9"/>
  <c r="AD565" i="9"/>
  <c r="AC565" i="9"/>
  <c r="AB565" i="9"/>
  <c r="AA565" i="9"/>
  <c r="Z565" i="9"/>
  <c r="Y565" i="9"/>
  <c r="AG564" i="9"/>
  <c r="AF564" i="9"/>
  <c r="AE564" i="9"/>
  <c r="AD564" i="9"/>
  <c r="AC564" i="9"/>
  <c r="AB564" i="9"/>
  <c r="AA564" i="9"/>
  <c r="Z564" i="9"/>
  <c r="Y564" i="9"/>
  <c r="AG563" i="9"/>
  <c r="AF563" i="9"/>
  <c r="AE563" i="9"/>
  <c r="AD563" i="9"/>
  <c r="AC563" i="9"/>
  <c r="AB563" i="9"/>
  <c r="AA563" i="9"/>
  <c r="Z563" i="9"/>
  <c r="Y563" i="9"/>
  <c r="AG562" i="9"/>
  <c r="AF562" i="9"/>
  <c r="AE562" i="9"/>
  <c r="AD562" i="9"/>
  <c r="AC562" i="9"/>
  <c r="AB562" i="9"/>
  <c r="AA562" i="9"/>
  <c r="Z562" i="9"/>
  <c r="Y562" i="9"/>
  <c r="AG561" i="9"/>
  <c r="AF561" i="9"/>
  <c r="AE561" i="9"/>
  <c r="AD561" i="9"/>
  <c r="AC561" i="9"/>
  <c r="AB561" i="9"/>
  <c r="AA561" i="9"/>
  <c r="Z561" i="9"/>
  <c r="Y561" i="9"/>
  <c r="AG560" i="9"/>
  <c r="AF560" i="9"/>
  <c r="AE560" i="9"/>
  <c r="AD560" i="9"/>
  <c r="AC560" i="9"/>
  <c r="AB560" i="9"/>
  <c r="AA560" i="9"/>
  <c r="Z560" i="9"/>
  <c r="Y560" i="9"/>
  <c r="AG559" i="9"/>
  <c r="AF559" i="9"/>
  <c r="AE559" i="9"/>
  <c r="AD559" i="9"/>
  <c r="AC559" i="9"/>
  <c r="AB559" i="9"/>
  <c r="AA559" i="9"/>
  <c r="Z559" i="9"/>
  <c r="Y559" i="9"/>
  <c r="AG558" i="9"/>
  <c r="AF558" i="9"/>
  <c r="AE558" i="9"/>
  <c r="AD558" i="9"/>
  <c r="AC558" i="9"/>
  <c r="AB558" i="9"/>
  <c r="AA558" i="9"/>
  <c r="Z558" i="9"/>
  <c r="Y558" i="9"/>
  <c r="AG557" i="9"/>
  <c r="AF557" i="9"/>
  <c r="AE557" i="9"/>
  <c r="AD557" i="9"/>
  <c r="AC557" i="9"/>
  <c r="AB557" i="9"/>
  <c r="AA557" i="9"/>
  <c r="Z557" i="9"/>
  <c r="Y557" i="9"/>
  <c r="AG556" i="9"/>
  <c r="AF556" i="9"/>
  <c r="AE556" i="9"/>
  <c r="AD556" i="9"/>
  <c r="AC556" i="9"/>
  <c r="AB556" i="9"/>
  <c r="AA556" i="9"/>
  <c r="Z556" i="9"/>
  <c r="Y556" i="9"/>
  <c r="AG555" i="9"/>
  <c r="AF555" i="9"/>
  <c r="AE555" i="9"/>
  <c r="AD555" i="9"/>
  <c r="AC555" i="9"/>
  <c r="AB555" i="9"/>
  <c r="AA555" i="9"/>
  <c r="Z555" i="9"/>
  <c r="Y555" i="9"/>
  <c r="AG554" i="9"/>
  <c r="AF554" i="9"/>
  <c r="AE554" i="9"/>
  <c r="AD554" i="9"/>
  <c r="AC554" i="9"/>
  <c r="AB554" i="9"/>
  <c r="AA554" i="9"/>
  <c r="Z554" i="9"/>
  <c r="Y554" i="9"/>
  <c r="AG553" i="9"/>
  <c r="AF553" i="9"/>
  <c r="AE553" i="9"/>
  <c r="AD553" i="9"/>
  <c r="AC553" i="9"/>
  <c r="AB553" i="9"/>
  <c r="AA553" i="9"/>
  <c r="Z553" i="9"/>
  <c r="Y553" i="9"/>
  <c r="AG552" i="9"/>
  <c r="AF552" i="9"/>
  <c r="AE552" i="9"/>
  <c r="AD552" i="9"/>
  <c r="AC552" i="9"/>
  <c r="AB552" i="9"/>
  <c r="AA552" i="9"/>
  <c r="Z552" i="9"/>
  <c r="Y552" i="9"/>
  <c r="AG551" i="9"/>
  <c r="AF551" i="9"/>
  <c r="AE551" i="9"/>
  <c r="AD551" i="9"/>
  <c r="AC551" i="9"/>
  <c r="AB551" i="9"/>
  <c r="AA551" i="9"/>
  <c r="Z551" i="9"/>
  <c r="Y551" i="9"/>
  <c r="AG550" i="9"/>
  <c r="AF550" i="9"/>
  <c r="AE550" i="9"/>
  <c r="AD550" i="9"/>
  <c r="AC550" i="9"/>
  <c r="AB550" i="9"/>
  <c r="AA550" i="9"/>
  <c r="Z550" i="9"/>
  <c r="Y550" i="9"/>
  <c r="AG549" i="9"/>
  <c r="AF549" i="9"/>
  <c r="AE549" i="9"/>
  <c r="AD549" i="9"/>
  <c r="AC549" i="9"/>
  <c r="AB549" i="9"/>
  <c r="AA549" i="9"/>
  <c r="Z549" i="9"/>
  <c r="Y549" i="9"/>
  <c r="AG548" i="9"/>
  <c r="AF548" i="9"/>
  <c r="AE548" i="9"/>
  <c r="AD548" i="9"/>
  <c r="AC548" i="9"/>
  <c r="AB548" i="9"/>
  <c r="AA548" i="9"/>
  <c r="Z548" i="9"/>
  <c r="Y548" i="9"/>
  <c r="AG547" i="9"/>
  <c r="AF547" i="9"/>
  <c r="AE547" i="9"/>
  <c r="AD547" i="9"/>
  <c r="AC547" i="9"/>
  <c r="AB547" i="9"/>
  <c r="AA547" i="9"/>
  <c r="Z547" i="9"/>
  <c r="Y547" i="9"/>
  <c r="AG546" i="9"/>
  <c r="AF546" i="9"/>
  <c r="AE546" i="9"/>
  <c r="AD546" i="9"/>
  <c r="AC546" i="9"/>
  <c r="AB546" i="9"/>
  <c r="AA546" i="9"/>
  <c r="Z546" i="9"/>
  <c r="Y546" i="9"/>
  <c r="AG545" i="9"/>
  <c r="AF545" i="9"/>
  <c r="AE545" i="9"/>
  <c r="AD545" i="9"/>
  <c r="AC545" i="9"/>
  <c r="AB545" i="9"/>
  <c r="AA545" i="9"/>
  <c r="Z545" i="9"/>
  <c r="Y545" i="9"/>
  <c r="AG544" i="9"/>
  <c r="AF544" i="9"/>
  <c r="AE544" i="9"/>
  <c r="AD544" i="9"/>
  <c r="AC544" i="9"/>
  <c r="AB544" i="9"/>
  <c r="AA544" i="9"/>
  <c r="Z544" i="9"/>
  <c r="Y544" i="9"/>
  <c r="AG543" i="9"/>
  <c r="AF543" i="9"/>
  <c r="AE543" i="9"/>
  <c r="AD543" i="9"/>
  <c r="AC543" i="9"/>
  <c r="AB543" i="9"/>
  <c r="AA543" i="9"/>
  <c r="Z543" i="9"/>
  <c r="Y543" i="9"/>
  <c r="AG542" i="9"/>
  <c r="AF542" i="9"/>
  <c r="AE542" i="9"/>
  <c r="AD542" i="9"/>
  <c r="AC542" i="9"/>
  <c r="AB542" i="9"/>
  <c r="AA542" i="9"/>
  <c r="Z542" i="9"/>
  <c r="Y542" i="9"/>
  <c r="AG541" i="9"/>
  <c r="AF541" i="9"/>
  <c r="AE541" i="9"/>
  <c r="AD541" i="9"/>
  <c r="AC541" i="9"/>
  <c r="AB541" i="9"/>
  <c r="AA541" i="9"/>
  <c r="Z541" i="9"/>
  <c r="Y541" i="9"/>
  <c r="AG540" i="9"/>
  <c r="AF540" i="9"/>
  <c r="AE540" i="9"/>
  <c r="AD540" i="9"/>
  <c r="AC540" i="9"/>
  <c r="AB540" i="9"/>
  <c r="AA540" i="9"/>
  <c r="Z540" i="9"/>
  <c r="Y540" i="9"/>
  <c r="AG539" i="9"/>
  <c r="AF539" i="9"/>
  <c r="AE539" i="9"/>
  <c r="AD539" i="9"/>
  <c r="AC539" i="9"/>
  <c r="AB539" i="9"/>
  <c r="AA539" i="9"/>
  <c r="Z539" i="9"/>
  <c r="Y539" i="9"/>
  <c r="AG538" i="9"/>
  <c r="AF538" i="9"/>
  <c r="AE538" i="9"/>
  <c r="AD538" i="9"/>
  <c r="AC538" i="9"/>
  <c r="AB538" i="9"/>
  <c r="AA538" i="9"/>
  <c r="Z538" i="9"/>
  <c r="Y538" i="9"/>
  <c r="AG537" i="9"/>
  <c r="AF537" i="9"/>
  <c r="AE537" i="9"/>
  <c r="AD537" i="9"/>
  <c r="AC537" i="9"/>
  <c r="AB537" i="9"/>
  <c r="AA537" i="9"/>
  <c r="Z537" i="9"/>
  <c r="Y537" i="9"/>
  <c r="AG536" i="9"/>
  <c r="AF536" i="9"/>
  <c r="AE536" i="9"/>
  <c r="AD536" i="9"/>
  <c r="AC536" i="9"/>
  <c r="AB536" i="9"/>
  <c r="AA536" i="9"/>
  <c r="Z536" i="9"/>
  <c r="Y536" i="9"/>
  <c r="AG535" i="9"/>
  <c r="AF535" i="9"/>
  <c r="AE535" i="9"/>
  <c r="AD535" i="9"/>
  <c r="AC535" i="9"/>
  <c r="AB535" i="9"/>
  <c r="AA535" i="9"/>
  <c r="Z535" i="9"/>
  <c r="Y535" i="9"/>
  <c r="AG534" i="9"/>
  <c r="AF534" i="9"/>
  <c r="AE534" i="9"/>
  <c r="AD534" i="9"/>
  <c r="AC534" i="9"/>
  <c r="AB534" i="9"/>
  <c r="AA534" i="9"/>
  <c r="Z534" i="9"/>
  <c r="Y534" i="9"/>
  <c r="AG533" i="9"/>
  <c r="AF533" i="9"/>
  <c r="AE533" i="9"/>
  <c r="AD533" i="9"/>
  <c r="AC533" i="9"/>
  <c r="AB533" i="9"/>
  <c r="AA533" i="9"/>
  <c r="Z533" i="9"/>
  <c r="Y533" i="9"/>
  <c r="AG532" i="9"/>
  <c r="AF532" i="9"/>
  <c r="AE532" i="9"/>
  <c r="AD532" i="9"/>
  <c r="AC532" i="9"/>
  <c r="AB532" i="9"/>
  <c r="AA532" i="9"/>
  <c r="Z532" i="9"/>
  <c r="Y532" i="9"/>
  <c r="AG531" i="9"/>
  <c r="AF531" i="9"/>
  <c r="AE531" i="9"/>
  <c r="AD531" i="9"/>
  <c r="AC531" i="9"/>
  <c r="AB531" i="9"/>
  <c r="AA531" i="9"/>
  <c r="Z531" i="9"/>
  <c r="Y531" i="9"/>
  <c r="AG530" i="9"/>
  <c r="AF530" i="9"/>
  <c r="AE530" i="9"/>
  <c r="AD530" i="9"/>
  <c r="AC530" i="9"/>
  <c r="AB530" i="9"/>
  <c r="AA530" i="9"/>
  <c r="Z530" i="9"/>
  <c r="Y530" i="9"/>
  <c r="AG529" i="9"/>
  <c r="AF529" i="9"/>
  <c r="AE529" i="9"/>
  <c r="AD529" i="9"/>
  <c r="AC529" i="9"/>
  <c r="AB529" i="9"/>
  <c r="AA529" i="9"/>
  <c r="Z529" i="9"/>
  <c r="Y529" i="9"/>
  <c r="AG528" i="9"/>
  <c r="AF528" i="9"/>
  <c r="AE528" i="9"/>
  <c r="AD528" i="9"/>
  <c r="AC528" i="9"/>
  <c r="AB528" i="9"/>
  <c r="AA528" i="9"/>
  <c r="Z528" i="9"/>
  <c r="Y528" i="9"/>
  <c r="AG527" i="9"/>
  <c r="AF527" i="9"/>
  <c r="AE527" i="9"/>
  <c r="AD527" i="9"/>
  <c r="AC527" i="9"/>
  <c r="AB527" i="9"/>
  <c r="AA527" i="9"/>
  <c r="Z527" i="9"/>
  <c r="Y527" i="9"/>
  <c r="AG526" i="9"/>
  <c r="AF526" i="9"/>
  <c r="AE526" i="9"/>
  <c r="AD526" i="9"/>
  <c r="AC526" i="9"/>
  <c r="AB526" i="9"/>
  <c r="AA526" i="9"/>
  <c r="Z526" i="9"/>
  <c r="Y526" i="9"/>
  <c r="AG525" i="9"/>
  <c r="AF525" i="9"/>
  <c r="AE525" i="9"/>
  <c r="AD525" i="9"/>
  <c r="AC525" i="9"/>
  <c r="AB525" i="9"/>
  <c r="AA525" i="9"/>
  <c r="Z525" i="9"/>
  <c r="Y525" i="9"/>
  <c r="AG524" i="9"/>
  <c r="AF524" i="9"/>
  <c r="AE524" i="9"/>
  <c r="AD524" i="9"/>
  <c r="AC524" i="9"/>
  <c r="AB524" i="9"/>
  <c r="AA524" i="9"/>
  <c r="Z524" i="9"/>
  <c r="Y524" i="9"/>
  <c r="AG523" i="9"/>
  <c r="AF523" i="9"/>
  <c r="AE523" i="9"/>
  <c r="AD523" i="9"/>
  <c r="AC523" i="9"/>
  <c r="AB523" i="9"/>
  <c r="AA523" i="9"/>
  <c r="Z523" i="9"/>
  <c r="Y523" i="9"/>
  <c r="AG522" i="9"/>
  <c r="AF522" i="9"/>
  <c r="AE522" i="9"/>
  <c r="AD522" i="9"/>
  <c r="AC522" i="9"/>
  <c r="AB522" i="9"/>
  <c r="AA522" i="9"/>
  <c r="Z522" i="9"/>
  <c r="Y522" i="9"/>
  <c r="AG521" i="9"/>
  <c r="AF521" i="9"/>
  <c r="AE521" i="9"/>
  <c r="AD521" i="9"/>
  <c r="AC521" i="9"/>
  <c r="AB521" i="9"/>
  <c r="AA521" i="9"/>
  <c r="Z521" i="9"/>
  <c r="Y521" i="9"/>
  <c r="AG520" i="9"/>
  <c r="AF520" i="9"/>
  <c r="AE520" i="9"/>
  <c r="AD520" i="9"/>
  <c r="AC520" i="9"/>
  <c r="AB520" i="9"/>
  <c r="AA520" i="9"/>
  <c r="Z520" i="9"/>
  <c r="Y520" i="9"/>
  <c r="AG519" i="9"/>
  <c r="AF519" i="9"/>
  <c r="AE519" i="9"/>
  <c r="AD519" i="9"/>
  <c r="AC519" i="9"/>
  <c r="AB519" i="9"/>
  <c r="AA519" i="9"/>
  <c r="Z519" i="9"/>
  <c r="Y519" i="9"/>
  <c r="AG518" i="9"/>
  <c r="AF518" i="9"/>
  <c r="AE518" i="9"/>
  <c r="AD518" i="9"/>
  <c r="AC518" i="9"/>
  <c r="AB518" i="9"/>
  <c r="AA518" i="9"/>
  <c r="Z518" i="9"/>
  <c r="Y518" i="9"/>
  <c r="AG517" i="9"/>
  <c r="AF517" i="9"/>
  <c r="AE517" i="9"/>
  <c r="AD517" i="9"/>
  <c r="AC517" i="9"/>
  <c r="AB517" i="9"/>
  <c r="AA517" i="9"/>
  <c r="Z517" i="9"/>
  <c r="Y517" i="9"/>
  <c r="AG516" i="9"/>
  <c r="AF516" i="9"/>
  <c r="AE516" i="9"/>
  <c r="AD516" i="9"/>
  <c r="AC516" i="9"/>
  <c r="AB516" i="9"/>
  <c r="AA516" i="9"/>
  <c r="Z516" i="9"/>
  <c r="Y516" i="9"/>
  <c r="AG515" i="9"/>
  <c r="AF515" i="9"/>
  <c r="AE515" i="9"/>
  <c r="AD515" i="9"/>
  <c r="AC515" i="9"/>
  <c r="AB515" i="9"/>
  <c r="AA515" i="9"/>
  <c r="Z515" i="9"/>
  <c r="Y515" i="9"/>
  <c r="AG514" i="9"/>
  <c r="AF514" i="9"/>
  <c r="AE514" i="9"/>
  <c r="AD514" i="9"/>
  <c r="AC514" i="9"/>
  <c r="AB514" i="9"/>
  <c r="AA514" i="9"/>
  <c r="Z514" i="9"/>
  <c r="Y514" i="9"/>
  <c r="AG513" i="9"/>
  <c r="AF513" i="9"/>
  <c r="AE513" i="9"/>
  <c r="AD513" i="9"/>
  <c r="AC513" i="9"/>
  <c r="AB513" i="9"/>
  <c r="AA513" i="9"/>
  <c r="Z513" i="9"/>
  <c r="Y513" i="9"/>
  <c r="AG512" i="9"/>
  <c r="AF512" i="9"/>
  <c r="AE512" i="9"/>
  <c r="AD512" i="9"/>
  <c r="AC512" i="9"/>
  <c r="AB512" i="9"/>
  <c r="AA512" i="9"/>
  <c r="Z512" i="9"/>
  <c r="Y512" i="9"/>
  <c r="AG511" i="9"/>
  <c r="AF511" i="9"/>
  <c r="AE511" i="9"/>
  <c r="AD511" i="9"/>
  <c r="AC511" i="9"/>
  <c r="AB511" i="9"/>
  <c r="AA511" i="9"/>
  <c r="Z511" i="9"/>
  <c r="Y511" i="9"/>
  <c r="AG510" i="9"/>
  <c r="AF510" i="9"/>
  <c r="AE510" i="9"/>
  <c r="AD510" i="9"/>
  <c r="AC510" i="9"/>
  <c r="AB510" i="9"/>
  <c r="AA510" i="9"/>
  <c r="Z510" i="9"/>
  <c r="Y510" i="9"/>
  <c r="AG509" i="9"/>
  <c r="AF509" i="9"/>
  <c r="AE509" i="9"/>
  <c r="AD509" i="9"/>
  <c r="AC509" i="9"/>
  <c r="AB509" i="9"/>
  <c r="AA509" i="9"/>
  <c r="Z509" i="9"/>
  <c r="Y509" i="9"/>
  <c r="AG508" i="9"/>
  <c r="AF508" i="9"/>
  <c r="AE508" i="9"/>
  <c r="AD508" i="9"/>
  <c r="AC508" i="9"/>
  <c r="AB508" i="9"/>
  <c r="AA508" i="9"/>
  <c r="Z508" i="9"/>
  <c r="Y508" i="9"/>
  <c r="AG507" i="9"/>
  <c r="AF507" i="9"/>
  <c r="AE507" i="9"/>
  <c r="AD507" i="9"/>
  <c r="AC507" i="9"/>
  <c r="AB507" i="9"/>
  <c r="AA507" i="9"/>
  <c r="Z507" i="9"/>
  <c r="Y507" i="9"/>
  <c r="AG506" i="9"/>
  <c r="AF506" i="9"/>
  <c r="AE506" i="9"/>
  <c r="AD506" i="9"/>
  <c r="AC506" i="9"/>
  <c r="AB506" i="9"/>
  <c r="AA506" i="9"/>
  <c r="Z506" i="9"/>
  <c r="Y506" i="9"/>
  <c r="AG505" i="9"/>
  <c r="AF505" i="9"/>
  <c r="AE505" i="9"/>
  <c r="AD505" i="9"/>
  <c r="AC505" i="9"/>
  <c r="AB505" i="9"/>
  <c r="AA505" i="9"/>
  <c r="Z505" i="9"/>
  <c r="Y505" i="9"/>
  <c r="AG504" i="9"/>
  <c r="AF504" i="9"/>
  <c r="AE504" i="9"/>
  <c r="AD504" i="9"/>
  <c r="AC504" i="9"/>
  <c r="AB504" i="9"/>
  <c r="AA504" i="9"/>
  <c r="Z504" i="9"/>
  <c r="Y504" i="9"/>
  <c r="AG503" i="9"/>
  <c r="AF503" i="9"/>
  <c r="AE503" i="9"/>
  <c r="AD503" i="9"/>
  <c r="AC503" i="9"/>
  <c r="AB503" i="9"/>
  <c r="AA503" i="9"/>
  <c r="Z503" i="9"/>
  <c r="Y503" i="9"/>
  <c r="AG502" i="9"/>
  <c r="AF502" i="9"/>
  <c r="AE502" i="9"/>
  <c r="AD502" i="9"/>
  <c r="AC502" i="9"/>
  <c r="AB502" i="9"/>
  <c r="AA502" i="9"/>
  <c r="Z502" i="9"/>
  <c r="Y502" i="9"/>
  <c r="AG501" i="9"/>
  <c r="AF501" i="9"/>
  <c r="AE501" i="9"/>
  <c r="AD501" i="9"/>
  <c r="AC501" i="9"/>
  <c r="AB501" i="9"/>
  <c r="AA501" i="9"/>
  <c r="Z501" i="9"/>
  <c r="Y501" i="9"/>
  <c r="AG500" i="9"/>
  <c r="AF500" i="9"/>
  <c r="AE500" i="9"/>
  <c r="AD500" i="9"/>
  <c r="AC500" i="9"/>
  <c r="AB500" i="9"/>
  <c r="AA500" i="9"/>
  <c r="Z500" i="9"/>
  <c r="Y500" i="9"/>
  <c r="AG499" i="9"/>
  <c r="AF499" i="9"/>
  <c r="AE499" i="9"/>
  <c r="AD499" i="9"/>
  <c r="AC499" i="9"/>
  <c r="AB499" i="9"/>
  <c r="AA499" i="9"/>
  <c r="Z499" i="9"/>
  <c r="Y499" i="9"/>
  <c r="AG498" i="9"/>
  <c r="AF498" i="9"/>
  <c r="AE498" i="9"/>
  <c r="AD498" i="9"/>
  <c r="AC498" i="9"/>
  <c r="AB498" i="9"/>
  <c r="AA498" i="9"/>
  <c r="Z498" i="9"/>
  <c r="Y498" i="9"/>
  <c r="AG497" i="9"/>
  <c r="AF497" i="9"/>
  <c r="AE497" i="9"/>
  <c r="AD497" i="9"/>
  <c r="AC497" i="9"/>
  <c r="AB497" i="9"/>
  <c r="AA497" i="9"/>
  <c r="Z497" i="9"/>
  <c r="Y497" i="9"/>
  <c r="AG496" i="9"/>
  <c r="AF496" i="9"/>
  <c r="AE496" i="9"/>
  <c r="AD496" i="9"/>
  <c r="AC496" i="9"/>
  <c r="AB496" i="9"/>
  <c r="AA496" i="9"/>
  <c r="Z496" i="9"/>
  <c r="Y496" i="9"/>
  <c r="AG495" i="9"/>
  <c r="AF495" i="9"/>
  <c r="AE495" i="9"/>
  <c r="AD495" i="9"/>
  <c r="AC495" i="9"/>
  <c r="AB495" i="9"/>
  <c r="AA495" i="9"/>
  <c r="Z495" i="9"/>
  <c r="Y495" i="9"/>
  <c r="AG494" i="9"/>
  <c r="AF494" i="9"/>
  <c r="AE494" i="9"/>
  <c r="AD494" i="9"/>
  <c r="AC494" i="9"/>
  <c r="AB494" i="9"/>
  <c r="AA494" i="9"/>
  <c r="Z494" i="9"/>
  <c r="Y494" i="9"/>
  <c r="AG493" i="9"/>
  <c r="AF493" i="9"/>
  <c r="AE493" i="9"/>
  <c r="AD493" i="9"/>
  <c r="AC493" i="9"/>
  <c r="AB493" i="9"/>
  <c r="AA493" i="9"/>
  <c r="Z493" i="9"/>
  <c r="Y493" i="9"/>
  <c r="AG492" i="9"/>
  <c r="AF492" i="9"/>
  <c r="AE492" i="9"/>
  <c r="AD492" i="9"/>
  <c r="AC492" i="9"/>
  <c r="AB492" i="9"/>
  <c r="AA492" i="9"/>
  <c r="Z492" i="9"/>
  <c r="Y492" i="9"/>
  <c r="AG491" i="9"/>
  <c r="AF491" i="9"/>
  <c r="AE491" i="9"/>
  <c r="AD491" i="9"/>
  <c r="AC491" i="9"/>
  <c r="AB491" i="9"/>
  <c r="AA491" i="9"/>
  <c r="Z491" i="9"/>
  <c r="Y491" i="9"/>
  <c r="AG490" i="9"/>
  <c r="AF490" i="9"/>
  <c r="AE490" i="9"/>
  <c r="AD490" i="9"/>
  <c r="AC490" i="9"/>
  <c r="AB490" i="9"/>
  <c r="AA490" i="9"/>
  <c r="Z490" i="9"/>
  <c r="Y490" i="9"/>
  <c r="AG489" i="9"/>
  <c r="AF489" i="9"/>
  <c r="AE489" i="9"/>
  <c r="AD489" i="9"/>
  <c r="AC489" i="9"/>
  <c r="AB489" i="9"/>
  <c r="AA489" i="9"/>
  <c r="Z489" i="9"/>
  <c r="Y489" i="9"/>
  <c r="AG488" i="9"/>
  <c r="AF488" i="9"/>
  <c r="AE488" i="9"/>
  <c r="AD488" i="9"/>
  <c r="AC488" i="9"/>
  <c r="AB488" i="9"/>
  <c r="AA488" i="9"/>
  <c r="Z488" i="9"/>
  <c r="Y488" i="9"/>
  <c r="AG487" i="9"/>
  <c r="AF487" i="9"/>
  <c r="AE487" i="9"/>
  <c r="AD487" i="9"/>
  <c r="AC487" i="9"/>
  <c r="AB487" i="9"/>
  <c r="AA487" i="9"/>
  <c r="Z487" i="9"/>
  <c r="Y487" i="9"/>
  <c r="AG486" i="9"/>
  <c r="AF486" i="9"/>
  <c r="AE486" i="9"/>
  <c r="AD486" i="9"/>
  <c r="AC486" i="9"/>
  <c r="AB486" i="9"/>
  <c r="AA486" i="9"/>
  <c r="Z486" i="9"/>
  <c r="Y486" i="9"/>
  <c r="AG485" i="9"/>
  <c r="AF485" i="9"/>
  <c r="AE485" i="9"/>
  <c r="AD485" i="9"/>
  <c r="AC485" i="9"/>
  <c r="AB485" i="9"/>
  <c r="AA485" i="9"/>
  <c r="Z485" i="9"/>
  <c r="Y485" i="9"/>
  <c r="AG484" i="9"/>
  <c r="AF484" i="9"/>
  <c r="AE484" i="9"/>
  <c r="AD484" i="9"/>
  <c r="AC484" i="9"/>
  <c r="AB484" i="9"/>
  <c r="AA484" i="9"/>
  <c r="Z484" i="9"/>
  <c r="Y484" i="9"/>
  <c r="AG483" i="9"/>
  <c r="AF483" i="9"/>
  <c r="AE483" i="9"/>
  <c r="AD483" i="9"/>
  <c r="AC483" i="9"/>
  <c r="AB483" i="9"/>
  <c r="AA483" i="9"/>
  <c r="Z483" i="9"/>
  <c r="Y483" i="9"/>
  <c r="AG482" i="9"/>
  <c r="AF482" i="9"/>
  <c r="AE482" i="9"/>
  <c r="AD482" i="9"/>
  <c r="AC482" i="9"/>
  <c r="AB482" i="9"/>
  <c r="AA482" i="9"/>
  <c r="Z482" i="9"/>
  <c r="Y482" i="9"/>
  <c r="AG481" i="9"/>
  <c r="AF481" i="9"/>
  <c r="AE481" i="9"/>
  <c r="AD481" i="9"/>
  <c r="AC481" i="9"/>
  <c r="AB481" i="9"/>
  <c r="AA481" i="9"/>
  <c r="Z481" i="9"/>
  <c r="Y481" i="9"/>
  <c r="AG480" i="9"/>
  <c r="AF480" i="9"/>
  <c r="AE480" i="9"/>
  <c r="AD480" i="9"/>
  <c r="AC480" i="9"/>
  <c r="AB480" i="9"/>
  <c r="AA480" i="9"/>
  <c r="Z480" i="9"/>
  <c r="Y480" i="9"/>
  <c r="AG479" i="9"/>
  <c r="AF479" i="9"/>
  <c r="AE479" i="9"/>
  <c r="AD479" i="9"/>
  <c r="AC479" i="9"/>
  <c r="AB479" i="9"/>
  <c r="AA479" i="9"/>
  <c r="Z479" i="9"/>
  <c r="Y479" i="9"/>
  <c r="AG478" i="9"/>
  <c r="AF478" i="9"/>
  <c r="AE478" i="9"/>
  <c r="AD478" i="9"/>
  <c r="AC478" i="9"/>
  <c r="AB478" i="9"/>
  <c r="AA478" i="9"/>
  <c r="Z478" i="9"/>
  <c r="Y478" i="9"/>
  <c r="AG477" i="9"/>
  <c r="AF477" i="9"/>
  <c r="AE477" i="9"/>
  <c r="AD477" i="9"/>
  <c r="AC477" i="9"/>
  <c r="AB477" i="9"/>
  <c r="AA477" i="9"/>
  <c r="Z477" i="9"/>
  <c r="Y477" i="9"/>
  <c r="AG476" i="9"/>
  <c r="AF476" i="9"/>
  <c r="AE476" i="9"/>
  <c r="AD476" i="9"/>
  <c r="AC476" i="9"/>
  <c r="AB476" i="9"/>
  <c r="AA476" i="9"/>
  <c r="Z476" i="9"/>
  <c r="Y476" i="9"/>
  <c r="AG475" i="9"/>
  <c r="AF475" i="9"/>
  <c r="AE475" i="9"/>
  <c r="AD475" i="9"/>
  <c r="AC475" i="9"/>
  <c r="AB475" i="9"/>
  <c r="AA475" i="9"/>
  <c r="Z475" i="9"/>
  <c r="Y475" i="9"/>
  <c r="AG474" i="9"/>
  <c r="AF474" i="9"/>
  <c r="AE474" i="9"/>
  <c r="AD474" i="9"/>
  <c r="AC474" i="9"/>
  <c r="AB474" i="9"/>
  <c r="AA474" i="9"/>
  <c r="Z474" i="9"/>
  <c r="Y474" i="9"/>
  <c r="AG473" i="9"/>
  <c r="AF473" i="9"/>
  <c r="AE473" i="9"/>
  <c r="AD473" i="9"/>
  <c r="AC473" i="9"/>
  <c r="AB473" i="9"/>
  <c r="AA473" i="9"/>
  <c r="Z473" i="9"/>
  <c r="Y473" i="9"/>
  <c r="AG472" i="9"/>
  <c r="AF472" i="9"/>
  <c r="AE472" i="9"/>
  <c r="AD472" i="9"/>
  <c r="AC472" i="9"/>
  <c r="AB472" i="9"/>
  <c r="AA472" i="9"/>
  <c r="Z472" i="9"/>
  <c r="Y472" i="9"/>
  <c r="AG471" i="9"/>
  <c r="AF471" i="9"/>
  <c r="AE471" i="9"/>
  <c r="AD471" i="9"/>
  <c r="AC471" i="9"/>
  <c r="AB471" i="9"/>
  <c r="AA471" i="9"/>
  <c r="Z471" i="9"/>
  <c r="Y471" i="9"/>
  <c r="AG470" i="9"/>
  <c r="AF470" i="9"/>
  <c r="AE470" i="9"/>
  <c r="AD470" i="9"/>
  <c r="AC470" i="9"/>
  <c r="AB470" i="9"/>
  <c r="AA470" i="9"/>
  <c r="Z470" i="9"/>
  <c r="Y470" i="9"/>
  <c r="AG469" i="9"/>
  <c r="AF469" i="9"/>
  <c r="AE469" i="9"/>
  <c r="AD469" i="9"/>
  <c r="AC469" i="9"/>
  <c r="AB469" i="9"/>
  <c r="AA469" i="9"/>
  <c r="Z469" i="9"/>
  <c r="Y469" i="9"/>
  <c r="AG468" i="9"/>
  <c r="AF468" i="9"/>
  <c r="AE468" i="9"/>
  <c r="AD468" i="9"/>
  <c r="AC468" i="9"/>
  <c r="AB468" i="9"/>
  <c r="AA468" i="9"/>
  <c r="Z468" i="9"/>
  <c r="Y468" i="9"/>
  <c r="AG467" i="9"/>
  <c r="AF467" i="9"/>
  <c r="AE467" i="9"/>
  <c r="AD467" i="9"/>
  <c r="AC467" i="9"/>
  <c r="AB467" i="9"/>
  <c r="AA467" i="9"/>
  <c r="Z467" i="9"/>
  <c r="Y467" i="9"/>
  <c r="AG466" i="9"/>
  <c r="AF466" i="9"/>
  <c r="AE466" i="9"/>
  <c r="AD466" i="9"/>
  <c r="AC466" i="9"/>
  <c r="AB466" i="9"/>
  <c r="AA466" i="9"/>
  <c r="Z466" i="9"/>
  <c r="Y466" i="9"/>
  <c r="AG465" i="9"/>
  <c r="AF465" i="9"/>
  <c r="AE465" i="9"/>
  <c r="AD465" i="9"/>
  <c r="AC465" i="9"/>
  <c r="AB465" i="9"/>
  <c r="AA465" i="9"/>
  <c r="Z465" i="9"/>
  <c r="Y465" i="9"/>
  <c r="AG464" i="9"/>
  <c r="AF464" i="9"/>
  <c r="AE464" i="9"/>
  <c r="AD464" i="9"/>
  <c r="AC464" i="9"/>
  <c r="AB464" i="9"/>
  <c r="AA464" i="9"/>
  <c r="Z464" i="9"/>
  <c r="Y464" i="9"/>
  <c r="AG463" i="9"/>
  <c r="AF463" i="9"/>
  <c r="AE463" i="9"/>
  <c r="AD463" i="9"/>
  <c r="AC463" i="9"/>
  <c r="AB463" i="9"/>
  <c r="AA463" i="9"/>
  <c r="Z463" i="9"/>
  <c r="Y463" i="9"/>
  <c r="AG462" i="9"/>
  <c r="AF462" i="9"/>
  <c r="AE462" i="9"/>
  <c r="AD462" i="9"/>
  <c r="AC462" i="9"/>
  <c r="AB462" i="9"/>
  <c r="AA462" i="9"/>
  <c r="Z462" i="9"/>
  <c r="Y462" i="9"/>
  <c r="AG461" i="9"/>
  <c r="AF461" i="9"/>
  <c r="AE461" i="9"/>
  <c r="AD461" i="9"/>
  <c r="AC461" i="9"/>
  <c r="AB461" i="9"/>
  <c r="AA461" i="9"/>
  <c r="Z461" i="9"/>
  <c r="Y461" i="9"/>
  <c r="AG460" i="9"/>
  <c r="AF460" i="9"/>
  <c r="AE460" i="9"/>
  <c r="AD460" i="9"/>
  <c r="AC460" i="9"/>
  <c r="AB460" i="9"/>
  <c r="AA460" i="9"/>
  <c r="Z460" i="9"/>
  <c r="Y460" i="9"/>
  <c r="AG459" i="9"/>
  <c r="AF459" i="9"/>
  <c r="AE459" i="9"/>
  <c r="AD459" i="9"/>
  <c r="AC459" i="9"/>
  <c r="AB459" i="9"/>
  <c r="AA459" i="9"/>
  <c r="Z459" i="9"/>
  <c r="Y459" i="9"/>
  <c r="AG458" i="9"/>
  <c r="AF458" i="9"/>
  <c r="AE458" i="9"/>
  <c r="AD458" i="9"/>
  <c r="AC458" i="9"/>
  <c r="AB458" i="9"/>
  <c r="AA458" i="9"/>
  <c r="Z458" i="9"/>
  <c r="Y458" i="9"/>
  <c r="AG457" i="9"/>
  <c r="AF457" i="9"/>
  <c r="AE457" i="9"/>
  <c r="AD457" i="9"/>
  <c r="AC457" i="9"/>
  <c r="AB457" i="9"/>
  <c r="AA457" i="9"/>
  <c r="Z457" i="9"/>
  <c r="Y457" i="9"/>
  <c r="AG456" i="9"/>
  <c r="AF456" i="9"/>
  <c r="AE456" i="9"/>
  <c r="AD456" i="9"/>
  <c r="AC456" i="9"/>
  <c r="AB456" i="9"/>
  <c r="AA456" i="9"/>
  <c r="Z456" i="9"/>
  <c r="Y456" i="9"/>
  <c r="AG455" i="9"/>
  <c r="AF455" i="9"/>
  <c r="AE455" i="9"/>
  <c r="AD455" i="9"/>
  <c r="AC455" i="9"/>
  <c r="AB455" i="9"/>
  <c r="AA455" i="9"/>
  <c r="Z455" i="9"/>
  <c r="Y455" i="9"/>
  <c r="AG454" i="9"/>
  <c r="AF454" i="9"/>
  <c r="AE454" i="9"/>
  <c r="AD454" i="9"/>
  <c r="AC454" i="9"/>
  <c r="AB454" i="9"/>
  <c r="AA454" i="9"/>
  <c r="Z454" i="9"/>
  <c r="Y454" i="9"/>
  <c r="AG453" i="9"/>
  <c r="AF453" i="9"/>
  <c r="AE453" i="9"/>
  <c r="AD453" i="9"/>
  <c r="AC453" i="9"/>
  <c r="AB453" i="9"/>
  <c r="AA453" i="9"/>
  <c r="Z453" i="9"/>
  <c r="Y453" i="9"/>
  <c r="AG452" i="9"/>
  <c r="AF452" i="9"/>
  <c r="AE452" i="9"/>
  <c r="AD452" i="9"/>
  <c r="AC452" i="9"/>
  <c r="AB452" i="9"/>
  <c r="AA452" i="9"/>
  <c r="Z452" i="9"/>
  <c r="Y452" i="9"/>
  <c r="AG451" i="9"/>
  <c r="AF451" i="9"/>
  <c r="AE451" i="9"/>
  <c r="AD451" i="9"/>
  <c r="AC451" i="9"/>
  <c r="AB451" i="9"/>
  <c r="AA451" i="9"/>
  <c r="Z451" i="9"/>
  <c r="Y451" i="9"/>
  <c r="AG450" i="9"/>
  <c r="AF450" i="9"/>
  <c r="AE450" i="9"/>
  <c r="AD450" i="9"/>
  <c r="AC450" i="9"/>
  <c r="AB450" i="9"/>
  <c r="AA450" i="9"/>
  <c r="Z450" i="9"/>
  <c r="Y450" i="9"/>
  <c r="AG449" i="9"/>
  <c r="AF449" i="9"/>
  <c r="AE449" i="9"/>
  <c r="AD449" i="9"/>
  <c r="AC449" i="9"/>
  <c r="AB449" i="9"/>
  <c r="AA449" i="9"/>
  <c r="Z449" i="9"/>
  <c r="Y449" i="9"/>
  <c r="AG448" i="9"/>
  <c r="AF448" i="9"/>
  <c r="AE448" i="9"/>
  <c r="AD448" i="9"/>
  <c r="AC448" i="9"/>
  <c r="AB448" i="9"/>
  <c r="AA448" i="9"/>
  <c r="Z448" i="9"/>
  <c r="Y448" i="9"/>
  <c r="AG447" i="9"/>
  <c r="AF447" i="9"/>
  <c r="AE447" i="9"/>
  <c r="AD447" i="9"/>
  <c r="AC447" i="9"/>
  <c r="AB447" i="9"/>
  <c r="AA447" i="9"/>
  <c r="Z447" i="9"/>
  <c r="Y447" i="9"/>
  <c r="AG446" i="9"/>
  <c r="AF446" i="9"/>
  <c r="AE446" i="9"/>
  <c r="AD446" i="9"/>
  <c r="AC446" i="9"/>
  <c r="AB446" i="9"/>
  <c r="AA446" i="9"/>
  <c r="Z446" i="9"/>
  <c r="Y446" i="9"/>
  <c r="AG445" i="9"/>
  <c r="AF445" i="9"/>
  <c r="AE445" i="9"/>
  <c r="AD445" i="9"/>
  <c r="AC445" i="9"/>
  <c r="AB445" i="9"/>
  <c r="AA445" i="9"/>
  <c r="Z445" i="9"/>
  <c r="Y445" i="9"/>
  <c r="AG444" i="9"/>
  <c r="AF444" i="9"/>
  <c r="AE444" i="9"/>
  <c r="AD444" i="9"/>
  <c r="AC444" i="9"/>
  <c r="AB444" i="9"/>
  <c r="AA444" i="9"/>
  <c r="Z444" i="9"/>
  <c r="Y444" i="9"/>
  <c r="AG443" i="9"/>
  <c r="AF443" i="9"/>
  <c r="AE443" i="9"/>
  <c r="AD443" i="9"/>
  <c r="AC443" i="9"/>
  <c r="AB443" i="9"/>
  <c r="AA443" i="9"/>
  <c r="Z443" i="9"/>
  <c r="Y443" i="9"/>
  <c r="AG442" i="9"/>
  <c r="AF442" i="9"/>
  <c r="AE442" i="9"/>
  <c r="AD442" i="9"/>
  <c r="AC442" i="9"/>
  <c r="AB442" i="9"/>
  <c r="AA442" i="9"/>
  <c r="Z442" i="9"/>
  <c r="Y442" i="9"/>
  <c r="AG441" i="9"/>
  <c r="AF441" i="9"/>
  <c r="AE441" i="9"/>
  <c r="AD441" i="9"/>
  <c r="AC441" i="9"/>
  <c r="AB441" i="9"/>
  <c r="AA441" i="9"/>
  <c r="Z441" i="9"/>
  <c r="Y441" i="9"/>
  <c r="AG440" i="9"/>
  <c r="AF440" i="9"/>
  <c r="AE440" i="9"/>
  <c r="AD440" i="9"/>
  <c r="AC440" i="9"/>
  <c r="AB440" i="9"/>
  <c r="AA440" i="9"/>
  <c r="Z440" i="9"/>
  <c r="Y440" i="9"/>
  <c r="AG439" i="9"/>
  <c r="AF439" i="9"/>
  <c r="AE439" i="9"/>
  <c r="AD439" i="9"/>
  <c r="AC439" i="9"/>
  <c r="AB439" i="9"/>
  <c r="AA439" i="9"/>
  <c r="Z439" i="9"/>
  <c r="Y439" i="9"/>
  <c r="AG438" i="9"/>
  <c r="AF438" i="9"/>
  <c r="AE438" i="9"/>
  <c r="AD438" i="9"/>
  <c r="AC438" i="9"/>
  <c r="AB438" i="9"/>
  <c r="AA438" i="9"/>
  <c r="Z438" i="9"/>
  <c r="Y438" i="9"/>
  <c r="AG437" i="9"/>
  <c r="AF437" i="9"/>
  <c r="AE437" i="9"/>
  <c r="AD437" i="9"/>
  <c r="AC437" i="9"/>
  <c r="AB437" i="9"/>
  <c r="AA437" i="9"/>
  <c r="Z437" i="9"/>
  <c r="Y437" i="9"/>
  <c r="AG436" i="9"/>
  <c r="AF436" i="9"/>
  <c r="AE436" i="9"/>
  <c r="AD436" i="9"/>
  <c r="AC436" i="9"/>
  <c r="AB436" i="9"/>
  <c r="AA436" i="9"/>
  <c r="Z436" i="9"/>
  <c r="Y436" i="9"/>
  <c r="AG435" i="9"/>
  <c r="AF435" i="9"/>
  <c r="AE435" i="9"/>
  <c r="AD435" i="9"/>
  <c r="AC435" i="9"/>
  <c r="AB435" i="9"/>
  <c r="AA435" i="9"/>
  <c r="Z435" i="9"/>
  <c r="Y435" i="9"/>
  <c r="AG434" i="9"/>
  <c r="AF434" i="9"/>
  <c r="AE434" i="9"/>
  <c r="AD434" i="9"/>
  <c r="AC434" i="9"/>
  <c r="AB434" i="9"/>
  <c r="AA434" i="9"/>
  <c r="Z434" i="9"/>
  <c r="Y434" i="9"/>
  <c r="AG433" i="9"/>
  <c r="AF433" i="9"/>
  <c r="AE433" i="9"/>
  <c r="AD433" i="9"/>
  <c r="AC433" i="9"/>
  <c r="AB433" i="9"/>
  <c r="AA433" i="9"/>
  <c r="Z433" i="9"/>
  <c r="Y433" i="9"/>
  <c r="AG432" i="9"/>
  <c r="AF432" i="9"/>
  <c r="AE432" i="9"/>
  <c r="AD432" i="9"/>
  <c r="AC432" i="9"/>
  <c r="AB432" i="9"/>
  <c r="AA432" i="9"/>
  <c r="Z432" i="9"/>
  <c r="Y432" i="9"/>
  <c r="AG431" i="9"/>
  <c r="AF431" i="9"/>
  <c r="AE431" i="9"/>
  <c r="AD431" i="9"/>
  <c r="AC431" i="9"/>
  <c r="AB431" i="9"/>
  <c r="AA431" i="9"/>
  <c r="Z431" i="9"/>
  <c r="Y431" i="9"/>
  <c r="AG430" i="9"/>
  <c r="AF430" i="9"/>
  <c r="AE430" i="9"/>
  <c r="AD430" i="9"/>
  <c r="AC430" i="9"/>
  <c r="AB430" i="9"/>
  <c r="AA430" i="9"/>
  <c r="Z430" i="9"/>
  <c r="Y430" i="9"/>
  <c r="AG429" i="9"/>
  <c r="AF429" i="9"/>
  <c r="AE429" i="9"/>
  <c r="AD429" i="9"/>
  <c r="AC429" i="9"/>
  <c r="AB429" i="9"/>
  <c r="AA429" i="9"/>
  <c r="Z429" i="9"/>
  <c r="Y429" i="9"/>
  <c r="AG428" i="9"/>
  <c r="AF428" i="9"/>
  <c r="AE428" i="9"/>
  <c r="AD428" i="9"/>
  <c r="AC428" i="9"/>
  <c r="AB428" i="9"/>
  <c r="AA428" i="9"/>
  <c r="Z428" i="9"/>
  <c r="Y428" i="9"/>
  <c r="AG427" i="9"/>
  <c r="AF427" i="9"/>
  <c r="AE427" i="9"/>
  <c r="AD427" i="9"/>
  <c r="AC427" i="9"/>
  <c r="AB427" i="9"/>
  <c r="AA427" i="9"/>
  <c r="Z427" i="9"/>
  <c r="Y427" i="9"/>
  <c r="AG426" i="9"/>
  <c r="AF426" i="9"/>
  <c r="AE426" i="9"/>
  <c r="AD426" i="9"/>
  <c r="AC426" i="9"/>
  <c r="AB426" i="9"/>
  <c r="AA426" i="9"/>
  <c r="Z426" i="9"/>
  <c r="Y426" i="9"/>
  <c r="AG425" i="9"/>
  <c r="AF425" i="9"/>
  <c r="AE425" i="9"/>
  <c r="AD425" i="9"/>
  <c r="AC425" i="9"/>
  <c r="AB425" i="9"/>
  <c r="AA425" i="9"/>
  <c r="Z425" i="9"/>
  <c r="Y425" i="9"/>
  <c r="AG424" i="9"/>
  <c r="AF424" i="9"/>
  <c r="AE424" i="9"/>
  <c r="AD424" i="9"/>
  <c r="AC424" i="9"/>
  <c r="AB424" i="9"/>
  <c r="AA424" i="9"/>
  <c r="Z424" i="9"/>
  <c r="Y424" i="9"/>
  <c r="AG423" i="9"/>
  <c r="AF423" i="9"/>
  <c r="AE423" i="9"/>
  <c r="AD423" i="9"/>
  <c r="AC423" i="9"/>
  <c r="AB423" i="9"/>
  <c r="AA423" i="9"/>
  <c r="Z423" i="9"/>
  <c r="Y423" i="9"/>
  <c r="AG422" i="9"/>
  <c r="AF422" i="9"/>
  <c r="AE422" i="9"/>
  <c r="AD422" i="9"/>
  <c r="AC422" i="9"/>
  <c r="AB422" i="9"/>
  <c r="AA422" i="9"/>
  <c r="Z422" i="9"/>
  <c r="Y422" i="9"/>
  <c r="AG421" i="9"/>
  <c r="AF421" i="9"/>
  <c r="AE421" i="9"/>
  <c r="AD421" i="9"/>
  <c r="AC421" i="9"/>
  <c r="AB421" i="9"/>
  <c r="AA421" i="9"/>
  <c r="Z421" i="9"/>
  <c r="Y421" i="9"/>
  <c r="AG420" i="9"/>
  <c r="AF420" i="9"/>
  <c r="AE420" i="9"/>
  <c r="AD420" i="9"/>
  <c r="AC420" i="9"/>
  <c r="AB420" i="9"/>
  <c r="AA420" i="9"/>
  <c r="Z420" i="9"/>
  <c r="Y420" i="9"/>
  <c r="AG419" i="9"/>
  <c r="AF419" i="9"/>
  <c r="AE419" i="9"/>
  <c r="AD419" i="9"/>
  <c r="AC419" i="9"/>
  <c r="AB419" i="9"/>
  <c r="AA419" i="9"/>
  <c r="Z419" i="9"/>
  <c r="Y419" i="9"/>
  <c r="AG418" i="9"/>
  <c r="AF418" i="9"/>
  <c r="AE418" i="9"/>
  <c r="AD418" i="9"/>
  <c r="AC418" i="9"/>
  <c r="AB418" i="9"/>
  <c r="AA418" i="9"/>
  <c r="Z418" i="9"/>
  <c r="Y418" i="9"/>
  <c r="AG417" i="9"/>
  <c r="AF417" i="9"/>
  <c r="AE417" i="9"/>
  <c r="AD417" i="9"/>
  <c r="AC417" i="9"/>
  <c r="AB417" i="9"/>
  <c r="AA417" i="9"/>
  <c r="Z417" i="9"/>
  <c r="Y417" i="9"/>
  <c r="AG416" i="9"/>
  <c r="AF416" i="9"/>
  <c r="AE416" i="9"/>
  <c r="AD416" i="9"/>
  <c r="AC416" i="9"/>
  <c r="AB416" i="9"/>
  <c r="AA416" i="9"/>
  <c r="Z416" i="9"/>
  <c r="Y416" i="9"/>
  <c r="AG415" i="9"/>
  <c r="AF415" i="9"/>
  <c r="AE415" i="9"/>
  <c r="AD415" i="9"/>
  <c r="AC415" i="9"/>
  <c r="AB415" i="9"/>
  <c r="AA415" i="9"/>
  <c r="Z415" i="9"/>
  <c r="Y415" i="9"/>
  <c r="AG414" i="9"/>
  <c r="AF414" i="9"/>
  <c r="AE414" i="9"/>
  <c r="AD414" i="9"/>
  <c r="AC414" i="9"/>
  <c r="AB414" i="9"/>
  <c r="AA414" i="9"/>
  <c r="Z414" i="9"/>
  <c r="Y414" i="9"/>
  <c r="AG413" i="9"/>
  <c r="AF413" i="9"/>
  <c r="AE413" i="9"/>
  <c r="AD413" i="9"/>
  <c r="AC413" i="9"/>
  <c r="AB413" i="9"/>
  <c r="AA413" i="9"/>
  <c r="Z413" i="9"/>
  <c r="Y413" i="9"/>
  <c r="AG412" i="9"/>
  <c r="AF412" i="9"/>
  <c r="AE412" i="9"/>
  <c r="AD412" i="9"/>
  <c r="AC412" i="9"/>
  <c r="AB412" i="9"/>
  <c r="AA412" i="9"/>
  <c r="Z412" i="9"/>
  <c r="Y412" i="9"/>
  <c r="AG411" i="9"/>
  <c r="AF411" i="9"/>
  <c r="AE411" i="9"/>
  <c r="AD411" i="9"/>
  <c r="AC411" i="9"/>
  <c r="AB411" i="9"/>
  <c r="AA411" i="9"/>
  <c r="Z411" i="9"/>
  <c r="Y411" i="9"/>
  <c r="AG410" i="9"/>
  <c r="AF410" i="9"/>
  <c r="AE410" i="9"/>
  <c r="AD410" i="9"/>
  <c r="AC410" i="9"/>
  <c r="AB410" i="9"/>
  <c r="AA410" i="9"/>
  <c r="Z410" i="9"/>
  <c r="Y410" i="9"/>
  <c r="AG409" i="9"/>
  <c r="AF409" i="9"/>
  <c r="AE409" i="9"/>
  <c r="AD409" i="9"/>
  <c r="AC409" i="9"/>
  <c r="AB409" i="9"/>
  <c r="AA409" i="9"/>
  <c r="Z409" i="9"/>
  <c r="Y409" i="9"/>
  <c r="AG408" i="9"/>
  <c r="AF408" i="9"/>
  <c r="AE408" i="9"/>
  <c r="AD408" i="9"/>
  <c r="AC408" i="9"/>
  <c r="AB408" i="9"/>
  <c r="AA408" i="9"/>
  <c r="Z408" i="9"/>
  <c r="Y408" i="9"/>
  <c r="AG407" i="9"/>
  <c r="AF407" i="9"/>
  <c r="AE407" i="9"/>
  <c r="AD407" i="9"/>
  <c r="AC407" i="9"/>
  <c r="AB407" i="9"/>
  <c r="AA407" i="9"/>
  <c r="Z407" i="9"/>
  <c r="Y407" i="9"/>
  <c r="AG406" i="9"/>
  <c r="AF406" i="9"/>
  <c r="AE406" i="9"/>
  <c r="AD406" i="9"/>
  <c r="AC406" i="9"/>
  <c r="AB406" i="9"/>
  <c r="AA406" i="9"/>
  <c r="Z406" i="9"/>
  <c r="Y406" i="9"/>
  <c r="AG405" i="9"/>
  <c r="AF405" i="9"/>
  <c r="AE405" i="9"/>
  <c r="AD405" i="9"/>
  <c r="AC405" i="9"/>
  <c r="AB405" i="9"/>
  <c r="AA405" i="9"/>
  <c r="Z405" i="9"/>
  <c r="Y405" i="9"/>
  <c r="AG404" i="9"/>
  <c r="AF404" i="9"/>
  <c r="AE404" i="9"/>
  <c r="AD404" i="9"/>
  <c r="AC404" i="9"/>
  <c r="AB404" i="9"/>
  <c r="AA404" i="9"/>
  <c r="Z404" i="9"/>
  <c r="Y404" i="9"/>
  <c r="AG403" i="9"/>
  <c r="AF403" i="9"/>
  <c r="AE403" i="9"/>
  <c r="AD403" i="9"/>
  <c r="AC403" i="9"/>
  <c r="AB403" i="9"/>
  <c r="AA403" i="9"/>
  <c r="Z403" i="9"/>
  <c r="Y403" i="9"/>
  <c r="AG402" i="9"/>
  <c r="AF402" i="9"/>
  <c r="AE402" i="9"/>
  <c r="AD402" i="9"/>
  <c r="AC402" i="9"/>
  <c r="AB402" i="9"/>
  <c r="AA402" i="9"/>
  <c r="Z402" i="9"/>
  <c r="Y402" i="9"/>
  <c r="AG401" i="9"/>
  <c r="AF401" i="9"/>
  <c r="AE401" i="9"/>
  <c r="AD401" i="9"/>
  <c r="AC401" i="9"/>
  <c r="AB401" i="9"/>
  <c r="AA401" i="9"/>
  <c r="Z401" i="9"/>
  <c r="Y401" i="9"/>
  <c r="AG400" i="9"/>
  <c r="AF400" i="9"/>
  <c r="AE400" i="9"/>
  <c r="AD400" i="9"/>
  <c r="AC400" i="9"/>
  <c r="AB400" i="9"/>
  <c r="AA400" i="9"/>
  <c r="Z400" i="9"/>
  <c r="Y400" i="9"/>
  <c r="AG399" i="9"/>
  <c r="AF399" i="9"/>
  <c r="AE399" i="9"/>
  <c r="AD399" i="9"/>
  <c r="AC399" i="9"/>
  <c r="AB399" i="9"/>
  <c r="AA399" i="9"/>
  <c r="Z399" i="9"/>
  <c r="Y399" i="9"/>
  <c r="AG398" i="9"/>
  <c r="AF398" i="9"/>
  <c r="AE398" i="9"/>
  <c r="AD398" i="9"/>
  <c r="AC398" i="9"/>
  <c r="AB398" i="9"/>
  <c r="AA398" i="9"/>
  <c r="Z398" i="9"/>
  <c r="Y398" i="9"/>
  <c r="AG397" i="9"/>
  <c r="AF397" i="9"/>
  <c r="AE397" i="9"/>
  <c r="AD397" i="9"/>
  <c r="AC397" i="9"/>
  <c r="AB397" i="9"/>
  <c r="AA397" i="9"/>
  <c r="Z397" i="9"/>
  <c r="Y397" i="9"/>
  <c r="AG396" i="9"/>
  <c r="AF396" i="9"/>
  <c r="AE396" i="9"/>
  <c r="AD396" i="9"/>
  <c r="AC396" i="9"/>
  <c r="AB396" i="9"/>
  <c r="AA396" i="9"/>
  <c r="Z396" i="9"/>
  <c r="Y396" i="9"/>
  <c r="AG395" i="9"/>
  <c r="AF395" i="9"/>
  <c r="AE395" i="9"/>
  <c r="AD395" i="9"/>
  <c r="AC395" i="9"/>
  <c r="AB395" i="9"/>
  <c r="AA395" i="9"/>
  <c r="Z395" i="9"/>
  <c r="Y395" i="9"/>
  <c r="AG394" i="9"/>
  <c r="AF394" i="9"/>
  <c r="AE394" i="9"/>
  <c r="AD394" i="9"/>
  <c r="AC394" i="9"/>
  <c r="AB394" i="9"/>
  <c r="AA394" i="9"/>
  <c r="Z394" i="9"/>
  <c r="Y394" i="9"/>
  <c r="AG393" i="9"/>
  <c r="AF393" i="9"/>
  <c r="AE393" i="9"/>
  <c r="AD393" i="9"/>
  <c r="AC393" i="9"/>
  <c r="AB393" i="9"/>
  <c r="AA393" i="9"/>
  <c r="Z393" i="9"/>
  <c r="Y393" i="9"/>
  <c r="AG392" i="9"/>
  <c r="AF392" i="9"/>
  <c r="AE392" i="9"/>
  <c r="AD392" i="9"/>
  <c r="AC392" i="9"/>
  <c r="AB392" i="9"/>
  <c r="AA392" i="9"/>
  <c r="Z392" i="9"/>
  <c r="Y392" i="9"/>
  <c r="AG391" i="9"/>
  <c r="AF391" i="9"/>
  <c r="AE391" i="9"/>
  <c r="AD391" i="9"/>
  <c r="AC391" i="9"/>
  <c r="AB391" i="9"/>
  <c r="AA391" i="9"/>
  <c r="Z391" i="9"/>
  <c r="Y391" i="9"/>
  <c r="AG390" i="9"/>
  <c r="AF390" i="9"/>
  <c r="AE390" i="9"/>
  <c r="AD390" i="9"/>
  <c r="AC390" i="9"/>
  <c r="AB390" i="9"/>
  <c r="AA390" i="9"/>
  <c r="Z390" i="9"/>
  <c r="Y390" i="9"/>
  <c r="AG389" i="9"/>
  <c r="AF389" i="9"/>
  <c r="AE389" i="9"/>
  <c r="AD389" i="9"/>
  <c r="AC389" i="9"/>
  <c r="AB389" i="9"/>
  <c r="AA389" i="9"/>
  <c r="Z389" i="9"/>
  <c r="Y389" i="9"/>
  <c r="AG388" i="9"/>
  <c r="AF388" i="9"/>
  <c r="AE388" i="9"/>
  <c r="AD388" i="9"/>
  <c r="AC388" i="9"/>
  <c r="AB388" i="9"/>
  <c r="AA388" i="9"/>
  <c r="Z388" i="9"/>
  <c r="Y388" i="9"/>
  <c r="AG387" i="9"/>
  <c r="AF387" i="9"/>
  <c r="AE387" i="9"/>
  <c r="AD387" i="9"/>
  <c r="AC387" i="9"/>
  <c r="AB387" i="9"/>
  <c r="AA387" i="9"/>
  <c r="Z387" i="9"/>
  <c r="Y387" i="9"/>
  <c r="AG386" i="9"/>
  <c r="AF386" i="9"/>
  <c r="AE386" i="9"/>
  <c r="AD386" i="9"/>
  <c r="AC386" i="9"/>
  <c r="AB386" i="9"/>
  <c r="AA386" i="9"/>
  <c r="Z386" i="9"/>
  <c r="Y386" i="9"/>
  <c r="AG385" i="9"/>
  <c r="AF385" i="9"/>
  <c r="AE385" i="9"/>
  <c r="AD385" i="9"/>
  <c r="AC385" i="9"/>
  <c r="AB385" i="9"/>
  <c r="AA385" i="9"/>
  <c r="Z385" i="9"/>
  <c r="Y385" i="9"/>
  <c r="AG384" i="9"/>
  <c r="AF384" i="9"/>
  <c r="AE384" i="9"/>
  <c r="AD384" i="9"/>
  <c r="AC384" i="9"/>
  <c r="AB384" i="9"/>
  <c r="AA384" i="9"/>
  <c r="Z384" i="9"/>
  <c r="Y384" i="9"/>
  <c r="AG383" i="9"/>
  <c r="AF383" i="9"/>
  <c r="AE383" i="9"/>
  <c r="AD383" i="9"/>
  <c r="AC383" i="9"/>
  <c r="AB383" i="9"/>
  <c r="AA383" i="9"/>
  <c r="Z383" i="9"/>
  <c r="Y383" i="9"/>
  <c r="AG382" i="9"/>
  <c r="AF382" i="9"/>
  <c r="AE382" i="9"/>
  <c r="AD382" i="9"/>
  <c r="AC382" i="9"/>
  <c r="AB382" i="9"/>
  <c r="AA382" i="9"/>
  <c r="Z382" i="9"/>
  <c r="Y382" i="9"/>
  <c r="AG381" i="9"/>
  <c r="AF381" i="9"/>
  <c r="AE381" i="9"/>
  <c r="AD381" i="9"/>
  <c r="AC381" i="9"/>
  <c r="AB381" i="9"/>
  <c r="AA381" i="9"/>
  <c r="Z381" i="9"/>
  <c r="Y381" i="9"/>
  <c r="AG380" i="9"/>
  <c r="AF380" i="9"/>
  <c r="AE380" i="9"/>
  <c r="AD380" i="9"/>
  <c r="AC380" i="9"/>
  <c r="AB380" i="9"/>
  <c r="AA380" i="9"/>
  <c r="Z380" i="9"/>
  <c r="Y380" i="9"/>
  <c r="AG379" i="9"/>
  <c r="AF379" i="9"/>
  <c r="AE379" i="9"/>
  <c r="AD379" i="9"/>
  <c r="AC379" i="9"/>
  <c r="AB379" i="9"/>
  <c r="AA379" i="9"/>
  <c r="Z379" i="9"/>
  <c r="Y379" i="9"/>
  <c r="AG378" i="9"/>
  <c r="AF378" i="9"/>
  <c r="AE378" i="9"/>
  <c r="AD378" i="9"/>
  <c r="AC378" i="9"/>
  <c r="AB378" i="9"/>
  <c r="AA378" i="9"/>
  <c r="Z378" i="9"/>
  <c r="Y378" i="9"/>
  <c r="AG377" i="9"/>
  <c r="AF377" i="9"/>
  <c r="AE377" i="9"/>
  <c r="AD377" i="9"/>
  <c r="AC377" i="9"/>
  <c r="AB377" i="9"/>
  <c r="AA377" i="9"/>
  <c r="Z377" i="9"/>
  <c r="Y377" i="9"/>
  <c r="AG376" i="9"/>
  <c r="AF376" i="9"/>
  <c r="AE376" i="9"/>
  <c r="AD376" i="9"/>
  <c r="AC376" i="9"/>
  <c r="AB376" i="9"/>
  <c r="AA376" i="9"/>
  <c r="Z376" i="9"/>
  <c r="Y376" i="9"/>
  <c r="AG375" i="9"/>
  <c r="AF375" i="9"/>
  <c r="AE375" i="9"/>
  <c r="AD375" i="9"/>
  <c r="AC375" i="9"/>
  <c r="AB375" i="9"/>
  <c r="AA375" i="9"/>
  <c r="Z375" i="9"/>
  <c r="Y375" i="9"/>
  <c r="AG374" i="9"/>
  <c r="AF374" i="9"/>
  <c r="AE374" i="9"/>
  <c r="AD374" i="9"/>
  <c r="AC374" i="9"/>
  <c r="AB374" i="9"/>
  <c r="AA374" i="9"/>
  <c r="Z374" i="9"/>
  <c r="Y374" i="9"/>
  <c r="AG373" i="9"/>
  <c r="AF373" i="9"/>
  <c r="AE373" i="9"/>
  <c r="AD373" i="9"/>
  <c r="AC373" i="9"/>
  <c r="AB373" i="9"/>
  <c r="AA373" i="9"/>
  <c r="Z373" i="9"/>
  <c r="Y373" i="9"/>
  <c r="AG372" i="9"/>
  <c r="AF372" i="9"/>
  <c r="AE372" i="9"/>
  <c r="AD372" i="9"/>
  <c r="AC372" i="9"/>
  <c r="AB372" i="9"/>
  <c r="AA372" i="9"/>
  <c r="Z372" i="9"/>
  <c r="Y372" i="9"/>
  <c r="AG371" i="9"/>
  <c r="AF371" i="9"/>
  <c r="AE371" i="9"/>
  <c r="AD371" i="9"/>
  <c r="AC371" i="9"/>
  <c r="AB371" i="9"/>
  <c r="AA371" i="9"/>
  <c r="Z371" i="9"/>
  <c r="Y371" i="9"/>
  <c r="AG370" i="9"/>
  <c r="AF370" i="9"/>
  <c r="AE370" i="9"/>
  <c r="AD370" i="9"/>
  <c r="AC370" i="9"/>
  <c r="AB370" i="9"/>
  <c r="AA370" i="9"/>
  <c r="Z370" i="9"/>
  <c r="Y370" i="9"/>
  <c r="AG369" i="9"/>
  <c r="AF369" i="9"/>
  <c r="AE369" i="9"/>
  <c r="AD369" i="9"/>
  <c r="AC369" i="9"/>
  <c r="AB369" i="9"/>
  <c r="AA369" i="9"/>
  <c r="Z369" i="9"/>
  <c r="Y369" i="9"/>
  <c r="AG368" i="9"/>
  <c r="AF368" i="9"/>
  <c r="AE368" i="9"/>
  <c r="AD368" i="9"/>
  <c r="AC368" i="9"/>
  <c r="AB368" i="9"/>
  <c r="AA368" i="9"/>
  <c r="Z368" i="9"/>
  <c r="Y368" i="9"/>
  <c r="AG367" i="9"/>
  <c r="AF367" i="9"/>
  <c r="AE367" i="9"/>
  <c r="AD367" i="9"/>
  <c r="AC367" i="9"/>
  <c r="AB367" i="9"/>
  <c r="AA367" i="9"/>
  <c r="Z367" i="9"/>
  <c r="Y367" i="9"/>
  <c r="AG366" i="9"/>
  <c r="AF366" i="9"/>
  <c r="AE366" i="9"/>
  <c r="AD366" i="9"/>
  <c r="AC366" i="9"/>
  <c r="AB366" i="9"/>
  <c r="AA366" i="9"/>
  <c r="Z366" i="9"/>
  <c r="Y366" i="9"/>
  <c r="AG365" i="9"/>
  <c r="AF365" i="9"/>
  <c r="AE365" i="9"/>
  <c r="AD365" i="9"/>
  <c r="AC365" i="9"/>
  <c r="AB365" i="9"/>
  <c r="AA365" i="9"/>
  <c r="Z365" i="9"/>
  <c r="Y365" i="9"/>
  <c r="AG364" i="9"/>
  <c r="AF364" i="9"/>
  <c r="AE364" i="9"/>
  <c r="AD364" i="9"/>
  <c r="AC364" i="9"/>
  <c r="AB364" i="9"/>
  <c r="AA364" i="9"/>
  <c r="Z364" i="9"/>
  <c r="Y364" i="9"/>
  <c r="AG363" i="9"/>
  <c r="AF363" i="9"/>
  <c r="AE363" i="9"/>
  <c r="AD363" i="9"/>
  <c r="AC363" i="9"/>
  <c r="AB363" i="9"/>
  <c r="AA363" i="9"/>
  <c r="Z363" i="9"/>
  <c r="Y363" i="9"/>
  <c r="AG362" i="9"/>
  <c r="AF362" i="9"/>
  <c r="AE362" i="9"/>
  <c r="AD362" i="9"/>
  <c r="AC362" i="9"/>
  <c r="AB362" i="9"/>
  <c r="AA362" i="9"/>
  <c r="Z362" i="9"/>
  <c r="Y362" i="9"/>
  <c r="AG361" i="9"/>
  <c r="AF361" i="9"/>
  <c r="AE361" i="9"/>
  <c r="AD361" i="9"/>
  <c r="AC361" i="9"/>
  <c r="AB361" i="9"/>
  <c r="AA361" i="9"/>
  <c r="Z361" i="9"/>
  <c r="Y361" i="9"/>
  <c r="AG360" i="9"/>
  <c r="AF360" i="9"/>
  <c r="AE360" i="9"/>
  <c r="AD360" i="9"/>
  <c r="AC360" i="9"/>
  <c r="AB360" i="9"/>
  <c r="AA360" i="9"/>
  <c r="Z360" i="9"/>
  <c r="Y360" i="9"/>
  <c r="AG359" i="9"/>
  <c r="AF359" i="9"/>
  <c r="AE359" i="9"/>
  <c r="AD359" i="9"/>
  <c r="AC359" i="9"/>
  <c r="AB359" i="9"/>
  <c r="AA359" i="9"/>
  <c r="Z359" i="9"/>
  <c r="Y359" i="9"/>
  <c r="AG358" i="9"/>
  <c r="AF358" i="9"/>
  <c r="AE358" i="9"/>
  <c r="AD358" i="9"/>
  <c r="AC358" i="9"/>
  <c r="AB358" i="9"/>
  <c r="AA358" i="9"/>
  <c r="Z358" i="9"/>
  <c r="Y358" i="9"/>
  <c r="AG357" i="9"/>
  <c r="AF357" i="9"/>
  <c r="AE357" i="9"/>
  <c r="AD357" i="9"/>
  <c r="AC357" i="9"/>
  <c r="AB357" i="9"/>
  <c r="AA357" i="9"/>
  <c r="Z357" i="9"/>
  <c r="Y357" i="9"/>
  <c r="AG356" i="9"/>
  <c r="AF356" i="9"/>
  <c r="AE356" i="9"/>
  <c r="AD356" i="9"/>
  <c r="AC356" i="9"/>
  <c r="AB356" i="9"/>
  <c r="AA356" i="9"/>
  <c r="Z356" i="9"/>
  <c r="Y356" i="9"/>
  <c r="AG355" i="9"/>
  <c r="AF355" i="9"/>
  <c r="AE355" i="9"/>
  <c r="AD355" i="9"/>
  <c r="AC355" i="9"/>
  <c r="AB355" i="9"/>
  <c r="AA355" i="9"/>
  <c r="Z355" i="9"/>
  <c r="Y355" i="9"/>
  <c r="AG354" i="9"/>
  <c r="AF354" i="9"/>
  <c r="AE354" i="9"/>
  <c r="AD354" i="9"/>
  <c r="AC354" i="9"/>
  <c r="AB354" i="9"/>
  <c r="AA354" i="9"/>
  <c r="Z354" i="9"/>
  <c r="Y354" i="9"/>
  <c r="AG353" i="9"/>
  <c r="AF353" i="9"/>
  <c r="AE353" i="9"/>
  <c r="AD353" i="9"/>
  <c r="AC353" i="9"/>
  <c r="AB353" i="9"/>
  <c r="AA353" i="9"/>
  <c r="Z353" i="9"/>
  <c r="Y353" i="9"/>
  <c r="AG352" i="9"/>
  <c r="AF352" i="9"/>
  <c r="AE352" i="9"/>
  <c r="AD352" i="9"/>
  <c r="AC352" i="9"/>
  <c r="AB352" i="9"/>
  <c r="AA352" i="9"/>
  <c r="Z352" i="9"/>
  <c r="Y352" i="9"/>
  <c r="AG351" i="9"/>
  <c r="AF351" i="9"/>
  <c r="AE351" i="9"/>
  <c r="AD351" i="9"/>
  <c r="AC351" i="9"/>
  <c r="AB351" i="9"/>
  <c r="AA351" i="9"/>
  <c r="Z351" i="9"/>
  <c r="Y351" i="9"/>
  <c r="AG350" i="9"/>
  <c r="AF350" i="9"/>
  <c r="AE350" i="9"/>
  <c r="AD350" i="9"/>
  <c r="AC350" i="9"/>
  <c r="AB350" i="9"/>
  <c r="AA350" i="9"/>
  <c r="Z350" i="9"/>
  <c r="Y350" i="9"/>
  <c r="AG349" i="9"/>
  <c r="AF349" i="9"/>
  <c r="AE349" i="9"/>
  <c r="AD349" i="9"/>
  <c r="AC349" i="9"/>
  <c r="AB349" i="9"/>
  <c r="AA349" i="9"/>
  <c r="Z349" i="9"/>
  <c r="Y349" i="9"/>
  <c r="AG348" i="9"/>
  <c r="AF348" i="9"/>
  <c r="AE348" i="9"/>
  <c r="AD348" i="9"/>
  <c r="AC348" i="9"/>
  <c r="AB348" i="9"/>
  <c r="AA348" i="9"/>
  <c r="Z348" i="9"/>
  <c r="Y348" i="9"/>
  <c r="AG347" i="9"/>
  <c r="AF347" i="9"/>
  <c r="AE347" i="9"/>
  <c r="AD347" i="9"/>
  <c r="AC347" i="9"/>
  <c r="AB347" i="9"/>
  <c r="AA347" i="9"/>
  <c r="Z347" i="9"/>
  <c r="Y347" i="9"/>
  <c r="AG346" i="9"/>
  <c r="AF346" i="9"/>
  <c r="AE346" i="9"/>
  <c r="AD346" i="9"/>
  <c r="AC346" i="9"/>
  <c r="AB346" i="9"/>
  <c r="AA346" i="9"/>
  <c r="Z346" i="9"/>
  <c r="Y346" i="9"/>
  <c r="AG345" i="9"/>
  <c r="AF345" i="9"/>
  <c r="AE345" i="9"/>
  <c r="AD345" i="9"/>
  <c r="AC345" i="9"/>
  <c r="AB345" i="9"/>
  <c r="AA345" i="9"/>
  <c r="Z345" i="9"/>
  <c r="Y345" i="9"/>
  <c r="AG344" i="9"/>
  <c r="AF344" i="9"/>
  <c r="AE344" i="9"/>
  <c r="AD344" i="9"/>
  <c r="AC344" i="9"/>
  <c r="AB344" i="9"/>
  <c r="AA344" i="9"/>
  <c r="Z344" i="9"/>
  <c r="Y344" i="9"/>
  <c r="AG343" i="9"/>
  <c r="AF343" i="9"/>
  <c r="AE343" i="9"/>
  <c r="AD343" i="9"/>
  <c r="AC343" i="9"/>
  <c r="AB343" i="9"/>
  <c r="AA343" i="9"/>
  <c r="Z343" i="9"/>
  <c r="Y343" i="9"/>
  <c r="AG342" i="9"/>
  <c r="AF342" i="9"/>
  <c r="AE342" i="9"/>
  <c r="AD342" i="9"/>
  <c r="AC342" i="9"/>
  <c r="AB342" i="9"/>
  <c r="AA342" i="9"/>
  <c r="Z342" i="9"/>
  <c r="Y342" i="9"/>
  <c r="AG341" i="9"/>
  <c r="AF341" i="9"/>
  <c r="AE341" i="9"/>
  <c r="AD341" i="9"/>
  <c r="AC341" i="9"/>
  <c r="AB341" i="9"/>
  <c r="AA341" i="9"/>
  <c r="Z341" i="9"/>
  <c r="Y341" i="9"/>
  <c r="AG340" i="9"/>
  <c r="AF340" i="9"/>
  <c r="AE340" i="9"/>
  <c r="AD340" i="9"/>
  <c r="AC340" i="9"/>
  <c r="AB340" i="9"/>
  <c r="AA340" i="9"/>
  <c r="Z340" i="9"/>
  <c r="Y340" i="9"/>
  <c r="AG339" i="9"/>
  <c r="AF339" i="9"/>
  <c r="AE339" i="9"/>
  <c r="AD339" i="9"/>
  <c r="AC339" i="9"/>
  <c r="AB339" i="9"/>
  <c r="AA339" i="9"/>
  <c r="Z339" i="9"/>
  <c r="Y339" i="9"/>
  <c r="AG338" i="9"/>
  <c r="AF338" i="9"/>
  <c r="AE338" i="9"/>
  <c r="AD338" i="9"/>
  <c r="AC338" i="9"/>
  <c r="AB338" i="9"/>
  <c r="AA338" i="9"/>
  <c r="Z338" i="9"/>
  <c r="Y338" i="9"/>
  <c r="AG337" i="9"/>
  <c r="AF337" i="9"/>
  <c r="AE337" i="9"/>
  <c r="AD337" i="9"/>
  <c r="AC337" i="9"/>
  <c r="AB337" i="9"/>
  <c r="AA337" i="9"/>
  <c r="Z337" i="9"/>
  <c r="Y337" i="9"/>
  <c r="AG336" i="9"/>
  <c r="AF336" i="9"/>
  <c r="AE336" i="9"/>
  <c r="AD336" i="9"/>
  <c r="AC336" i="9"/>
  <c r="AB336" i="9"/>
  <c r="AA336" i="9"/>
  <c r="Z336" i="9"/>
  <c r="Y336" i="9"/>
  <c r="AG335" i="9"/>
  <c r="AF335" i="9"/>
  <c r="AE335" i="9"/>
  <c r="AD335" i="9"/>
  <c r="AC335" i="9"/>
  <c r="AB335" i="9"/>
  <c r="AA335" i="9"/>
  <c r="Z335" i="9"/>
  <c r="Y335" i="9"/>
  <c r="AG334" i="9"/>
  <c r="AF334" i="9"/>
  <c r="AE334" i="9"/>
  <c r="AD334" i="9"/>
  <c r="AC334" i="9"/>
  <c r="AB334" i="9"/>
  <c r="AA334" i="9"/>
  <c r="Z334" i="9"/>
  <c r="Y334" i="9"/>
  <c r="AG333" i="9"/>
  <c r="AF333" i="9"/>
  <c r="AE333" i="9"/>
  <c r="AD333" i="9"/>
  <c r="AC333" i="9"/>
  <c r="AB333" i="9"/>
  <c r="AA333" i="9"/>
  <c r="Z333" i="9"/>
  <c r="Y333" i="9"/>
  <c r="AG332" i="9"/>
  <c r="AF332" i="9"/>
  <c r="AE332" i="9"/>
  <c r="AD332" i="9"/>
  <c r="AC332" i="9"/>
  <c r="AB332" i="9"/>
  <c r="AA332" i="9"/>
  <c r="Z332" i="9"/>
  <c r="Y332" i="9"/>
  <c r="AG331" i="9"/>
  <c r="AF331" i="9"/>
  <c r="AE331" i="9"/>
  <c r="AD331" i="9"/>
  <c r="AC331" i="9"/>
  <c r="AB331" i="9"/>
  <c r="AA331" i="9"/>
  <c r="Z331" i="9"/>
  <c r="Y331" i="9"/>
  <c r="AG330" i="9"/>
  <c r="AF330" i="9"/>
  <c r="AE330" i="9"/>
  <c r="AD330" i="9"/>
  <c r="AC330" i="9"/>
  <c r="AB330" i="9"/>
  <c r="AA330" i="9"/>
  <c r="Z330" i="9"/>
  <c r="Y330" i="9"/>
  <c r="AG329" i="9"/>
  <c r="AF329" i="9"/>
  <c r="AE329" i="9"/>
  <c r="AD329" i="9"/>
  <c r="AC329" i="9"/>
  <c r="AB329" i="9"/>
  <c r="AA329" i="9"/>
  <c r="Z329" i="9"/>
  <c r="Y329" i="9"/>
  <c r="AG328" i="9"/>
  <c r="AF328" i="9"/>
  <c r="AE328" i="9"/>
  <c r="AD328" i="9"/>
  <c r="AC328" i="9"/>
  <c r="AB328" i="9"/>
  <c r="AA328" i="9"/>
  <c r="Z328" i="9"/>
  <c r="Y328" i="9"/>
  <c r="AG327" i="9"/>
  <c r="AF327" i="9"/>
  <c r="AE327" i="9"/>
  <c r="AD327" i="9"/>
  <c r="AC327" i="9"/>
  <c r="AB327" i="9"/>
  <c r="AA327" i="9"/>
  <c r="Z327" i="9"/>
  <c r="Y327" i="9"/>
  <c r="AG326" i="9"/>
  <c r="AF326" i="9"/>
  <c r="AE326" i="9"/>
  <c r="AD326" i="9"/>
  <c r="AC326" i="9"/>
  <c r="AB326" i="9"/>
  <c r="AA326" i="9"/>
  <c r="Z326" i="9"/>
  <c r="Y326" i="9"/>
  <c r="AG325" i="9"/>
  <c r="AF325" i="9"/>
  <c r="AE325" i="9"/>
  <c r="AD325" i="9"/>
  <c r="AC325" i="9"/>
  <c r="AB325" i="9"/>
  <c r="AA325" i="9"/>
  <c r="Z325" i="9"/>
  <c r="Y325" i="9"/>
  <c r="AG324" i="9"/>
  <c r="AF324" i="9"/>
  <c r="AE324" i="9"/>
  <c r="AD324" i="9"/>
  <c r="AC324" i="9"/>
  <c r="AB324" i="9"/>
  <c r="AA324" i="9"/>
  <c r="Z324" i="9"/>
  <c r="Y324" i="9"/>
  <c r="AG323" i="9"/>
  <c r="AF323" i="9"/>
  <c r="AE323" i="9"/>
  <c r="AD323" i="9"/>
  <c r="AC323" i="9"/>
  <c r="AB323" i="9"/>
  <c r="AA323" i="9"/>
  <c r="Z323" i="9"/>
  <c r="Y323" i="9"/>
  <c r="AG322" i="9"/>
  <c r="AF322" i="9"/>
  <c r="AE322" i="9"/>
  <c r="AD322" i="9"/>
  <c r="AC322" i="9"/>
  <c r="AB322" i="9"/>
  <c r="AA322" i="9"/>
  <c r="Z322" i="9"/>
  <c r="Y322" i="9"/>
  <c r="AG321" i="9"/>
  <c r="AF321" i="9"/>
  <c r="AE321" i="9"/>
  <c r="AD321" i="9"/>
  <c r="AC321" i="9"/>
  <c r="AB321" i="9"/>
  <c r="AA321" i="9"/>
  <c r="Z321" i="9"/>
  <c r="Y321" i="9"/>
  <c r="AG320" i="9"/>
  <c r="AF320" i="9"/>
  <c r="AE320" i="9"/>
  <c r="AD320" i="9"/>
  <c r="AC320" i="9"/>
  <c r="AB320" i="9"/>
  <c r="AA320" i="9"/>
  <c r="Z320" i="9"/>
  <c r="Y320" i="9"/>
  <c r="AG319" i="9"/>
  <c r="AF319" i="9"/>
  <c r="AE319" i="9"/>
  <c r="AD319" i="9"/>
  <c r="AC319" i="9"/>
  <c r="AB319" i="9"/>
  <c r="AA319" i="9"/>
  <c r="Z319" i="9"/>
  <c r="Y319" i="9"/>
  <c r="AG318" i="9"/>
  <c r="AF318" i="9"/>
  <c r="AE318" i="9"/>
  <c r="AD318" i="9"/>
  <c r="AC318" i="9"/>
  <c r="AB318" i="9"/>
  <c r="AA318" i="9"/>
  <c r="Z318" i="9"/>
  <c r="Y318" i="9"/>
  <c r="AG317" i="9"/>
  <c r="AF317" i="9"/>
  <c r="AE317" i="9"/>
  <c r="AD317" i="9"/>
  <c r="AC317" i="9"/>
  <c r="AB317" i="9"/>
  <c r="AA317" i="9"/>
  <c r="Z317" i="9"/>
  <c r="Y317" i="9"/>
  <c r="AG316" i="9"/>
  <c r="AF316" i="9"/>
  <c r="AE316" i="9"/>
  <c r="AD316" i="9"/>
  <c r="AC316" i="9"/>
  <c r="AB316" i="9"/>
  <c r="AA316" i="9"/>
  <c r="Z316" i="9"/>
  <c r="Y316" i="9"/>
  <c r="AG315" i="9"/>
  <c r="AF315" i="9"/>
  <c r="AE315" i="9"/>
  <c r="AD315" i="9"/>
  <c r="AC315" i="9"/>
  <c r="AB315" i="9"/>
  <c r="AA315" i="9"/>
  <c r="Z315" i="9"/>
  <c r="Y315" i="9"/>
  <c r="AG314" i="9"/>
  <c r="AF314" i="9"/>
  <c r="AE314" i="9"/>
  <c r="AD314" i="9"/>
  <c r="AC314" i="9"/>
  <c r="AB314" i="9"/>
  <c r="AA314" i="9"/>
  <c r="Z314" i="9"/>
  <c r="Y314" i="9"/>
  <c r="AG313" i="9"/>
  <c r="AF313" i="9"/>
  <c r="AE313" i="9"/>
  <c r="AD313" i="9"/>
  <c r="AC313" i="9"/>
  <c r="AB313" i="9"/>
  <c r="AA313" i="9"/>
  <c r="Z313" i="9"/>
  <c r="Y313" i="9"/>
  <c r="AG312" i="9"/>
  <c r="AF312" i="9"/>
  <c r="AE312" i="9"/>
  <c r="AD312" i="9"/>
  <c r="AC312" i="9"/>
  <c r="AB312" i="9"/>
  <c r="AA312" i="9"/>
  <c r="Z312" i="9"/>
  <c r="Y312" i="9"/>
  <c r="AG311" i="9"/>
  <c r="AF311" i="9"/>
  <c r="AE311" i="9"/>
  <c r="AD311" i="9"/>
  <c r="AC311" i="9"/>
  <c r="AB311" i="9"/>
  <c r="AA311" i="9"/>
  <c r="Z311" i="9"/>
  <c r="Y311" i="9"/>
  <c r="AG310" i="9"/>
  <c r="AF310" i="9"/>
  <c r="AE310" i="9"/>
  <c r="AD310" i="9"/>
  <c r="AC310" i="9"/>
  <c r="AB310" i="9"/>
  <c r="AA310" i="9"/>
  <c r="Z310" i="9"/>
  <c r="Y310" i="9"/>
  <c r="AG309" i="9"/>
  <c r="AF309" i="9"/>
  <c r="AE309" i="9"/>
  <c r="AD309" i="9"/>
  <c r="AC309" i="9"/>
  <c r="AB309" i="9"/>
  <c r="AA309" i="9"/>
  <c r="Z309" i="9"/>
  <c r="Y309" i="9"/>
  <c r="AG308" i="9"/>
  <c r="AF308" i="9"/>
  <c r="AE308" i="9"/>
  <c r="AD308" i="9"/>
  <c r="AC308" i="9"/>
  <c r="AB308" i="9"/>
  <c r="AA308" i="9"/>
  <c r="Z308" i="9"/>
  <c r="Y308" i="9"/>
  <c r="AG307" i="9"/>
  <c r="AF307" i="9"/>
  <c r="AE307" i="9"/>
  <c r="AD307" i="9"/>
  <c r="AC307" i="9"/>
  <c r="AB307" i="9"/>
  <c r="AA307" i="9"/>
  <c r="Z307" i="9"/>
  <c r="Y307" i="9"/>
  <c r="AG306" i="9"/>
  <c r="AF306" i="9"/>
  <c r="AE306" i="9"/>
  <c r="AD306" i="9"/>
  <c r="AC306" i="9"/>
  <c r="AB306" i="9"/>
  <c r="AA306" i="9"/>
  <c r="Z306" i="9"/>
  <c r="Y306" i="9"/>
  <c r="AG305" i="9"/>
  <c r="AF305" i="9"/>
  <c r="AE305" i="9"/>
  <c r="AD305" i="9"/>
  <c r="AC305" i="9"/>
  <c r="AB305" i="9"/>
  <c r="AA305" i="9"/>
  <c r="Z305" i="9"/>
  <c r="Y305" i="9"/>
  <c r="AG304" i="9"/>
  <c r="AF304" i="9"/>
  <c r="AE304" i="9"/>
  <c r="AD304" i="9"/>
  <c r="AC304" i="9"/>
  <c r="AB304" i="9"/>
  <c r="AA304" i="9"/>
  <c r="Z304" i="9"/>
  <c r="Y304" i="9"/>
  <c r="AG303" i="9"/>
  <c r="AF303" i="9"/>
  <c r="AE303" i="9"/>
  <c r="AD303" i="9"/>
  <c r="AC303" i="9"/>
  <c r="AB303" i="9"/>
  <c r="AA303" i="9"/>
  <c r="Z303" i="9"/>
  <c r="Y303" i="9"/>
  <c r="AG302" i="9"/>
  <c r="AF302" i="9"/>
  <c r="AE302" i="9"/>
  <c r="AD302" i="9"/>
  <c r="AC302" i="9"/>
  <c r="AB302" i="9"/>
  <c r="AA302" i="9"/>
  <c r="Z302" i="9"/>
  <c r="Y302" i="9"/>
  <c r="AG301" i="9"/>
  <c r="AF301" i="9"/>
  <c r="AE301" i="9"/>
  <c r="AD301" i="9"/>
  <c r="AC301" i="9"/>
  <c r="AB301" i="9"/>
  <c r="AA301" i="9"/>
  <c r="Z301" i="9"/>
  <c r="Y301" i="9"/>
  <c r="AG300" i="9"/>
  <c r="AF300" i="9"/>
  <c r="AE300" i="9"/>
  <c r="AD300" i="9"/>
  <c r="AC300" i="9"/>
  <c r="AB300" i="9"/>
  <c r="AA300" i="9"/>
  <c r="Z300" i="9"/>
  <c r="Y300" i="9"/>
  <c r="AG299" i="9"/>
  <c r="AF299" i="9"/>
  <c r="AE299" i="9"/>
  <c r="AD299" i="9"/>
  <c r="AC299" i="9"/>
  <c r="AB299" i="9"/>
  <c r="AA299" i="9"/>
  <c r="Z299" i="9"/>
  <c r="Y299" i="9"/>
  <c r="AG298" i="9"/>
  <c r="AF298" i="9"/>
  <c r="AE298" i="9"/>
  <c r="AD298" i="9"/>
  <c r="AC298" i="9"/>
  <c r="AB298" i="9"/>
  <c r="AA298" i="9"/>
  <c r="Z298" i="9"/>
  <c r="Y298" i="9"/>
  <c r="AG297" i="9"/>
  <c r="AF297" i="9"/>
  <c r="AE297" i="9"/>
  <c r="AD297" i="9"/>
  <c r="AC297" i="9"/>
  <c r="AB297" i="9"/>
  <c r="AA297" i="9"/>
  <c r="Z297" i="9"/>
  <c r="Y297" i="9"/>
  <c r="AG296" i="9"/>
  <c r="AF296" i="9"/>
  <c r="AE296" i="9"/>
  <c r="AD296" i="9"/>
  <c r="AC296" i="9"/>
  <c r="AB296" i="9"/>
  <c r="AA296" i="9"/>
  <c r="Z296" i="9"/>
  <c r="Y296" i="9"/>
  <c r="AG295" i="9"/>
  <c r="AF295" i="9"/>
  <c r="AE295" i="9"/>
  <c r="AD295" i="9"/>
  <c r="AC295" i="9"/>
  <c r="AB295" i="9"/>
  <c r="AA295" i="9"/>
  <c r="Z295" i="9"/>
  <c r="Y295" i="9"/>
  <c r="AG294" i="9"/>
  <c r="AF294" i="9"/>
  <c r="AE294" i="9"/>
  <c r="AD294" i="9"/>
  <c r="AC294" i="9"/>
  <c r="AB294" i="9"/>
  <c r="AA294" i="9"/>
  <c r="Z294" i="9"/>
  <c r="Y294" i="9"/>
  <c r="AG293" i="9"/>
  <c r="AF293" i="9"/>
  <c r="AE293" i="9"/>
  <c r="AD293" i="9"/>
  <c r="AC293" i="9"/>
  <c r="AB293" i="9"/>
  <c r="AA293" i="9"/>
  <c r="Z293" i="9"/>
  <c r="Y293" i="9"/>
  <c r="AG292" i="9"/>
  <c r="AF292" i="9"/>
  <c r="AE292" i="9"/>
  <c r="AD292" i="9"/>
  <c r="AC292" i="9"/>
  <c r="AB292" i="9"/>
  <c r="AA292" i="9"/>
  <c r="Z292" i="9"/>
  <c r="Y292" i="9"/>
  <c r="AG291" i="9"/>
  <c r="AF291" i="9"/>
  <c r="AE291" i="9"/>
  <c r="AD291" i="9"/>
  <c r="AC291" i="9"/>
  <c r="AB291" i="9"/>
  <c r="AA291" i="9"/>
  <c r="Z291" i="9"/>
  <c r="Y291" i="9"/>
  <c r="AG290" i="9"/>
  <c r="AF290" i="9"/>
  <c r="AE290" i="9"/>
  <c r="AD290" i="9"/>
  <c r="AC290" i="9"/>
  <c r="AB290" i="9"/>
  <c r="AA290" i="9"/>
  <c r="Z290" i="9"/>
  <c r="Y290" i="9"/>
  <c r="AG289" i="9"/>
  <c r="AF289" i="9"/>
  <c r="AE289" i="9"/>
  <c r="AD289" i="9"/>
  <c r="AC289" i="9"/>
  <c r="AB289" i="9"/>
  <c r="AA289" i="9"/>
  <c r="Z289" i="9"/>
  <c r="Y289" i="9"/>
  <c r="AG288" i="9"/>
  <c r="AF288" i="9"/>
  <c r="AE288" i="9"/>
  <c r="AD288" i="9"/>
  <c r="AC288" i="9"/>
  <c r="AB288" i="9"/>
  <c r="AA288" i="9"/>
  <c r="Z288" i="9"/>
  <c r="Y288" i="9"/>
  <c r="AG287" i="9"/>
  <c r="AF287" i="9"/>
  <c r="AE287" i="9"/>
  <c r="AD287" i="9"/>
  <c r="AC287" i="9"/>
  <c r="AB287" i="9"/>
  <c r="AA287" i="9"/>
  <c r="Z287" i="9"/>
  <c r="Y287" i="9"/>
  <c r="AG286" i="9"/>
  <c r="AF286" i="9"/>
  <c r="AE286" i="9"/>
  <c r="AD286" i="9"/>
  <c r="AC286" i="9"/>
  <c r="AB286" i="9"/>
  <c r="AA286" i="9"/>
  <c r="Z286" i="9"/>
  <c r="Y286" i="9"/>
  <c r="AG285" i="9"/>
  <c r="AF285" i="9"/>
  <c r="AE285" i="9"/>
  <c r="AD285" i="9"/>
  <c r="AC285" i="9"/>
  <c r="AB285" i="9"/>
  <c r="AA285" i="9"/>
  <c r="Z285" i="9"/>
  <c r="Y285" i="9"/>
  <c r="AG284" i="9"/>
  <c r="AF284" i="9"/>
  <c r="AE284" i="9"/>
  <c r="AD284" i="9"/>
  <c r="AC284" i="9"/>
  <c r="AB284" i="9"/>
  <c r="AA284" i="9"/>
  <c r="Z284" i="9"/>
  <c r="Y284" i="9"/>
  <c r="AG283" i="9"/>
  <c r="AF283" i="9"/>
  <c r="AE283" i="9"/>
  <c r="AD283" i="9"/>
  <c r="AC283" i="9"/>
  <c r="AB283" i="9"/>
  <c r="AA283" i="9"/>
  <c r="Z283" i="9"/>
  <c r="Y283" i="9"/>
  <c r="AG282" i="9"/>
  <c r="AF282" i="9"/>
  <c r="AE282" i="9"/>
  <c r="AD282" i="9"/>
  <c r="AC282" i="9"/>
  <c r="AB282" i="9"/>
  <c r="AA282" i="9"/>
  <c r="Z282" i="9"/>
  <c r="Y282" i="9"/>
  <c r="AG281" i="9"/>
  <c r="AF281" i="9"/>
  <c r="AE281" i="9"/>
  <c r="AD281" i="9"/>
  <c r="AC281" i="9"/>
  <c r="AB281" i="9"/>
  <c r="AA281" i="9"/>
  <c r="Z281" i="9"/>
  <c r="Y281" i="9"/>
  <c r="AG280" i="9"/>
  <c r="AF280" i="9"/>
  <c r="AE280" i="9"/>
  <c r="AD280" i="9"/>
  <c r="AC280" i="9"/>
  <c r="AB280" i="9"/>
  <c r="AA280" i="9"/>
  <c r="Z280" i="9"/>
  <c r="Y280" i="9"/>
  <c r="AG279" i="9"/>
  <c r="AF279" i="9"/>
  <c r="AE279" i="9"/>
  <c r="AD279" i="9"/>
  <c r="AC279" i="9"/>
  <c r="AB279" i="9"/>
  <c r="AA279" i="9"/>
  <c r="Z279" i="9"/>
  <c r="Y279" i="9"/>
  <c r="AG278" i="9"/>
  <c r="AF278" i="9"/>
  <c r="AE278" i="9"/>
  <c r="AD278" i="9"/>
  <c r="AC278" i="9"/>
  <c r="AB278" i="9"/>
  <c r="AA278" i="9"/>
  <c r="Z278" i="9"/>
  <c r="Y278" i="9"/>
  <c r="AG277" i="9"/>
  <c r="AF277" i="9"/>
  <c r="AE277" i="9"/>
  <c r="AD277" i="9"/>
  <c r="AC277" i="9"/>
  <c r="AB277" i="9"/>
  <c r="AA277" i="9"/>
  <c r="Z277" i="9"/>
  <c r="Y277" i="9"/>
  <c r="AG276" i="9"/>
  <c r="AF276" i="9"/>
  <c r="AE276" i="9"/>
  <c r="AD276" i="9"/>
  <c r="AC276" i="9"/>
  <c r="AB276" i="9"/>
  <c r="AA276" i="9"/>
  <c r="Z276" i="9"/>
  <c r="Y276" i="9"/>
  <c r="AG275" i="9"/>
  <c r="AF275" i="9"/>
  <c r="AE275" i="9"/>
  <c r="AD275" i="9"/>
  <c r="AC275" i="9"/>
  <c r="AB275" i="9"/>
  <c r="AA275" i="9"/>
  <c r="Z275" i="9"/>
  <c r="Y275" i="9"/>
  <c r="AG274" i="9"/>
  <c r="AF274" i="9"/>
  <c r="AE274" i="9"/>
  <c r="AD274" i="9"/>
  <c r="AC274" i="9"/>
  <c r="AB274" i="9"/>
  <c r="AA274" i="9"/>
  <c r="Z274" i="9"/>
  <c r="Y274" i="9"/>
  <c r="AG273" i="9"/>
  <c r="AF273" i="9"/>
  <c r="AE273" i="9"/>
  <c r="AD273" i="9"/>
  <c r="AC273" i="9"/>
  <c r="AB273" i="9"/>
  <c r="AA273" i="9"/>
  <c r="Z273" i="9"/>
  <c r="Y273" i="9"/>
  <c r="AG272" i="9"/>
  <c r="AF272" i="9"/>
  <c r="AE272" i="9"/>
  <c r="AD272" i="9"/>
  <c r="AC272" i="9"/>
  <c r="AB272" i="9"/>
  <c r="AA272" i="9"/>
  <c r="Z272" i="9"/>
  <c r="Y272" i="9"/>
  <c r="AG271" i="9"/>
  <c r="AF271" i="9"/>
  <c r="AE271" i="9"/>
  <c r="AD271" i="9"/>
  <c r="AC271" i="9"/>
  <c r="AB271" i="9"/>
  <c r="AA271" i="9"/>
  <c r="Z271" i="9"/>
  <c r="Y271" i="9"/>
  <c r="AG270" i="9"/>
  <c r="AF270" i="9"/>
  <c r="AE270" i="9"/>
  <c r="AD270" i="9"/>
  <c r="AC270" i="9"/>
  <c r="AB270" i="9"/>
  <c r="AA270" i="9"/>
  <c r="Z270" i="9"/>
  <c r="Y270" i="9"/>
  <c r="AG269" i="9"/>
  <c r="AF269" i="9"/>
  <c r="AE269" i="9"/>
  <c r="AD269" i="9"/>
  <c r="AC269" i="9"/>
  <c r="AB269" i="9"/>
  <c r="AA269" i="9"/>
  <c r="Z269" i="9"/>
  <c r="Y269" i="9"/>
  <c r="AG268" i="9"/>
  <c r="AF268" i="9"/>
  <c r="AE268" i="9"/>
  <c r="AD268" i="9"/>
  <c r="AC268" i="9"/>
  <c r="AB268" i="9"/>
  <c r="AA268" i="9"/>
  <c r="Z268" i="9"/>
  <c r="Y268" i="9"/>
  <c r="AG267" i="9"/>
  <c r="AF267" i="9"/>
  <c r="AE267" i="9"/>
  <c r="AD267" i="9"/>
  <c r="AC267" i="9"/>
  <c r="AB267" i="9"/>
  <c r="AA267" i="9"/>
  <c r="Z267" i="9"/>
  <c r="Y267" i="9"/>
  <c r="AG266" i="9"/>
  <c r="AF266" i="9"/>
  <c r="AE266" i="9"/>
  <c r="AD266" i="9"/>
  <c r="AC266" i="9"/>
  <c r="AB266" i="9"/>
  <c r="AA266" i="9"/>
  <c r="Z266" i="9"/>
  <c r="Y266" i="9"/>
  <c r="AG265" i="9"/>
  <c r="AF265" i="9"/>
  <c r="AE265" i="9"/>
  <c r="AD265" i="9"/>
  <c r="AC265" i="9"/>
  <c r="AB265" i="9"/>
  <c r="AA265" i="9"/>
  <c r="Z265" i="9"/>
  <c r="Y265" i="9"/>
  <c r="AG264" i="9"/>
  <c r="AF264" i="9"/>
  <c r="AE264" i="9"/>
  <c r="AD264" i="9"/>
  <c r="AC264" i="9"/>
  <c r="AB264" i="9"/>
  <c r="AA264" i="9"/>
  <c r="Z264" i="9"/>
  <c r="Y264" i="9"/>
  <c r="AG263" i="9"/>
  <c r="AF263" i="9"/>
  <c r="AE263" i="9"/>
  <c r="AD263" i="9"/>
  <c r="AC263" i="9"/>
  <c r="AB263" i="9"/>
  <c r="AA263" i="9"/>
  <c r="Z263" i="9"/>
  <c r="Y263" i="9"/>
  <c r="AG262" i="9"/>
  <c r="AF262" i="9"/>
  <c r="AE262" i="9"/>
  <c r="AD262" i="9"/>
  <c r="AC262" i="9"/>
  <c r="AB262" i="9"/>
  <c r="AA262" i="9"/>
  <c r="Z262" i="9"/>
  <c r="Y262" i="9"/>
  <c r="AG261" i="9"/>
  <c r="AF261" i="9"/>
  <c r="AE261" i="9"/>
  <c r="AD261" i="9"/>
  <c r="AC261" i="9"/>
  <c r="AB261" i="9"/>
  <c r="AA261" i="9"/>
  <c r="Z261" i="9"/>
  <c r="Y261" i="9"/>
  <c r="AG260" i="9"/>
  <c r="AF260" i="9"/>
  <c r="AE260" i="9"/>
  <c r="AD260" i="9"/>
  <c r="AC260" i="9"/>
  <c r="AB260" i="9"/>
  <c r="AA260" i="9"/>
  <c r="Z260" i="9"/>
  <c r="Y260" i="9"/>
  <c r="AG259" i="9"/>
  <c r="AF259" i="9"/>
  <c r="AE259" i="9"/>
  <c r="AD259" i="9"/>
  <c r="AC259" i="9"/>
  <c r="AB259" i="9"/>
  <c r="AA259" i="9"/>
  <c r="Z259" i="9"/>
  <c r="Y259" i="9"/>
  <c r="AG258" i="9"/>
  <c r="AF258" i="9"/>
  <c r="AE258" i="9"/>
  <c r="AD258" i="9"/>
  <c r="AC258" i="9"/>
  <c r="AB258" i="9"/>
  <c r="AA258" i="9"/>
  <c r="Z258" i="9"/>
  <c r="Y258" i="9"/>
  <c r="AG257" i="9"/>
  <c r="AF257" i="9"/>
  <c r="AE257" i="9"/>
  <c r="AD257" i="9"/>
  <c r="AC257" i="9"/>
  <c r="AB257" i="9"/>
  <c r="AA257" i="9"/>
  <c r="Z257" i="9"/>
  <c r="Y257" i="9"/>
  <c r="AG256" i="9"/>
  <c r="AF256" i="9"/>
  <c r="AE256" i="9"/>
  <c r="AD256" i="9"/>
  <c r="AC256" i="9"/>
  <c r="AB256" i="9"/>
  <c r="AA256" i="9"/>
  <c r="Z256" i="9"/>
  <c r="Y256" i="9"/>
  <c r="AG255" i="9"/>
  <c r="AF255" i="9"/>
  <c r="AE255" i="9"/>
  <c r="AD255" i="9"/>
  <c r="AC255" i="9"/>
  <c r="AB255" i="9"/>
  <c r="AA255" i="9"/>
  <c r="Z255" i="9"/>
  <c r="Y255" i="9"/>
  <c r="AG254" i="9"/>
  <c r="AF254" i="9"/>
  <c r="AE254" i="9"/>
  <c r="AD254" i="9"/>
  <c r="AC254" i="9"/>
  <c r="AB254" i="9"/>
  <c r="AA254" i="9"/>
  <c r="Z254" i="9"/>
  <c r="Y254" i="9"/>
  <c r="AG253" i="9"/>
  <c r="AF253" i="9"/>
  <c r="AE253" i="9"/>
  <c r="AD253" i="9"/>
  <c r="AC253" i="9"/>
  <c r="AB253" i="9"/>
  <c r="AA253" i="9"/>
  <c r="Z253" i="9"/>
  <c r="Y253" i="9"/>
  <c r="AG252" i="9"/>
  <c r="AF252" i="9"/>
  <c r="AE252" i="9"/>
  <c r="AD252" i="9"/>
  <c r="AC252" i="9"/>
  <c r="AB252" i="9"/>
  <c r="AA252" i="9"/>
  <c r="Z252" i="9"/>
  <c r="Y252" i="9"/>
  <c r="AG251" i="9"/>
  <c r="AF251" i="9"/>
  <c r="AE251" i="9"/>
  <c r="AD251" i="9"/>
  <c r="AC251" i="9"/>
  <c r="AB251" i="9"/>
  <c r="AA251" i="9"/>
  <c r="Z251" i="9"/>
  <c r="Y251" i="9"/>
  <c r="AG250" i="9"/>
  <c r="AF250" i="9"/>
  <c r="AE250" i="9"/>
  <c r="AD250" i="9"/>
  <c r="AC250" i="9"/>
  <c r="AB250" i="9"/>
  <c r="AA250" i="9"/>
  <c r="Z250" i="9"/>
  <c r="Y250" i="9"/>
  <c r="AG249" i="9"/>
  <c r="AF249" i="9"/>
  <c r="AE249" i="9"/>
  <c r="AD249" i="9"/>
  <c r="AC249" i="9"/>
  <c r="AB249" i="9"/>
  <c r="AA249" i="9"/>
  <c r="Z249" i="9"/>
  <c r="Y249" i="9"/>
  <c r="AG248" i="9"/>
  <c r="AF248" i="9"/>
  <c r="AE248" i="9"/>
  <c r="AD248" i="9"/>
  <c r="AC248" i="9"/>
  <c r="AB248" i="9"/>
  <c r="AA248" i="9"/>
  <c r="Z248" i="9"/>
  <c r="Y248" i="9"/>
  <c r="AG247" i="9"/>
  <c r="AF247" i="9"/>
  <c r="AE247" i="9"/>
  <c r="AD247" i="9"/>
  <c r="AC247" i="9"/>
  <c r="AB247" i="9"/>
  <c r="AA247" i="9"/>
  <c r="Z247" i="9"/>
  <c r="Y247" i="9"/>
  <c r="AG246" i="9"/>
  <c r="AF246" i="9"/>
  <c r="AE246" i="9"/>
  <c r="AD246" i="9"/>
  <c r="AC246" i="9"/>
  <c r="AB246" i="9"/>
  <c r="AA246" i="9"/>
  <c r="Z246" i="9"/>
  <c r="Y246" i="9"/>
  <c r="AG245" i="9"/>
  <c r="AF245" i="9"/>
  <c r="AE245" i="9"/>
  <c r="AD245" i="9"/>
  <c r="AC245" i="9"/>
  <c r="AB245" i="9"/>
  <c r="AA245" i="9"/>
  <c r="Z245" i="9"/>
  <c r="Y245" i="9"/>
  <c r="AG244" i="9"/>
  <c r="AF244" i="9"/>
  <c r="AE244" i="9"/>
  <c r="AD244" i="9"/>
  <c r="AC244" i="9"/>
  <c r="AB244" i="9"/>
  <c r="AA244" i="9"/>
  <c r="Z244" i="9"/>
  <c r="Y244" i="9"/>
  <c r="AG243" i="9"/>
  <c r="AF243" i="9"/>
  <c r="AE243" i="9"/>
  <c r="AD243" i="9"/>
  <c r="AC243" i="9"/>
  <c r="AB243" i="9"/>
  <c r="AA243" i="9"/>
  <c r="Z243" i="9"/>
  <c r="Y243" i="9"/>
  <c r="AG242" i="9"/>
  <c r="AF242" i="9"/>
  <c r="AE242" i="9"/>
  <c r="AD242" i="9"/>
  <c r="AC242" i="9"/>
  <c r="AB242" i="9"/>
  <c r="AA242" i="9"/>
  <c r="Z242" i="9"/>
  <c r="Y242" i="9"/>
  <c r="AG241" i="9"/>
  <c r="AF241" i="9"/>
  <c r="AE241" i="9"/>
  <c r="AD241" i="9"/>
  <c r="AC241" i="9"/>
  <c r="AB241" i="9"/>
  <c r="AA241" i="9"/>
  <c r="Z241" i="9"/>
  <c r="Y241" i="9"/>
  <c r="AG240" i="9"/>
  <c r="AF240" i="9"/>
  <c r="AE240" i="9"/>
  <c r="AD240" i="9"/>
  <c r="AC240" i="9"/>
  <c r="AB240" i="9"/>
  <c r="AA240" i="9"/>
  <c r="Z240" i="9"/>
  <c r="Y240" i="9"/>
  <c r="AG239" i="9"/>
  <c r="AF239" i="9"/>
  <c r="AE239" i="9"/>
  <c r="AD239" i="9"/>
  <c r="AC239" i="9"/>
  <c r="AB239" i="9"/>
  <c r="AA239" i="9"/>
  <c r="Z239" i="9"/>
  <c r="Y239" i="9"/>
  <c r="AG238" i="9"/>
  <c r="AF238" i="9"/>
  <c r="AE238" i="9"/>
  <c r="AD238" i="9"/>
  <c r="AC238" i="9"/>
  <c r="AB238" i="9"/>
  <c r="AA238" i="9"/>
  <c r="Z238" i="9"/>
  <c r="Y238" i="9"/>
  <c r="AG237" i="9"/>
  <c r="AF237" i="9"/>
  <c r="AE237" i="9"/>
  <c r="AD237" i="9"/>
  <c r="AC237" i="9"/>
  <c r="AB237" i="9"/>
  <c r="AA237" i="9"/>
  <c r="Z237" i="9"/>
  <c r="Y237" i="9"/>
  <c r="AG236" i="9"/>
  <c r="AF236" i="9"/>
  <c r="AE236" i="9"/>
  <c r="AD236" i="9"/>
  <c r="AC236" i="9"/>
  <c r="AB236" i="9"/>
  <c r="AA236" i="9"/>
  <c r="Z236" i="9"/>
  <c r="Y236" i="9"/>
  <c r="AG235" i="9"/>
  <c r="AF235" i="9"/>
  <c r="AE235" i="9"/>
  <c r="AD235" i="9"/>
  <c r="AC235" i="9"/>
  <c r="AB235" i="9"/>
  <c r="AA235" i="9"/>
  <c r="Z235" i="9"/>
  <c r="Y235" i="9"/>
  <c r="AG234" i="9"/>
  <c r="AF234" i="9"/>
  <c r="AE234" i="9"/>
  <c r="AD234" i="9"/>
  <c r="AC234" i="9"/>
  <c r="AB234" i="9"/>
  <c r="AA234" i="9"/>
  <c r="Z234" i="9"/>
  <c r="Y234" i="9"/>
  <c r="AG233" i="9"/>
  <c r="AF233" i="9"/>
  <c r="AE233" i="9"/>
  <c r="AD233" i="9"/>
  <c r="AC233" i="9"/>
  <c r="AB233" i="9"/>
  <c r="AA233" i="9"/>
  <c r="Z233" i="9"/>
  <c r="Y233" i="9"/>
  <c r="AG232" i="9"/>
  <c r="AF232" i="9"/>
  <c r="AE232" i="9"/>
  <c r="AD232" i="9"/>
  <c r="AC232" i="9"/>
  <c r="AB232" i="9"/>
  <c r="AA232" i="9"/>
  <c r="Z232" i="9"/>
  <c r="Y232" i="9"/>
  <c r="AG231" i="9"/>
  <c r="AF231" i="9"/>
  <c r="AE231" i="9"/>
  <c r="AD231" i="9"/>
  <c r="AC231" i="9"/>
  <c r="AB231" i="9"/>
  <c r="AA231" i="9"/>
  <c r="Z231" i="9"/>
  <c r="Y231" i="9"/>
  <c r="AG230" i="9"/>
  <c r="AF230" i="9"/>
  <c r="AE230" i="9"/>
  <c r="AD230" i="9"/>
  <c r="AC230" i="9"/>
  <c r="AB230" i="9"/>
  <c r="AA230" i="9"/>
  <c r="Z230" i="9"/>
  <c r="Y230" i="9"/>
  <c r="AG229" i="9"/>
  <c r="AF229" i="9"/>
  <c r="AE229" i="9"/>
  <c r="AD229" i="9"/>
  <c r="AC229" i="9"/>
  <c r="AB229" i="9"/>
  <c r="AA229" i="9"/>
  <c r="Z229" i="9"/>
  <c r="Y229" i="9"/>
  <c r="AG228" i="9"/>
  <c r="AF228" i="9"/>
  <c r="AE228" i="9"/>
  <c r="AD228" i="9"/>
  <c r="AC228" i="9"/>
  <c r="AB228" i="9"/>
  <c r="AA228" i="9"/>
  <c r="Z228" i="9"/>
  <c r="Y228" i="9"/>
  <c r="AG227" i="9"/>
  <c r="AF227" i="9"/>
  <c r="AE227" i="9"/>
  <c r="AD227" i="9"/>
  <c r="AC227" i="9"/>
  <c r="AB227" i="9"/>
  <c r="AA227" i="9"/>
  <c r="Z227" i="9"/>
  <c r="Y227" i="9"/>
  <c r="AG226" i="9"/>
  <c r="AF226" i="9"/>
  <c r="AE226" i="9"/>
  <c r="AD226" i="9"/>
  <c r="AC226" i="9"/>
  <c r="AB226" i="9"/>
  <c r="AA226" i="9"/>
  <c r="Z226" i="9"/>
  <c r="Y226" i="9"/>
  <c r="AG225" i="9"/>
  <c r="AF225" i="9"/>
  <c r="AE225" i="9"/>
  <c r="AD225" i="9"/>
  <c r="AC225" i="9"/>
  <c r="AB225" i="9"/>
  <c r="AA225" i="9"/>
  <c r="Z225" i="9"/>
  <c r="Y225" i="9"/>
  <c r="AG224" i="9"/>
  <c r="AF224" i="9"/>
  <c r="AE224" i="9"/>
  <c r="AD224" i="9"/>
  <c r="AC224" i="9"/>
  <c r="AB224" i="9"/>
  <c r="AA224" i="9"/>
  <c r="Z224" i="9"/>
  <c r="Y224" i="9"/>
  <c r="AG223" i="9"/>
  <c r="AF223" i="9"/>
  <c r="AE223" i="9"/>
  <c r="AD223" i="9"/>
  <c r="AC223" i="9"/>
  <c r="AB223" i="9"/>
  <c r="AA223" i="9"/>
  <c r="Z223" i="9"/>
  <c r="Y223" i="9"/>
  <c r="AG222" i="9"/>
  <c r="AF222" i="9"/>
  <c r="AE222" i="9"/>
  <c r="AD222" i="9"/>
  <c r="AC222" i="9"/>
  <c r="AB222" i="9"/>
  <c r="AA222" i="9"/>
  <c r="Z222" i="9"/>
  <c r="Y222" i="9"/>
  <c r="AG221" i="9"/>
  <c r="AF221" i="9"/>
  <c r="AE221" i="9"/>
  <c r="AD221" i="9"/>
  <c r="AC221" i="9"/>
  <c r="AB221" i="9"/>
  <c r="AA221" i="9"/>
  <c r="Z221" i="9"/>
  <c r="Y221" i="9"/>
  <c r="AG220" i="9"/>
  <c r="AF220" i="9"/>
  <c r="AE220" i="9"/>
  <c r="AD220" i="9"/>
  <c r="AC220" i="9"/>
  <c r="AB220" i="9"/>
  <c r="AA220" i="9"/>
  <c r="Z220" i="9"/>
  <c r="Y220" i="9"/>
  <c r="AG219" i="9"/>
  <c r="AF219" i="9"/>
  <c r="AE219" i="9"/>
  <c r="AD219" i="9"/>
  <c r="AC219" i="9"/>
  <c r="AB219" i="9"/>
  <c r="AA219" i="9"/>
  <c r="Z219" i="9"/>
  <c r="Y219" i="9"/>
  <c r="AG218" i="9"/>
  <c r="AF218" i="9"/>
  <c r="AE218" i="9"/>
  <c r="AD218" i="9"/>
  <c r="AC218" i="9"/>
  <c r="AB218" i="9"/>
  <c r="AA218" i="9"/>
  <c r="Z218" i="9"/>
  <c r="Y218" i="9"/>
  <c r="AG217" i="9"/>
  <c r="AF217" i="9"/>
  <c r="AE217" i="9"/>
  <c r="AD217" i="9"/>
  <c r="AC217" i="9"/>
  <c r="AB217" i="9"/>
  <c r="AA217" i="9"/>
  <c r="Z217" i="9"/>
  <c r="Y217" i="9"/>
  <c r="AG216" i="9"/>
  <c r="AF216" i="9"/>
  <c r="AE216" i="9"/>
  <c r="AD216" i="9"/>
  <c r="AC216" i="9"/>
  <c r="AB216" i="9"/>
  <c r="AA216" i="9"/>
  <c r="Z216" i="9"/>
  <c r="Y216" i="9"/>
  <c r="AG215" i="9"/>
  <c r="AF215" i="9"/>
  <c r="AE215" i="9"/>
  <c r="AD215" i="9"/>
  <c r="AC215" i="9"/>
  <c r="AB215" i="9"/>
  <c r="AA215" i="9"/>
  <c r="Z215" i="9"/>
  <c r="Y215" i="9"/>
  <c r="AG214" i="9"/>
  <c r="AF214" i="9"/>
  <c r="AE214" i="9"/>
  <c r="AD214" i="9"/>
  <c r="AC214" i="9"/>
  <c r="AB214" i="9"/>
  <c r="AA214" i="9"/>
  <c r="Z214" i="9"/>
  <c r="Y214" i="9"/>
  <c r="AG213" i="9"/>
  <c r="AF213" i="9"/>
  <c r="AE213" i="9"/>
  <c r="AD213" i="9"/>
  <c r="AC213" i="9"/>
  <c r="AB213" i="9"/>
  <c r="AA213" i="9"/>
  <c r="Z213" i="9"/>
  <c r="Y213" i="9"/>
  <c r="AG212" i="9"/>
  <c r="AF212" i="9"/>
  <c r="AE212" i="9"/>
  <c r="AD212" i="9"/>
  <c r="AC212" i="9"/>
  <c r="AB212" i="9"/>
  <c r="AA212" i="9"/>
  <c r="Z212" i="9"/>
  <c r="Y212" i="9"/>
  <c r="AG211" i="9"/>
  <c r="AF211" i="9"/>
  <c r="AE211" i="9"/>
  <c r="AD211" i="9"/>
  <c r="AC211" i="9"/>
  <c r="AB211" i="9"/>
  <c r="AA211" i="9"/>
  <c r="Z211" i="9"/>
  <c r="Y211" i="9"/>
  <c r="AG210" i="9"/>
  <c r="AF210" i="9"/>
  <c r="AE210" i="9"/>
  <c r="AD210" i="9"/>
  <c r="AC210" i="9"/>
  <c r="AB210" i="9"/>
  <c r="AA210" i="9"/>
  <c r="Z210" i="9"/>
  <c r="Y210" i="9"/>
  <c r="AG209" i="9"/>
  <c r="AF209" i="9"/>
  <c r="AE209" i="9"/>
  <c r="AD209" i="9"/>
  <c r="AC209" i="9"/>
  <c r="AB209" i="9"/>
  <c r="AA209" i="9"/>
  <c r="Z209" i="9"/>
  <c r="Y209" i="9"/>
  <c r="AG208" i="9"/>
  <c r="AF208" i="9"/>
  <c r="AE208" i="9"/>
  <c r="AD208" i="9"/>
  <c r="AC208" i="9"/>
  <c r="AB208" i="9"/>
  <c r="AA208" i="9"/>
  <c r="Z208" i="9"/>
  <c r="Y208" i="9"/>
  <c r="AG207" i="9"/>
  <c r="AF207" i="9"/>
  <c r="AE207" i="9"/>
  <c r="AD207" i="9"/>
  <c r="AC207" i="9"/>
  <c r="AB207" i="9"/>
  <c r="AA207" i="9"/>
  <c r="Z207" i="9"/>
  <c r="Y207" i="9"/>
  <c r="AG206" i="9"/>
  <c r="AF206" i="9"/>
  <c r="AE206" i="9"/>
  <c r="AD206" i="9"/>
  <c r="AC206" i="9"/>
  <c r="AB206" i="9"/>
  <c r="AA206" i="9"/>
  <c r="Z206" i="9"/>
  <c r="Y206" i="9"/>
  <c r="AG205" i="9"/>
  <c r="AF205" i="9"/>
  <c r="AE205" i="9"/>
  <c r="AD205" i="9"/>
  <c r="AC205" i="9"/>
  <c r="AB205" i="9"/>
  <c r="AA205" i="9"/>
  <c r="Z205" i="9"/>
  <c r="Y205" i="9"/>
  <c r="AG204" i="9"/>
  <c r="AF204" i="9"/>
  <c r="AE204" i="9"/>
  <c r="AD204" i="9"/>
  <c r="AC204" i="9"/>
  <c r="AB204" i="9"/>
  <c r="AA204" i="9"/>
  <c r="Z204" i="9"/>
  <c r="Y204" i="9"/>
  <c r="AG203" i="9"/>
  <c r="AF203" i="9"/>
  <c r="AE203" i="9"/>
  <c r="AD203" i="9"/>
  <c r="AC203" i="9"/>
  <c r="AB203" i="9"/>
  <c r="AA203" i="9"/>
  <c r="Z203" i="9"/>
  <c r="Y203" i="9"/>
  <c r="AG202" i="9"/>
  <c r="AF202" i="9"/>
  <c r="AE202" i="9"/>
  <c r="AD202" i="9"/>
  <c r="AC202" i="9"/>
  <c r="AB202" i="9"/>
  <c r="AA202" i="9"/>
  <c r="Z202" i="9"/>
  <c r="Y202" i="9"/>
  <c r="AG201" i="9"/>
  <c r="AF201" i="9"/>
  <c r="AE201" i="9"/>
  <c r="AD201" i="9"/>
  <c r="AC201" i="9"/>
  <c r="AB201" i="9"/>
  <c r="AA201" i="9"/>
  <c r="Z201" i="9"/>
  <c r="Y201" i="9"/>
  <c r="AG200" i="9"/>
  <c r="AF200" i="9"/>
  <c r="AE200" i="9"/>
  <c r="AD200" i="9"/>
  <c r="AC200" i="9"/>
  <c r="AB200" i="9"/>
  <c r="AA200" i="9"/>
  <c r="Z200" i="9"/>
  <c r="Y200" i="9"/>
  <c r="AG199" i="9"/>
  <c r="AF199" i="9"/>
  <c r="AE199" i="9"/>
  <c r="AD199" i="9"/>
  <c r="AC199" i="9"/>
  <c r="AB199" i="9"/>
  <c r="AA199" i="9"/>
  <c r="Z199" i="9"/>
  <c r="Y199" i="9"/>
  <c r="AG198" i="9"/>
  <c r="AF198" i="9"/>
  <c r="AE198" i="9"/>
  <c r="AD198" i="9"/>
  <c r="AC198" i="9"/>
  <c r="AB198" i="9"/>
  <c r="AA198" i="9"/>
  <c r="Z198" i="9"/>
  <c r="Y198" i="9"/>
  <c r="AG197" i="9"/>
  <c r="AF197" i="9"/>
  <c r="AE197" i="9"/>
  <c r="AD197" i="9"/>
  <c r="AC197" i="9"/>
  <c r="AB197" i="9"/>
  <c r="AA197" i="9"/>
  <c r="Z197" i="9"/>
  <c r="Y197" i="9"/>
  <c r="AG196" i="9"/>
  <c r="AF196" i="9"/>
  <c r="AE196" i="9"/>
  <c r="AD196" i="9"/>
  <c r="AC196" i="9"/>
  <c r="AB196" i="9"/>
  <c r="AA196" i="9"/>
  <c r="Z196" i="9"/>
  <c r="Y196" i="9"/>
  <c r="AG195" i="9"/>
  <c r="AF195" i="9"/>
  <c r="AE195" i="9"/>
  <c r="AD195" i="9"/>
  <c r="AC195" i="9"/>
  <c r="AB195" i="9"/>
  <c r="AA195" i="9"/>
  <c r="Z195" i="9"/>
  <c r="Y195" i="9"/>
  <c r="AG194" i="9"/>
  <c r="AF194" i="9"/>
  <c r="AE194" i="9"/>
  <c r="AD194" i="9"/>
  <c r="AC194" i="9"/>
  <c r="AB194" i="9"/>
  <c r="AA194" i="9"/>
  <c r="Z194" i="9"/>
  <c r="Y194" i="9"/>
  <c r="AG193" i="9"/>
  <c r="AF193" i="9"/>
  <c r="AE193" i="9"/>
  <c r="AD193" i="9"/>
  <c r="AC193" i="9"/>
  <c r="AB193" i="9"/>
  <c r="AA193" i="9"/>
  <c r="Z193" i="9"/>
  <c r="Y193" i="9"/>
  <c r="AG192" i="9"/>
  <c r="AF192" i="9"/>
  <c r="AE192" i="9"/>
  <c r="AD192" i="9"/>
  <c r="AC192" i="9"/>
  <c r="AB192" i="9"/>
  <c r="AA192" i="9"/>
  <c r="Z192" i="9"/>
  <c r="Y192" i="9"/>
  <c r="AG191" i="9"/>
  <c r="AF191" i="9"/>
  <c r="AE191" i="9"/>
  <c r="AD191" i="9"/>
  <c r="AC191" i="9"/>
  <c r="AB191" i="9"/>
  <c r="AA191" i="9"/>
  <c r="Z191" i="9"/>
  <c r="Y191" i="9"/>
  <c r="AG190" i="9"/>
  <c r="AF190" i="9"/>
  <c r="AE190" i="9"/>
  <c r="AD190" i="9"/>
  <c r="AC190" i="9"/>
  <c r="AB190" i="9"/>
  <c r="AA190" i="9"/>
  <c r="Z190" i="9"/>
  <c r="Y190" i="9"/>
  <c r="AG189" i="9"/>
  <c r="AF189" i="9"/>
  <c r="AE189" i="9"/>
  <c r="AD189" i="9"/>
  <c r="AC189" i="9"/>
  <c r="AB189" i="9"/>
  <c r="AA189" i="9"/>
  <c r="Z189" i="9"/>
  <c r="Y189" i="9"/>
  <c r="AG188" i="9"/>
  <c r="AF188" i="9"/>
  <c r="AE188" i="9"/>
  <c r="AD188" i="9"/>
  <c r="AC188" i="9"/>
  <c r="AB188" i="9"/>
  <c r="AA188" i="9"/>
  <c r="Z188" i="9"/>
  <c r="Y188" i="9"/>
  <c r="AG187" i="9"/>
  <c r="AF187" i="9"/>
  <c r="AE187" i="9"/>
  <c r="AD187" i="9"/>
  <c r="AC187" i="9"/>
  <c r="AB187" i="9"/>
  <c r="AA187" i="9"/>
  <c r="Z187" i="9"/>
  <c r="Y187" i="9"/>
  <c r="AG186" i="9"/>
  <c r="AF186" i="9"/>
  <c r="AE186" i="9"/>
  <c r="AD186" i="9"/>
  <c r="AC186" i="9"/>
  <c r="AB186" i="9"/>
  <c r="AA186" i="9"/>
  <c r="Z186" i="9"/>
  <c r="Y186" i="9"/>
  <c r="AG185" i="9"/>
  <c r="AF185" i="9"/>
  <c r="AE185" i="9"/>
  <c r="AD185" i="9"/>
  <c r="AC185" i="9"/>
  <c r="AB185" i="9"/>
  <c r="AA185" i="9"/>
  <c r="Z185" i="9"/>
  <c r="Y185" i="9"/>
  <c r="AG184" i="9"/>
  <c r="AF184" i="9"/>
  <c r="AE184" i="9"/>
  <c r="AD184" i="9"/>
  <c r="AC184" i="9"/>
  <c r="AB184" i="9"/>
  <c r="AA184" i="9"/>
  <c r="Z184" i="9"/>
  <c r="Y184" i="9"/>
  <c r="AG183" i="9"/>
  <c r="AF183" i="9"/>
  <c r="AE183" i="9"/>
  <c r="AD183" i="9"/>
  <c r="AC183" i="9"/>
  <c r="AB183" i="9"/>
  <c r="AA183" i="9"/>
  <c r="Z183" i="9"/>
  <c r="Y183" i="9"/>
  <c r="AG182" i="9"/>
  <c r="AF182" i="9"/>
  <c r="AE182" i="9"/>
  <c r="AD182" i="9"/>
  <c r="AC182" i="9"/>
  <c r="AB182" i="9"/>
  <c r="AA182" i="9"/>
  <c r="Z182" i="9"/>
  <c r="Y182" i="9"/>
  <c r="AG181" i="9"/>
  <c r="AF181" i="9"/>
  <c r="AE181" i="9"/>
  <c r="AD181" i="9"/>
  <c r="AC181" i="9"/>
  <c r="AB181" i="9"/>
  <c r="AA181" i="9"/>
  <c r="Z181" i="9"/>
  <c r="Y181" i="9"/>
  <c r="AG180" i="9"/>
  <c r="AF180" i="9"/>
  <c r="AE180" i="9"/>
  <c r="AD180" i="9"/>
  <c r="AC180" i="9"/>
  <c r="AB180" i="9"/>
  <c r="AA180" i="9"/>
  <c r="Z180" i="9"/>
  <c r="Y180" i="9"/>
  <c r="AG179" i="9"/>
  <c r="AF179" i="9"/>
  <c r="AE179" i="9"/>
  <c r="AD179" i="9"/>
  <c r="AC179" i="9"/>
  <c r="AB179" i="9"/>
  <c r="AA179" i="9"/>
  <c r="Z179" i="9"/>
  <c r="Y179" i="9"/>
  <c r="AG178" i="9"/>
  <c r="AF178" i="9"/>
  <c r="AE178" i="9"/>
  <c r="AD178" i="9"/>
  <c r="AC178" i="9"/>
  <c r="AB178" i="9"/>
  <c r="AA178" i="9"/>
  <c r="Z178" i="9"/>
  <c r="Y178" i="9"/>
  <c r="AG177" i="9"/>
  <c r="AF177" i="9"/>
  <c r="AE177" i="9"/>
  <c r="AD177" i="9"/>
  <c r="AC177" i="9"/>
  <c r="AB177" i="9"/>
  <c r="AA177" i="9"/>
  <c r="Z177" i="9"/>
  <c r="Y177" i="9"/>
  <c r="AG176" i="9"/>
  <c r="AF176" i="9"/>
  <c r="AE176" i="9"/>
  <c r="AD176" i="9"/>
  <c r="AC176" i="9"/>
  <c r="AB176" i="9"/>
  <c r="AA176" i="9"/>
  <c r="Z176" i="9"/>
  <c r="Y176" i="9"/>
  <c r="AG175" i="9"/>
  <c r="AF175" i="9"/>
  <c r="AE175" i="9"/>
  <c r="AD175" i="9"/>
  <c r="AC175" i="9"/>
  <c r="AB175" i="9"/>
  <c r="AA175" i="9"/>
  <c r="Z175" i="9"/>
  <c r="Y175" i="9"/>
  <c r="AG174" i="9"/>
  <c r="AF174" i="9"/>
  <c r="AE174" i="9"/>
  <c r="AD174" i="9"/>
  <c r="AC174" i="9"/>
  <c r="AB174" i="9"/>
  <c r="AA174" i="9"/>
  <c r="Z174" i="9"/>
  <c r="Y174" i="9"/>
  <c r="AG173" i="9"/>
  <c r="AF173" i="9"/>
  <c r="AE173" i="9"/>
  <c r="AD173" i="9"/>
  <c r="AC173" i="9"/>
  <c r="AB173" i="9"/>
  <c r="AA173" i="9"/>
  <c r="Z173" i="9"/>
  <c r="Y173" i="9"/>
  <c r="AG172" i="9"/>
  <c r="AF172" i="9"/>
  <c r="AE172" i="9"/>
  <c r="AD172" i="9"/>
  <c r="AC172" i="9"/>
  <c r="AB172" i="9"/>
  <c r="AA172" i="9"/>
  <c r="Z172" i="9"/>
  <c r="Y172" i="9"/>
  <c r="AG171" i="9"/>
  <c r="AF171" i="9"/>
  <c r="AE171" i="9"/>
  <c r="AD171" i="9"/>
  <c r="AC171" i="9"/>
  <c r="AB171" i="9"/>
  <c r="AA171" i="9"/>
  <c r="Z171" i="9"/>
  <c r="Y171" i="9"/>
  <c r="AG170" i="9"/>
  <c r="AF170" i="9"/>
  <c r="AE170" i="9"/>
  <c r="AD170" i="9"/>
  <c r="AC170" i="9"/>
  <c r="AB170" i="9"/>
  <c r="AA170" i="9"/>
  <c r="Z170" i="9"/>
  <c r="Y170" i="9"/>
  <c r="AG169" i="9"/>
  <c r="AF169" i="9"/>
  <c r="AE169" i="9"/>
  <c r="AD169" i="9"/>
  <c r="AC169" i="9"/>
  <c r="AB169" i="9"/>
  <c r="AA169" i="9"/>
  <c r="Z169" i="9"/>
  <c r="Y169" i="9"/>
  <c r="AG168" i="9"/>
  <c r="AF168" i="9"/>
  <c r="AE168" i="9"/>
  <c r="AD168" i="9"/>
  <c r="AC168" i="9"/>
  <c r="AB168" i="9"/>
  <c r="AA168" i="9"/>
  <c r="Z168" i="9"/>
  <c r="Y168" i="9"/>
  <c r="AG167" i="9"/>
  <c r="AF167" i="9"/>
  <c r="AE167" i="9"/>
  <c r="AD167" i="9"/>
  <c r="AC167" i="9"/>
  <c r="AB167" i="9"/>
  <c r="AA167" i="9"/>
  <c r="Z167" i="9"/>
  <c r="Y167" i="9"/>
  <c r="AG166" i="9"/>
  <c r="AF166" i="9"/>
  <c r="AE166" i="9"/>
  <c r="AD166" i="9"/>
  <c r="AC166" i="9"/>
  <c r="AB166" i="9"/>
  <c r="AA166" i="9"/>
  <c r="Z166" i="9"/>
  <c r="Y166" i="9"/>
  <c r="AG165" i="9"/>
  <c r="AF165" i="9"/>
  <c r="AE165" i="9"/>
  <c r="AD165" i="9"/>
  <c r="AC165" i="9"/>
  <c r="AB165" i="9"/>
  <c r="AA165" i="9"/>
  <c r="Z165" i="9"/>
  <c r="Y165" i="9"/>
  <c r="AG164" i="9"/>
  <c r="AF164" i="9"/>
  <c r="AE164" i="9"/>
  <c r="AD164" i="9"/>
  <c r="AC164" i="9"/>
  <c r="AB164" i="9"/>
  <c r="AA164" i="9"/>
  <c r="Z164" i="9"/>
  <c r="Y164" i="9"/>
  <c r="AG163" i="9"/>
  <c r="AF163" i="9"/>
  <c r="AE163" i="9"/>
  <c r="AD163" i="9"/>
  <c r="AC163" i="9"/>
  <c r="AB163" i="9"/>
  <c r="AA163" i="9"/>
  <c r="Z163" i="9"/>
  <c r="Y163" i="9"/>
  <c r="AG162" i="9"/>
  <c r="AF162" i="9"/>
  <c r="AE162" i="9"/>
  <c r="AD162" i="9"/>
  <c r="AC162" i="9"/>
  <c r="AB162" i="9"/>
  <c r="AA162" i="9"/>
  <c r="Z162" i="9"/>
  <c r="Y162" i="9"/>
  <c r="AG161" i="9"/>
  <c r="AF161" i="9"/>
  <c r="AE161" i="9"/>
  <c r="AD161" i="9"/>
  <c r="AC161" i="9"/>
  <c r="AB161" i="9"/>
  <c r="AA161" i="9"/>
  <c r="Z161" i="9"/>
  <c r="Y161" i="9"/>
  <c r="AG160" i="9"/>
  <c r="AF160" i="9"/>
  <c r="AE160" i="9"/>
  <c r="AD160" i="9"/>
  <c r="AC160" i="9"/>
  <c r="AB160" i="9"/>
  <c r="AA160" i="9"/>
  <c r="Z160" i="9"/>
  <c r="Y160" i="9"/>
  <c r="AG159" i="9"/>
  <c r="AF159" i="9"/>
  <c r="AE159" i="9"/>
  <c r="AD159" i="9"/>
  <c r="AC159" i="9"/>
  <c r="AB159" i="9"/>
  <c r="AA159" i="9"/>
  <c r="Z159" i="9"/>
  <c r="Y159" i="9"/>
  <c r="AG158" i="9"/>
  <c r="AF158" i="9"/>
  <c r="AE158" i="9"/>
  <c r="AD158" i="9"/>
  <c r="AC158" i="9"/>
  <c r="AB158" i="9"/>
  <c r="AA158" i="9"/>
  <c r="Z158" i="9"/>
  <c r="Y158" i="9"/>
  <c r="AG157" i="9"/>
  <c r="AF157" i="9"/>
  <c r="AE157" i="9"/>
  <c r="AD157" i="9"/>
  <c r="AC157" i="9"/>
  <c r="AB157" i="9"/>
  <c r="AA157" i="9"/>
  <c r="Z157" i="9"/>
  <c r="Y157" i="9"/>
  <c r="AG156" i="9"/>
  <c r="AF156" i="9"/>
  <c r="AE156" i="9"/>
  <c r="AD156" i="9"/>
  <c r="AC156" i="9"/>
  <c r="AB156" i="9"/>
  <c r="AA156" i="9"/>
  <c r="Z156" i="9"/>
  <c r="Y156" i="9"/>
  <c r="AG155" i="9"/>
  <c r="AF155" i="9"/>
  <c r="AE155" i="9"/>
  <c r="AD155" i="9"/>
  <c r="AC155" i="9"/>
  <c r="AB155" i="9"/>
  <c r="AA155" i="9"/>
  <c r="Z155" i="9"/>
  <c r="Y155" i="9"/>
  <c r="AG154" i="9"/>
  <c r="AF154" i="9"/>
  <c r="AE154" i="9"/>
  <c r="AD154" i="9"/>
  <c r="AC154" i="9"/>
  <c r="AB154" i="9"/>
  <c r="AA154" i="9"/>
  <c r="Z154" i="9"/>
  <c r="Y154" i="9"/>
  <c r="AG153" i="9"/>
  <c r="AF153" i="9"/>
  <c r="AE153" i="9"/>
  <c r="AD153" i="9"/>
  <c r="AC153" i="9"/>
  <c r="AB153" i="9"/>
  <c r="AA153" i="9"/>
  <c r="Z153" i="9"/>
  <c r="Y153" i="9"/>
  <c r="AG152" i="9"/>
  <c r="AF152" i="9"/>
  <c r="AE152" i="9"/>
  <c r="AD152" i="9"/>
  <c r="AC152" i="9"/>
  <c r="AB152" i="9"/>
  <c r="AA152" i="9"/>
  <c r="Z152" i="9"/>
  <c r="Y152" i="9"/>
  <c r="AG151" i="9"/>
  <c r="AF151" i="9"/>
  <c r="AE151" i="9"/>
  <c r="AD151" i="9"/>
  <c r="AC151" i="9"/>
  <c r="AB151" i="9"/>
  <c r="AA151" i="9"/>
  <c r="Z151" i="9"/>
  <c r="Y151" i="9"/>
  <c r="AG150" i="9"/>
  <c r="AF150" i="9"/>
  <c r="AE150" i="9"/>
  <c r="AD150" i="9"/>
  <c r="AC150" i="9"/>
  <c r="AB150" i="9"/>
  <c r="AA150" i="9"/>
  <c r="Z150" i="9"/>
  <c r="Y150" i="9"/>
  <c r="AG149" i="9"/>
  <c r="AF149" i="9"/>
  <c r="AE149" i="9"/>
  <c r="AD149" i="9"/>
  <c r="AC149" i="9"/>
  <c r="AB149" i="9"/>
  <c r="AA149" i="9"/>
  <c r="Z149" i="9"/>
  <c r="Y149" i="9"/>
  <c r="AG148" i="9"/>
  <c r="AF148" i="9"/>
  <c r="AE148" i="9"/>
  <c r="AD148" i="9"/>
  <c r="AC148" i="9"/>
  <c r="AB148" i="9"/>
  <c r="AA148" i="9"/>
  <c r="Z148" i="9"/>
  <c r="Y148" i="9"/>
  <c r="AG147" i="9"/>
  <c r="AF147" i="9"/>
  <c r="AE147" i="9"/>
  <c r="AD147" i="9"/>
  <c r="AC147" i="9"/>
  <c r="AB147" i="9"/>
  <c r="AA147" i="9"/>
  <c r="Z147" i="9"/>
  <c r="Y147" i="9"/>
  <c r="AG146" i="9"/>
  <c r="AF146" i="9"/>
  <c r="AE146" i="9"/>
  <c r="AD146" i="9"/>
  <c r="AC146" i="9"/>
  <c r="AB146" i="9"/>
  <c r="AA146" i="9"/>
  <c r="Z146" i="9"/>
  <c r="Y146" i="9"/>
  <c r="AG145" i="9"/>
  <c r="AF145" i="9"/>
  <c r="AE145" i="9"/>
  <c r="AD145" i="9"/>
  <c r="AC145" i="9"/>
  <c r="AB145" i="9"/>
  <c r="AA145" i="9"/>
  <c r="Z145" i="9"/>
  <c r="Y145" i="9"/>
  <c r="AG144" i="9"/>
  <c r="AF144" i="9"/>
  <c r="AE144" i="9"/>
  <c r="AD144" i="9"/>
  <c r="AC144" i="9"/>
  <c r="AB144" i="9"/>
  <c r="AA144" i="9"/>
  <c r="Z144" i="9"/>
  <c r="Y144" i="9"/>
  <c r="AG143" i="9"/>
  <c r="AF143" i="9"/>
  <c r="AE143" i="9"/>
  <c r="AD143" i="9"/>
  <c r="AC143" i="9"/>
  <c r="AB143" i="9"/>
  <c r="AA143" i="9"/>
  <c r="Z143" i="9"/>
  <c r="Y143" i="9"/>
  <c r="AG142" i="9"/>
  <c r="AF142" i="9"/>
  <c r="AE142" i="9"/>
  <c r="AD142" i="9"/>
  <c r="AC142" i="9"/>
  <c r="AB142" i="9"/>
  <c r="AA142" i="9"/>
  <c r="Z142" i="9"/>
  <c r="Y142" i="9"/>
  <c r="AG141" i="9"/>
  <c r="AF141" i="9"/>
  <c r="AE141" i="9"/>
  <c r="AD141" i="9"/>
  <c r="AC141" i="9"/>
  <c r="AB141" i="9"/>
  <c r="AA141" i="9"/>
  <c r="Z141" i="9"/>
  <c r="Y141" i="9"/>
  <c r="AG140" i="9"/>
  <c r="AF140" i="9"/>
  <c r="AE140" i="9"/>
  <c r="AD140" i="9"/>
  <c r="AC140" i="9"/>
  <c r="AB140" i="9"/>
  <c r="AA140" i="9"/>
  <c r="Z140" i="9"/>
  <c r="Y140" i="9"/>
  <c r="AG139" i="9"/>
  <c r="AF139" i="9"/>
  <c r="AE139" i="9"/>
  <c r="AD139" i="9"/>
  <c r="AC139" i="9"/>
  <c r="AB139" i="9"/>
  <c r="AA139" i="9"/>
  <c r="Z139" i="9"/>
  <c r="Y139" i="9"/>
  <c r="AG138" i="9"/>
  <c r="AF138" i="9"/>
  <c r="AE138" i="9"/>
  <c r="AD138" i="9"/>
  <c r="AC138" i="9"/>
  <c r="AB138" i="9"/>
  <c r="AA138" i="9"/>
  <c r="Z138" i="9"/>
  <c r="Y138" i="9"/>
  <c r="AG137" i="9"/>
  <c r="AF137" i="9"/>
  <c r="AE137" i="9"/>
  <c r="AD137" i="9"/>
  <c r="AC137" i="9"/>
  <c r="AB137" i="9"/>
  <c r="AA137" i="9"/>
  <c r="Z137" i="9"/>
  <c r="Y137" i="9"/>
  <c r="AG136" i="9"/>
  <c r="AF136" i="9"/>
  <c r="AE136" i="9"/>
  <c r="AD136" i="9"/>
  <c r="AC136" i="9"/>
  <c r="AB136" i="9"/>
  <c r="AA136" i="9"/>
  <c r="Z136" i="9"/>
  <c r="Y136" i="9"/>
  <c r="AG135" i="9"/>
  <c r="AF135" i="9"/>
  <c r="AE135" i="9"/>
  <c r="AD135" i="9"/>
  <c r="AC135" i="9"/>
  <c r="AB135" i="9"/>
  <c r="AA135" i="9"/>
  <c r="Z135" i="9"/>
  <c r="Y135" i="9"/>
  <c r="AG134" i="9"/>
  <c r="AF134" i="9"/>
  <c r="AE134" i="9"/>
  <c r="AD134" i="9"/>
  <c r="AC134" i="9"/>
  <c r="AB134" i="9"/>
  <c r="AA134" i="9"/>
  <c r="Z134" i="9"/>
  <c r="Y134" i="9"/>
  <c r="AG133" i="9"/>
  <c r="AF133" i="9"/>
  <c r="AE133" i="9"/>
  <c r="AD133" i="9"/>
  <c r="AC133" i="9"/>
  <c r="AB133" i="9"/>
  <c r="AA133" i="9"/>
  <c r="Z133" i="9"/>
  <c r="Y133" i="9"/>
  <c r="AG132" i="9"/>
  <c r="AF132" i="9"/>
  <c r="AE132" i="9"/>
  <c r="AD132" i="9"/>
  <c r="AC132" i="9"/>
  <c r="AB132" i="9"/>
  <c r="AA132" i="9"/>
  <c r="Z132" i="9"/>
  <c r="Y132" i="9"/>
  <c r="AG131" i="9"/>
  <c r="AF131" i="9"/>
  <c r="AE131" i="9"/>
  <c r="AD131" i="9"/>
  <c r="AC131" i="9"/>
  <c r="AB131" i="9"/>
  <c r="AA131" i="9"/>
  <c r="Z131" i="9"/>
  <c r="Y131" i="9"/>
  <c r="AG130" i="9"/>
  <c r="AF130" i="9"/>
  <c r="AE130" i="9"/>
  <c r="AD130" i="9"/>
  <c r="AC130" i="9"/>
  <c r="AB130" i="9"/>
  <c r="AA130" i="9"/>
  <c r="Z130" i="9"/>
  <c r="Y130" i="9"/>
  <c r="AG129" i="9"/>
  <c r="AF129" i="9"/>
  <c r="AE129" i="9"/>
  <c r="AD129" i="9"/>
  <c r="AC129" i="9"/>
  <c r="AB129" i="9"/>
  <c r="AA129" i="9"/>
  <c r="Z129" i="9"/>
  <c r="Y129" i="9"/>
  <c r="AG128" i="9"/>
  <c r="AF128" i="9"/>
  <c r="AE128" i="9"/>
  <c r="AD128" i="9"/>
  <c r="AC128" i="9"/>
  <c r="AB128" i="9"/>
  <c r="AA128" i="9"/>
  <c r="Z128" i="9"/>
  <c r="Y128" i="9"/>
  <c r="AG127" i="9"/>
  <c r="AF127" i="9"/>
  <c r="AE127" i="9"/>
  <c r="AD127" i="9"/>
  <c r="AC127" i="9"/>
  <c r="AB127" i="9"/>
  <c r="AA127" i="9"/>
  <c r="Z127" i="9"/>
  <c r="Y127" i="9"/>
  <c r="AG126" i="9"/>
  <c r="AF126" i="9"/>
  <c r="AE126" i="9"/>
  <c r="AD126" i="9"/>
  <c r="AC126" i="9"/>
  <c r="AB126" i="9"/>
  <c r="AA126" i="9"/>
  <c r="Z126" i="9"/>
  <c r="Y126" i="9"/>
  <c r="AG125" i="9"/>
  <c r="AF125" i="9"/>
  <c r="AE125" i="9"/>
  <c r="AD125" i="9"/>
  <c r="AC125" i="9"/>
  <c r="AB125" i="9"/>
  <c r="AA125" i="9"/>
  <c r="Z125" i="9"/>
  <c r="Y125" i="9"/>
  <c r="AG124" i="9"/>
  <c r="AF124" i="9"/>
  <c r="AE124" i="9"/>
  <c r="AD124" i="9"/>
  <c r="AC124" i="9"/>
  <c r="AB124" i="9"/>
  <c r="AA124" i="9"/>
  <c r="Z124" i="9"/>
  <c r="Y124" i="9"/>
  <c r="AG123" i="9"/>
  <c r="AF123" i="9"/>
  <c r="AE123" i="9"/>
  <c r="AD123" i="9"/>
  <c r="AC123" i="9"/>
  <c r="AB123" i="9"/>
  <c r="AA123" i="9"/>
  <c r="Z123" i="9"/>
  <c r="Y123" i="9"/>
  <c r="AG122" i="9"/>
  <c r="AF122" i="9"/>
  <c r="AE122" i="9"/>
  <c r="AD122" i="9"/>
  <c r="AC122" i="9"/>
  <c r="AB122" i="9"/>
  <c r="AA122" i="9"/>
  <c r="Z122" i="9"/>
  <c r="Y122" i="9"/>
  <c r="AG121" i="9"/>
  <c r="AF121" i="9"/>
  <c r="AE121" i="9"/>
  <c r="AD121" i="9"/>
  <c r="AC121" i="9"/>
  <c r="AB121" i="9"/>
  <c r="AA121" i="9"/>
  <c r="Z121" i="9"/>
  <c r="Y121" i="9"/>
  <c r="AG120" i="9"/>
  <c r="AF120" i="9"/>
  <c r="AE120" i="9"/>
  <c r="AD120" i="9"/>
  <c r="AC120" i="9"/>
  <c r="AB120" i="9"/>
  <c r="AA120" i="9"/>
  <c r="Z120" i="9"/>
  <c r="Y120" i="9"/>
  <c r="AG119" i="9"/>
  <c r="AF119" i="9"/>
  <c r="AE119" i="9"/>
  <c r="AD119" i="9"/>
  <c r="AC119" i="9"/>
  <c r="AB119" i="9"/>
  <c r="AA119" i="9"/>
  <c r="Z119" i="9"/>
  <c r="Y119" i="9"/>
  <c r="AG118" i="9"/>
  <c r="AF118" i="9"/>
  <c r="AE118" i="9"/>
  <c r="AD118" i="9"/>
  <c r="AC118" i="9"/>
  <c r="AB118" i="9"/>
  <c r="AA118" i="9"/>
  <c r="Z118" i="9"/>
  <c r="Y118" i="9"/>
  <c r="AG117" i="9"/>
  <c r="AF117" i="9"/>
  <c r="AE117" i="9"/>
  <c r="AD117" i="9"/>
  <c r="AC117" i="9"/>
  <c r="AB117" i="9"/>
  <c r="AA117" i="9"/>
  <c r="Z117" i="9"/>
  <c r="Y117" i="9"/>
  <c r="AG116" i="9"/>
  <c r="AF116" i="9"/>
  <c r="AE116" i="9"/>
  <c r="AD116" i="9"/>
  <c r="AC116" i="9"/>
  <c r="AB116" i="9"/>
  <c r="AA116" i="9"/>
  <c r="Z116" i="9"/>
  <c r="Y116" i="9"/>
  <c r="AG115" i="9"/>
  <c r="AF115" i="9"/>
  <c r="AE115" i="9"/>
  <c r="AD115" i="9"/>
  <c r="AC115" i="9"/>
  <c r="AB115" i="9"/>
  <c r="AA115" i="9"/>
  <c r="Z115" i="9"/>
  <c r="Y115" i="9"/>
  <c r="AG114" i="9"/>
  <c r="AF114" i="9"/>
  <c r="AE114" i="9"/>
  <c r="AD114" i="9"/>
  <c r="AC114" i="9"/>
  <c r="AB114" i="9"/>
  <c r="AA114" i="9"/>
  <c r="Z114" i="9"/>
  <c r="Y114" i="9"/>
  <c r="AG113" i="9"/>
  <c r="AF113" i="9"/>
  <c r="AE113" i="9"/>
  <c r="AD113" i="9"/>
  <c r="AC113" i="9"/>
  <c r="AB113" i="9"/>
  <c r="AA113" i="9"/>
  <c r="Z113" i="9"/>
  <c r="Y113" i="9"/>
  <c r="AG112" i="9"/>
  <c r="AF112" i="9"/>
  <c r="AE112" i="9"/>
  <c r="AD112" i="9"/>
  <c r="AC112" i="9"/>
  <c r="AB112" i="9"/>
  <c r="AA112" i="9"/>
  <c r="Z112" i="9"/>
  <c r="Y112" i="9"/>
  <c r="AG111" i="9"/>
  <c r="AF111" i="9"/>
  <c r="AE111" i="9"/>
  <c r="AD111" i="9"/>
  <c r="AC111" i="9"/>
  <c r="AB111" i="9"/>
  <c r="AA111" i="9"/>
  <c r="Z111" i="9"/>
  <c r="Y111" i="9"/>
  <c r="AG110" i="9"/>
  <c r="AF110" i="9"/>
  <c r="AE110" i="9"/>
  <c r="AD110" i="9"/>
  <c r="AC110" i="9"/>
  <c r="AB110" i="9"/>
  <c r="AA110" i="9"/>
  <c r="Z110" i="9"/>
  <c r="Y110" i="9"/>
  <c r="AG109" i="9"/>
  <c r="AF109" i="9"/>
  <c r="AE109" i="9"/>
  <c r="AD109" i="9"/>
  <c r="AC109" i="9"/>
  <c r="AB109" i="9"/>
  <c r="AA109" i="9"/>
  <c r="Z109" i="9"/>
  <c r="Y109" i="9"/>
  <c r="AG108" i="9"/>
  <c r="AF108" i="9"/>
  <c r="AE108" i="9"/>
  <c r="AD108" i="9"/>
  <c r="AC108" i="9"/>
  <c r="AB108" i="9"/>
  <c r="AA108" i="9"/>
  <c r="Z108" i="9"/>
  <c r="Y108" i="9"/>
  <c r="AG107" i="9"/>
  <c r="AF107" i="9"/>
  <c r="AE107" i="9"/>
  <c r="AD107" i="9"/>
  <c r="AC107" i="9"/>
  <c r="AB107" i="9"/>
  <c r="AA107" i="9"/>
  <c r="Z107" i="9"/>
  <c r="Y107" i="9"/>
  <c r="AG106" i="9"/>
  <c r="AF106" i="9"/>
  <c r="AE106" i="9"/>
  <c r="AD106" i="9"/>
  <c r="AC106" i="9"/>
  <c r="AB106" i="9"/>
  <c r="AA106" i="9"/>
  <c r="Z106" i="9"/>
  <c r="Y106" i="9"/>
  <c r="AG105" i="9"/>
  <c r="AF105" i="9"/>
  <c r="AE105" i="9"/>
  <c r="AD105" i="9"/>
  <c r="AC105" i="9"/>
  <c r="AB105" i="9"/>
  <c r="AA105" i="9"/>
  <c r="Z105" i="9"/>
  <c r="Y105" i="9"/>
  <c r="AG104" i="9"/>
  <c r="AF104" i="9"/>
  <c r="AE104" i="9"/>
  <c r="AD104" i="9"/>
  <c r="AC104" i="9"/>
  <c r="AB104" i="9"/>
  <c r="AA104" i="9"/>
  <c r="Z104" i="9"/>
  <c r="Y104" i="9"/>
  <c r="AG103" i="9"/>
  <c r="AF103" i="9"/>
  <c r="AE103" i="9"/>
  <c r="AD103" i="9"/>
  <c r="AC103" i="9"/>
  <c r="AB103" i="9"/>
  <c r="AA103" i="9"/>
  <c r="Z103" i="9"/>
  <c r="Y103" i="9"/>
  <c r="AG102" i="9"/>
  <c r="AF102" i="9"/>
  <c r="AE102" i="9"/>
  <c r="AD102" i="9"/>
  <c r="AC102" i="9"/>
  <c r="AB102" i="9"/>
  <c r="AA102" i="9"/>
  <c r="Z102" i="9"/>
  <c r="Y102" i="9"/>
  <c r="AG101" i="9"/>
  <c r="AF101" i="9"/>
  <c r="AE101" i="9"/>
  <c r="AD101" i="9"/>
  <c r="AC101" i="9"/>
  <c r="AB101" i="9"/>
  <c r="AA101" i="9"/>
  <c r="Z101" i="9"/>
  <c r="Y101" i="9"/>
  <c r="AG100" i="9"/>
  <c r="AF100" i="9"/>
  <c r="AE100" i="9"/>
  <c r="AD100" i="9"/>
  <c r="AC100" i="9"/>
  <c r="AB100" i="9"/>
  <c r="AA100" i="9"/>
  <c r="Z100" i="9"/>
  <c r="Y100" i="9"/>
  <c r="AG99" i="9"/>
  <c r="AF99" i="9"/>
  <c r="AE99" i="9"/>
  <c r="AD99" i="9"/>
  <c r="AC99" i="9"/>
  <c r="AB99" i="9"/>
  <c r="AA99" i="9"/>
  <c r="Z99" i="9"/>
  <c r="Y99" i="9"/>
  <c r="AG98" i="9"/>
  <c r="AF98" i="9"/>
  <c r="AE98" i="9"/>
  <c r="AD98" i="9"/>
  <c r="AC98" i="9"/>
  <c r="AB98" i="9"/>
  <c r="AA98" i="9"/>
  <c r="Z98" i="9"/>
  <c r="Y98" i="9"/>
  <c r="AG97" i="9"/>
  <c r="AF97" i="9"/>
  <c r="AE97" i="9"/>
  <c r="AD97" i="9"/>
  <c r="AC97" i="9"/>
  <c r="AB97" i="9"/>
  <c r="AA97" i="9"/>
  <c r="Z97" i="9"/>
  <c r="Y97" i="9"/>
  <c r="AG96" i="9"/>
  <c r="AF96" i="9"/>
  <c r="AE96" i="9"/>
  <c r="AD96" i="9"/>
  <c r="AC96" i="9"/>
  <c r="AB96" i="9"/>
  <c r="AA96" i="9"/>
  <c r="Z96" i="9"/>
  <c r="Y96" i="9"/>
  <c r="AG95" i="9"/>
  <c r="AF95" i="9"/>
  <c r="AE95" i="9"/>
  <c r="AD95" i="9"/>
  <c r="AC95" i="9"/>
  <c r="AB95" i="9"/>
  <c r="AA95" i="9"/>
  <c r="Z95" i="9"/>
  <c r="Y95" i="9"/>
  <c r="AG94" i="9"/>
  <c r="AF94" i="9"/>
  <c r="AE94" i="9"/>
  <c r="AD94" i="9"/>
  <c r="AC94" i="9"/>
  <c r="AB94" i="9"/>
  <c r="AA94" i="9"/>
  <c r="Z94" i="9"/>
  <c r="Y94" i="9"/>
  <c r="AG93" i="9"/>
  <c r="AF93" i="9"/>
  <c r="AE93" i="9"/>
  <c r="AD93" i="9"/>
  <c r="AC93" i="9"/>
  <c r="AB93" i="9"/>
  <c r="AA93" i="9"/>
  <c r="Z93" i="9"/>
  <c r="Y93" i="9"/>
  <c r="AG92" i="9"/>
  <c r="AF92" i="9"/>
  <c r="AE92" i="9"/>
  <c r="AD92" i="9"/>
  <c r="AC92" i="9"/>
  <c r="AB92" i="9"/>
  <c r="AA92" i="9"/>
  <c r="Z92" i="9"/>
  <c r="Y92" i="9"/>
  <c r="AG91" i="9"/>
  <c r="AF91" i="9"/>
  <c r="AE91" i="9"/>
  <c r="AD91" i="9"/>
  <c r="AC91" i="9"/>
  <c r="AB91" i="9"/>
  <c r="AA91" i="9"/>
  <c r="Z91" i="9"/>
  <c r="Y91" i="9"/>
  <c r="AG90" i="9"/>
  <c r="AF90" i="9"/>
  <c r="AE90" i="9"/>
  <c r="AD90" i="9"/>
  <c r="AC90" i="9"/>
  <c r="AB90" i="9"/>
  <c r="AA90" i="9"/>
  <c r="Z90" i="9"/>
  <c r="Y90" i="9"/>
  <c r="AG89" i="9"/>
  <c r="AF89" i="9"/>
  <c r="AE89" i="9"/>
  <c r="AD89" i="9"/>
  <c r="AC89" i="9"/>
  <c r="AB89" i="9"/>
  <c r="AA89" i="9"/>
  <c r="Z89" i="9"/>
  <c r="Y89" i="9"/>
  <c r="AG88" i="9"/>
  <c r="AF88" i="9"/>
  <c r="AE88" i="9"/>
  <c r="AD88" i="9"/>
  <c r="AC88" i="9"/>
  <c r="AB88" i="9"/>
  <c r="AA88" i="9"/>
  <c r="Z88" i="9"/>
  <c r="Y88" i="9"/>
  <c r="AG87" i="9"/>
  <c r="AF87" i="9"/>
  <c r="AE87" i="9"/>
  <c r="AD87" i="9"/>
  <c r="AC87" i="9"/>
  <c r="AB87" i="9"/>
  <c r="AA87" i="9"/>
  <c r="Z87" i="9"/>
  <c r="Y87" i="9"/>
  <c r="AG86" i="9"/>
  <c r="AF86" i="9"/>
  <c r="AE86" i="9"/>
  <c r="AD86" i="9"/>
  <c r="AC86" i="9"/>
  <c r="AB86" i="9"/>
  <c r="AA86" i="9"/>
  <c r="Z86" i="9"/>
  <c r="Y86" i="9"/>
  <c r="AG85" i="9"/>
  <c r="AF85" i="9"/>
  <c r="AE85" i="9"/>
  <c r="AD85" i="9"/>
  <c r="AC85" i="9"/>
  <c r="AB85" i="9"/>
  <c r="AA85" i="9"/>
  <c r="Z85" i="9"/>
  <c r="Y85" i="9"/>
  <c r="AG84" i="9"/>
  <c r="AF84" i="9"/>
  <c r="AE84" i="9"/>
  <c r="AD84" i="9"/>
  <c r="AC84" i="9"/>
  <c r="AB84" i="9"/>
  <c r="AA84" i="9"/>
  <c r="Z84" i="9"/>
  <c r="Y84" i="9"/>
  <c r="AG83" i="9"/>
  <c r="AF83" i="9"/>
  <c r="AE83" i="9"/>
  <c r="AD83" i="9"/>
  <c r="AC83" i="9"/>
  <c r="AB83" i="9"/>
  <c r="AA83" i="9"/>
  <c r="Z83" i="9"/>
  <c r="Y83" i="9"/>
  <c r="AG82" i="9"/>
  <c r="AF82" i="9"/>
  <c r="AE82" i="9"/>
  <c r="AD82" i="9"/>
  <c r="AC82" i="9"/>
  <c r="AB82" i="9"/>
  <c r="AA82" i="9"/>
  <c r="Z82" i="9"/>
  <c r="Y82" i="9"/>
  <c r="AG81" i="9"/>
  <c r="AF81" i="9"/>
  <c r="AE81" i="9"/>
  <c r="AD81" i="9"/>
  <c r="AC81" i="9"/>
  <c r="AB81" i="9"/>
  <c r="AA81" i="9"/>
  <c r="Z81" i="9"/>
  <c r="Y81" i="9"/>
  <c r="AG80" i="9"/>
  <c r="AF80" i="9"/>
  <c r="AE80" i="9"/>
  <c r="AD80" i="9"/>
  <c r="AC80" i="9"/>
  <c r="AB80" i="9"/>
  <c r="AA80" i="9"/>
  <c r="Z80" i="9"/>
  <c r="Y80" i="9"/>
  <c r="AG79" i="9"/>
  <c r="AF79" i="9"/>
  <c r="AE79" i="9"/>
  <c r="AD79" i="9"/>
  <c r="AC79" i="9"/>
  <c r="AB79" i="9"/>
  <c r="AA79" i="9"/>
  <c r="Z79" i="9"/>
  <c r="Y79" i="9"/>
  <c r="AG78" i="9"/>
  <c r="AF78" i="9"/>
  <c r="AE78" i="9"/>
  <c r="AD78" i="9"/>
  <c r="AC78" i="9"/>
  <c r="AB78" i="9"/>
  <c r="AA78" i="9"/>
  <c r="Z78" i="9"/>
  <c r="Y78" i="9"/>
  <c r="AG77" i="9"/>
  <c r="AF77" i="9"/>
  <c r="AE77" i="9"/>
  <c r="AD77" i="9"/>
  <c r="AC77" i="9"/>
  <c r="AB77" i="9"/>
  <c r="AA77" i="9"/>
  <c r="Z77" i="9"/>
  <c r="Y77" i="9"/>
  <c r="AG76" i="9"/>
  <c r="AF76" i="9"/>
  <c r="AE76" i="9"/>
  <c r="AD76" i="9"/>
  <c r="AC76" i="9"/>
  <c r="AB76" i="9"/>
  <c r="AA76" i="9"/>
  <c r="Z76" i="9"/>
  <c r="Y76" i="9"/>
  <c r="AG75" i="9"/>
  <c r="AF75" i="9"/>
  <c r="AE75" i="9"/>
  <c r="AD75" i="9"/>
  <c r="AC75" i="9"/>
  <c r="AB75" i="9"/>
  <c r="AA75" i="9"/>
  <c r="Z75" i="9"/>
  <c r="Y75" i="9"/>
  <c r="AG74" i="9"/>
  <c r="AF74" i="9"/>
  <c r="AE74" i="9"/>
  <c r="AD74" i="9"/>
  <c r="AC74" i="9"/>
  <c r="AB74" i="9"/>
  <c r="AA74" i="9"/>
  <c r="Z74" i="9"/>
  <c r="Y74" i="9"/>
  <c r="AG73" i="9"/>
  <c r="AF73" i="9"/>
  <c r="AE73" i="9"/>
  <c r="AD73" i="9"/>
  <c r="AC73" i="9"/>
  <c r="AB73" i="9"/>
  <c r="AA73" i="9"/>
  <c r="Z73" i="9"/>
  <c r="Y73" i="9"/>
  <c r="AG72" i="9"/>
  <c r="AF72" i="9"/>
  <c r="AE72" i="9"/>
  <c r="AD72" i="9"/>
  <c r="AC72" i="9"/>
  <c r="AB72" i="9"/>
  <c r="AA72" i="9"/>
  <c r="Z72" i="9"/>
  <c r="Y72" i="9"/>
  <c r="AG71" i="9"/>
  <c r="AF71" i="9"/>
  <c r="AE71" i="9"/>
  <c r="AD71" i="9"/>
  <c r="AC71" i="9"/>
  <c r="AB71" i="9"/>
  <c r="AA71" i="9"/>
  <c r="Z71" i="9"/>
  <c r="Y71" i="9"/>
  <c r="AG70" i="9"/>
  <c r="AF70" i="9"/>
  <c r="AE70" i="9"/>
  <c r="AD70" i="9"/>
  <c r="AC70" i="9"/>
  <c r="AB70" i="9"/>
  <c r="AA70" i="9"/>
  <c r="Z70" i="9"/>
  <c r="Y70" i="9"/>
  <c r="AG69" i="9"/>
  <c r="AF69" i="9"/>
  <c r="AE69" i="9"/>
  <c r="AD69" i="9"/>
  <c r="AC69" i="9"/>
  <c r="AB69" i="9"/>
  <c r="AA69" i="9"/>
  <c r="Z69" i="9"/>
  <c r="Y69" i="9"/>
  <c r="AG68" i="9"/>
  <c r="AF68" i="9"/>
  <c r="AE68" i="9"/>
  <c r="AD68" i="9"/>
  <c r="AC68" i="9"/>
  <c r="AB68" i="9"/>
  <c r="AA68" i="9"/>
  <c r="Z68" i="9"/>
  <c r="Y68" i="9"/>
  <c r="AG67" i="9"/>
  <c r="AF67" i="9"/>
  <c r="AE67" i="9"/>
  <c r="AD67" i="9"/>
  <c r="AC67" i="9"/>
  <c r="AB67" i="9"/>
  <c r="AA67" i="9"/>
  <c r="Z67" i="9"/>
  <c r="Y67" i="9"/>
  <c r="AG66" i="9"/>
  <c r="AF66" i="9"/>
  <c r="AE66" i="9"/>
  <c r="AD66" i="9"/>
  <c r="AC66" i="9"/>
  <c r="AB66" i="9"/>
  <c r="AA66" i="9"/>
  <c r="Z66" i="9"/>
  <c r="Y66" i="9"/>
  <c r="AG65" i="9"/>
  <c r="AF65" i="9"/>
  <c r="AE65" i="9"/>
  <c r="AD65" i="9"/>
  <c r="AC65" i="9"/>
  <c r="AB65" i="9"/>
  <c r="AA65" i="9"/>
  <c r="Z65" i="9"/>
  <c r="Y65" i="9"/>
  <c r="AG64" i="9"/>
  <c r="AF64" i="9"/>
  <c r="AE64" i="9"/>
  <c r="AD64" i="9"/>
  <c r="AC64" i="9"/>
  <c r="AB64" i="9"/>
  <c r="AA64" i="9"/>
  <c r="Z64" i="9"/>
  <c r="Y64" i="9"/>
  <c r="AG63" i="9"/>
  <c r="AF63" i="9"/>
  <c r="AE63" i="9"/>
  <c r="AD63" i="9"/>
  <c r="AC63" i="9"/>
  <c r="AB63" i="9"/>
  <c r="AA63" i="9"/>
  <c r="Z63" i="9"/>
  <c r="Y63" i="9"/>
  <c r="AG62" i="9"/>
  <c r="AF62" i="9"/>
  <c r="AE62" i="9"/>
  <c r="AD62" i="9"/>
  <c r="AC62" i="9"/>
  <c r="AB62" i="9"/>
  <c r="AA62" i="9"/>
  <c r="Z62" i="9"/>
  <c r="Y62" i="9"/>
  <c r="AG61" i="9"/>
  <c r="AF61" i="9"/>
  <c r="AE61" i="9"/>
  <c r="AD61" i="9"/>
  <c r="AC61" i="9"/>
  <c r="AB61" i="9"/>
  <c r="AA61" i="9"/>
  <c r="Z61" i="9"/>
  <c r="Y61" i="9"/>
  <c r="AG60" i="9"/>
  <c r="AF60" i="9"/>
  <c r="AE60" i="9"/>
  <c r="AD60" i="9"/>
  <c r="AC60" i="9"/>
  <c r="AB60" i="9"/>
  <c r="AA60" i="9"/>
  <c r="Z60" i="9"/>
  <c r="Y60" i="9"/>
  <c r="AG59" i="9"/>
  <c r="AF59" i="9"/>
  <c r="AE59" i="9"/>
  <c r="AD59" i="9"/>
  <c r="AC59" i="9"/>
  <c r="AB59" i="9"/>
  <c r="AA59" i="9"/>
  <c r="Z59" i="9"/>
  <c r="Y59" i="9"/>
  <c r="AG58" i="9"/>
  <c r="AF58" i="9"/>
  <c r="AE58" i="9"/>
  <c r="AD58" i="9"/>
  <c r="AC58" i="9"/>
  <c r="AB58" i="9"/>
  <c r="AA58" i="9"/>
  <c r="Z58" i="9"/>
  <c r="Y58" i="9"/>
  <c r="AG57" i="9"/>
  <c r="AF57" i="9"/>
  <c r="AE57" i="9"/>
  <c r="AD57" i="9"/>
  <c r="AC57" i="9"/>
  <c r="AB57" i="9"/>
  <c r="AA57" i="9"/>
  <c r="Z57" i="9"/>
  <c r="Y57" i="9"/>
  <c r="AG56" i="9"/>
  <c r="AF56" i="9"/>
  <c r="AE56" i="9"/>
  <c r="AD56" i="9"/>
  <c r="AC56" i="9"/>
  <c r="AB56" i="9"/>
  <c r="AA56" i="9"/>
  <c r="Z56" i="9"/>
  <c r="Y56" i="9"/>
  <c r="AG55" i="9"/>
  <c r="AF55" i="9"/>
  <c r="AE55" i="9"/>
  <c r="AD55" i="9"/>
  <c r="AC55" i="9"/>
  <c r="AB55" i="9"/>
  <c r="AA55" i="9"/>
  <c r="Z55" i="9"/>
  <c r="Y55" i="9"/>
  <c r="AG54" i="9"/>
  <c r="AF54" i="9"/>
  <c r="AE54" i="9"/>
  <c r="AD54" i="9"/>
  <c r="AC54" i="9"/>
  <c r="AB54" i="9"/>
  <c r="AA54" i="9"/>
  <c r="Z54" i="9"/>
  <c r="Y54" i="9"/>
  <c r="AG53" i="9"/>
  <c r="AF53" i="9"/>
  <c r="AE53" i="9"/>
  <c r="AD53" i="9"/>
  <c r="AC53" i="9"/>
  <c r="AB53" i="9"/>
  <c r="AA53" i="9"/>
  <c r="Z53" i="9"/>
  <c r="Y53" i="9"/>
  <c r="AG52" i="9"/>
  <c r="AF52" i="9"/>
  <c r="AE52" i="9"/>
  <c r="AD52" i="9"/>
  <c r="AC52" i="9"/>
  <c r="AB52" i="9"/>
  <c r="AA52" i="9"/>
  <c r="Z52" i="9"/>
  <c r="Y52" i="9"/>
  <c r="AG51" i="9"/>
  <c r="AF51" i="9"/>
  <c r="AE51" i="9"/>
  <c r="AD51" i="9"/>
  <c r="AC51" i="9"/>
  <c r="AB51" i="9"/>
  <c r="AA51" i="9"/>
  <c r="Z51" i="9"/>
  <c r="Y51" i="9"/>
  <c r="AG50" i="9"/>
  <c r="AF50" i="9"/>
  <c r="AE50" i="9"/>
  <c r="AD50" i="9"/>
  <c r="AC50" i="9"/>
  <c r="AB50" i="9"/>
  <c r="AA50" i="9"/>
  <c r="Z50" i="9"/>
  <c r="Y50" i="9"/>
  <c r="AG49" i="9"/>
  <c r="AF49" i="9"/>
  <c r="AE49" i="9"/>
  <c r="AD49" i="9"/>
  <c r="AC49" i="9"/>
  <c r="AB49" i="9"/>
  <c r="AA49" i="9"/>
  <c r="Z49" i="9"/>
  <c r="Y49" i="9"/>
  <c r="AG48" i="9"/>
  <c r="AF48" i="9"/>
  <c r="AE48" i="9"/>
  <c r="AD48" i="9"/>
  <c r="AC48" i="9"/>
  <c r="AB48" i="9"/>
  <c r="AA48" i="9"/>
  <c r="Z48" i="9"/>
  <c r="Y48" i="9"/>
  <c r="AG47" i="9"/>
  <c r="AF47" i="9"/>
  <c r="AE47" i="9"/>
  <c r="AD47" i="9"/>
  <c r="AC47" i="9"/>
  <c r="AB47" i="9"/>
  <c r="AA47" i="9"/>
  <c r="Z47" i="9"/>
  <c r="Y47" i="9"/>
  <c r="AG46" i="9"/>
  <c r="AF46" i="9"/>
  <c r="AE46" i="9"/>
  <c r="AD46" i="9"/>
  <c r="AC46" i="9"/>
  <c r="AB46" i="9"/>
  <c r="AA46" i="9"/>
  <c r="Z46" i="9"/>
  <c r="Y46" i="9"/>
  <c r="AG45" i="9"/>
  <c r="AF45" i="9"/>
  <c r="AE45" i="9"/>
  <c r="AD45" i="9"/>
  <c r="AC45" i="9"/>
  <c r="AB45" i="9"/>
  <c r="AA45" i="9"/>
  <c r="Z45" i="9"/>
  <c r="Y45" i="9"/>
  <c r="AG44" i="9"/>
  <c r="AF44" i="9"/>
  <c r="AE44" i="9"/>
  <c r="AD44" i="9"/>
  <c r="AC44" i="9"/>
  <c r="AB44" i="9"/>
  <c r="AA44" i="9"/>
  <c r="Z44" i="9"/>
  <c r="Y44" i="9"/>
  <c r="AG43" i="9"/>
  <c r="AF43" i="9"/>
  <c r="AE43" i="9"/>
  <c r="AD43" i="9"/>
  <c r="AC43" i="9"/>
  <c r="AB43" i="9"/>
  <c r="AA43" i="9"/>
  <c r="Z43" i="9"/>
  <c r="Y43" i="9"/>
  <c r="AG42" i="9"/>
  <c r="AF42" i="9"/>
  <c r="AE42" i="9"/>
  <c r="AD42" i="9"/>
  <c r="AC42" i="9"/>
  <c r="AB42" i="9"/>
  <c r="AA42" i="9"/>
  <c r="Z42" i="9"/>
  <c r="Y42" i="9"/>
  <c r="AG41" i="9"/>
  <c r="AF41" i="9"/>
  <c r="AE41" i="9"/>
  <c r="AD41" i="9"/>
  <c r="AC41" i="9"/>
  <c r="AB41" i="9"/>
  <c r="AA41" i="9"/>
  <c r="Z41" i="9"/>
  <c r="Y41" i="9"/>
  <c r="AG40" i="9"/>
  <c r="AF40" i="9"/>
  <c r="AE40" i="9"/>
  <c r="AD40" i="9"/>
  <c r="AC40" i="9"/>
  <c r="AB40" i="9"/>
  <c r="AA40" i="9"/>
  <c r="Z40" i="9"/>
  <c r="Y40" i="9"/>
  <c r="AG39" i="9"/>
  <c r="AF39" i="9"/>
  <c r="AE39" i="9"/>
  <c r="AD39" i="9"/>
  <c r="AC39" i="9"/>
  <c r="AB39" i="9"/>
  <c r="AA39" i="9"/>
  <c r="Z39" i="9"/>
  <c r="Y39" i="9"/>
  <c r="AG38" i="9"/>
  <c r="AF38" i="9"/>
  <c r="AE38" i="9"/>
  <c r="AD38" i="9"/>
  <c r="AC38" i="9"/>
  <c r="AB38" i="9"/>
  <c r="AA38" i="9"/>
  <c r="Z38" i="9"/>
  <c r="Y38" i="9"/>
  <c r="AG37" i="9"/>
  <c r="AF37" i="9"/>
  <c r="AE37" i="9"/>
  <c r="AD37" i="9"/>
  <c r="AC37" i="9"/>
  <c r="AB37" i="9"/>
  <c r="AA37" i="9"/>
  <c r="Z37" i="9"/>
  <c r="Y37" i="9"/>
  <c r="AG36" i="9"/>
  <c r="AF36" i="9"/>
  <c r="AE36" i="9"/>
  <c r="AD36" i="9"/>
  <c r="AC36" i="9"/>
  <c r="AB36" i="9"/>
  <c r="AA36" i="9"/>
  <c r="Z36" i="9"/>
  <c r="Y36" i="9"/>
  <c r="AG35" i="9"/>
  <c r="AF35" i="9"/>
  <c r="AE35" i="9"/>
  <c r="AD35" i="9"/>
  <c r="AC35" i="9"/>
  <c r="AB35" i="9"/>
  <c r="AA35" i="9"/>
  <c r="Z35" i="9"/>
  <c r="Y35" i="9"/>
  <c r="AG34" i="9"/>
  <c r="AF34" i="9"/>
  <c r="AE34" i="9"/>
  <c r="AD34" i="9"/>
  <c r="AC34" i="9"/>
  <c r="AB34" i="9"/>
  <c r="AA34" i="9"/>
  <c r="Z34" i="9"/>
  <c r="Y34" i="9"/>
  <c r="AG33" i="9"/>
  <c r="AF33" i="9"/>
  <c r="AE33" i="9"/>
  <c r="AD33" i="9"/>
  <c r="AC33" i="9"/>
  <c r="AB33" i="9"/>
  <c r="AA33" i="9"/>
  <c r="Z33" i="9"/>
  <c r="Y33" i="9"/>
  <c r="AG32" i="9"/>
  <c r="AF32" i="9"/>
  <c r="AE32" i="9"/>
  <c r="AD32" i="9"/>
  <c r="AC32" i="9"/>
  <c r="AB32" i="9"/>
  <c r="AA32" i="9"/>
  <c r="Z32" i="9"/>
  <c r="Y32" i="9"/>
  <c r="AG31" i="9"/>
  <c r="AF31" i="9"/>
  <c r="AE31" i="9"/>
  <c r="AD31" i="9"/>
  <c r="AC31" i="9"/>
  <c r="AB31" i="9"/>
  <c r="AA31" i="9"/>
  <c r="Z31" i="9"/>
  <c r="Y31" i="9"/>
  <c r="AG30" i="9"/>
  <c r="AF30" i="9"/>
  <c r="AE30" i="9"/>
  <c r="AD30" i="9"/>
  <c r="AC30" i="9"/>
  <c r="AB30" i="9"/>
  <c r="AA30" i="9"/>
  <c r="Z30" i="9"/>
  <c r="Y30" i="9"/>
  <c r="AG29" i="9"/>
  <c r="AF29" i="9"/>
  <c r="AE29" i="9"/>
  <c r="AD29" i="9"/>
  <c r="AC29" i="9"/>
  <c r="AB29" i="9"/>
  <c r="AA29" i="9"/>
  <c r="Z29" i="9"/>
  <c r="Y29" i="9"/>
  <c r="AG28" i="9"/>
  <c r="AF28" i="9"/>
  <c r="AE28" i="9"/>
  <c r="AD28" i="9"/>
  <c r="AC28" i="9"/>
  <c r="AB28" i="9"/>
  <c r="AA28" i="9"/>
  <c r="Z28" i="9"/>
  <c r="Y28" i="9"/>
  <c r="AG27" i="9"/>
  <c r="AF27" i="9"/>
  <c r="AE27" i="9"/>
  <c r="AD27" i="9"/>
  <c r="AC27" i="9"/>
  <c r="AB27" i="9"/>
  <c r="AA27" i="9"/>
  <c r="Z27" i="9"/>
  <c r="Y27" i="9"/>
  <c r="AG26" i="9"/>
  <c r="AF26" i="9"/>
  <c r="AE26" i="9"/>
  <c r="AD26" i="9"/>
  <c r="AC26" i="9"/>
  <c r="AB26" i="9"/>
  <c r="AA26" i="9"/>
  <c r="Z26" i="9"/>
  <c r="Y26" i="9"/>
  <c r="AG25" i="9"/>
  <c r="AF25" i="9"/>
  <c r="AE25" i="9"/>
  <c r="AD25" i="9"/>
  <c r="AC25" i="9"/>
  <c r="AB25" i="9"/>
  <c r="AA25" i="9"/>
  <c r="Z25" i="9"/>
  <c r="Y25" i="9"/>
  <c r="AG24" i="9"/>
  <c r="AF24" i="9"/>
  <c r="AE24" i="9"/>
  <c r="AD24" i="9"/>
  <c r="AC24" i="9"/>
  <c r="AB24" i="9"/>
  <c r="AA24" i="9"/>
  <c r="Z24" i="9"/>
  <c r="Y24" i="9"/>
  <c r="AG23" i="9"/>
  <c r="AF23" i="9"/>
  <c r="AE23" i="9"/>
  <c r="AD23" i="9"/>
  <c r="AC23" i="9"/>
  <c r="AB23" i="9"/>
  <c r="AA23" i="9"/>
  <c r="Z23" i="9"/>
  <c r="Y23" i="9"/>
  <c r="AG22" i="9"/>
  <c r="AF22" i="9"/>
  <c r="AE22" i="9"/>
  <c r="AD22" i="9"/>
  <c r="AC22" i="9"/>
  <c r="AB22" i="9"/>
  <c r="AA22" i="9"/>
  <c r="Z22" i="9"/>
  <c r="Y22" i="9"/>
  <c r="AG21" i="9"/>
  <c r="AF21" i="9"/>
  <c r="AE21" i="9"/>
  <c r="AD21" i="9"/>
  <c r="AC21" i="9"/>
  <c r="AB21" i="9"/>
  <c r="AA21" i="9"/>
  <c r="Z21" i="9"/>
  <c r="Y21" i="9"/>
  <c r="AG20" i="9"/>
  <c r="AF20" i="9"/>
  <c r="AE20" i="9"/>
  <c r="AD20" i="9"/>
  <c r="AC20" i="9"/>
  <c r="AB20" i="9"/>
  <c r="AA20" i="9"/>
  <c r="Z20" i="9"/>
  <c r="Y20" i="9"/>
  <c r="AG19" i="9"/>
  <c r="AF19" i="9"/>
  <c r="AE19" i="9"/>
  <c r="AD19" i="9"/>
  <c r="AC19" i="9"/>
  <c r="AB19" i="9"/>
  <c r="AA19" i="9"/>
  <c r="Z19" i="9"/>
  <c r="Y19" i="9"/>
  <c r="AG18" i="9"/>
  <c r="AF18" i="9"/>
  <c r="AE18" i="9"/>
  <c r="AD18" i="9"/>
  <c r="AC18" i="9"/>
  <c r="AB18" i="9"/>
  <c r="AA18" i="9"/>
  <c r="Z18" i="9"/>
  <c r="Y18" i="9"/>
  <c r="AG17" i="9"/>
  <c r="AF17" i="9"/>
  <c r="AE17" i="9"/>
  <c r="AD17" i="9"/>
  <c r="AC17" i="9"/>
  <c r="AB17" i="9"/>
  <c r="AA17" i="9"/>
  <c r="Z17" i="9"/>
  <c r="Y17" i="9"/>
  <c r="AG16" i="9"/>
  <c r="AF16" i="9"/>
  <c r="AE16" i="9"/>
  <c r="AD16" i="9"/>
  <c r="AC16" i="9"/>
  <c r="AB16" i="9"/>
  <c r="AA16" i="9"/>
  <c r="Z16" i="9"/>
  <c r="Y16" i="9"/>
  <c r="AG15" i="9"/>
  <c r="AF15" i="9"/>
  <c r="AE15" i="9"/>
  <c r="AD15" i="9"/>
  <c r="AC15" i="9"/>
  <c r="AB15" i="9"/>
  <c r="AA15" i="9"/>
  <c r="Z15" i="9"/>
  <c r="Y15" i="9"/>
  <c r="AG14" i="9"/>
  <c r="AF14" i="9"/>
  <c r="AE14" i="9"/>
  <c r="AD14" i="9"/>
  <c r="AC14" i="9"/>
  <c r="AB14" i="9"/>
  <c r="AA14" i="9"/>
  <c r="Z14" i="9"/>
  <c r="Y14" i="9"/>
  <c r="AG13" i="9"/>
  <c r="AF13" i="9"/>
  <c r="AE13" i="9"/>
  <c r="AD13" i="9"/>
  <c r="AC13" i="9"/>
  <c r="AB13" i="9"/>
  <c r="AA13" i="9"/>
  <c r="Z13" i="9"/>
  <c r="Y13" i="9"/>
  <c r="AG12" i="9"/>
  <c r="AF12" i="9"/>
  <c r="AE12" i="9"/>
  <c r="AD12" i="9"/>
  <c r="AC12" i="9"/>
  <c r="AB12" i="9"/>
  <c r="AA12" i="9"/>
  <c r="Z12" i="9"/>
  <c r="Y12" i="9"/>
  <c r="AG11" i="9"/>
  <c r="AF11" i="9"/>
  <c r="AE11" i="9"/>
  <c r="AD11" i="9"/>
  <c r="AC11" i="9"/>
  <c r="AB11" i="9"/>
  <c r="AA11" i="9"/>
  <c r="Z11" i="9"/>
  <c r="Y11" i="9"/>
  <c r="AG10" i="9"/>
  <c r="AF10" i="9"/>
  <c r="AE10" i="9"/>
  <c r="AD10" i="9"/>
  <c r="AC10" i="9"/>
  <c r="AB10" i="9"/>
  <c r="AA10" i="9"/>
  <c r="Z10" i="9"/>
  <c r="Y10" i="9"/>
  <c r="AG9" i="9"/>
  <c r="AF9" i="9"/>
  <c r="AE9" i="9"/>
  <c r="AD9" i="9"/>
  <c r="AC9" i="9"/>
  <c r="AB9" i="9"/>
  <c r="AA9" i="9"/>
  <c r="Z9" i="9"/>
  <c r="Y9" i="9"/>
  <c r="AG8" i="9"/>
  <c r="AF8" i="9"/>
  <c r="AE8" i="9"/>
  <c r="AD8" i="9"/>
  <c r="AC8" i="9"/>
  <c r="AB8" i="9"/>
  <c r="AA8" i="9"/>
  <c r="Z8" i="9"/>
  <c r="Y8" i="9"/>
  <c r="AG7" i="9"/>
  <c r="AF7" i="9"/>
  <c r="AE7" i="9"/>
  <c r="AD7" i="9"/>
  <c r="AC7" i="9"/>
  <c r="AB7" i="9"/>
  <c r="AA7" i="9"/>
  <c r="Z7" i="9"/>
  <c r="Y7" i="9"/>
  <c r="AG6" i="9"/>
  <c r="AF6" i="9"/>
  <c r="AE6" i="9"/>
  <c r="AD6" i="9"/>
  <c r="AC6" i="9"/>
  <c r="AB6" i="9"/>
  <c r="AA6" i="9"/>
  <c r="Z6" i="9"/>
  <c r="Y6" i="9"/>
  <c r="AG5" i="9"/>
  <c r="AF5" i="9"/>
  <c r="AE5" i="9"/>
  <c r="AD5" i="9"/>
  <c r="AC5" i="9"/>
  <c r="AB5" i="9"/>
  <c r="AA5" i="9"/>
  <c r="Z5" i="9"/>
  <c r="Y5" i="9"/>
  <c r="AG4" i="9"/>
  <c r="AF4" i="9"/>
  <c r="AE4" i="9"/>
  <c r="AD4" i="9"/>
  <c r="AC4" i="9"/>
  <c r="AB4" i="9"/>
  <c r="AA4" i="9"/>
  <c r="Z4" i="9"/>
  <c r="Y4" i="9"/>
  <c r="AG3" i="9"/>
  <c r="AF3" i="9"/>
  <c r="AE3" i="9"/>
  <c r="AD3" i="9"/>
  <c r="AC3" i="9"/>
  <c r="AB3" i="9"/>
  <c r="AA3" i="9"/>
  <c r="Z3" i="9"/>
  <c r="Y3" i="9"/>
  <c r="AG2" i="9"/>
  <c r="AF2" i="9"/>
  <c r="AE2" i="9"/>
  <c r="AD2" i="9"/>
  <c r="AC2" i="9"/>
  <c r="AB2" i="9"/>
  <c r="AA2" i="9"/>
  <c r="Z2" i="9"/>
  <c r="Y2" i="9"/>
</calcChain>
</file>

<file path=xl/sharedStrings.xml><?xml version="1.0" encoding="utf-8"?>
<sst xmlns="http://schemas.openxmlformats.org/spreadsheetml/2006/main" count="22565" uniqueCount="3204">
  <si>
    <t>Workbook</t>
  </si>
  <si>
    <t>IRMMF Combined Executive + HR + Security Question Packs (Model-Admin Ready)</t>
  </si>
  <si>
    <t>Column</t>
  </si>
  <si>
    <t>Version</t>
  </si>
  <si>
    <t>v1.8.1</t>
  </si>
  <si>
    <t>Effective Date</t>
  </si>
  <si>
    <t>2026-01-08</t>
  </si>
  <si>
    <t>Description</t>
  </si>
  <si>
    <t>Combined question bank for Executive, HR, and Security packs aligned to IRMMF methodology (tiers, evidence policies, CW/TH, modes, segmentation-ready).</t>
  </si>
  <si>
    <t>Change Log</t>
  </si>
  <si>
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</si>
  <si>
    <t>v1.6.0</t>
  </si>
  <si>
    <t>Refactored workbook towards canonical bank + pack mapping layer: renamed PackQuestionMap→PackMap; added Order/RequiredRole &amp; mapping fields; deprecated Pack columns in Questions/AnswerOptions; added PackLayer_Notes.</t>
  </si>
  <si>
    <t>QA fixes: added missing 0-option; normalized N/A scoring; reordered LEG-D1-Q02 options; synchronized Pack_Table.</t>
  </si>
  <si>
    <t>Section</t>
  </si>
  <si>
    <t>Key</t>
  </si>
  <si>
    <t>Value/Description</t>
  </si>
  <si>
    <t>Axes</t>
  </si>
  <si>
    <t>G</t>
  </si>
  <si>
    <t>Governance — Mandate, sponsorship, funding, decision rights, oversight cadence.</t>
  </si>
  <si>
    <t>E</t>
  </si>
  <si>
    <t>Execution — Operational consistency; repeatable habits and adoption.</t>
  </si>
  <si>
    <t>T</t>
  </si>
  <si>
    <t>Technical Orchestration — Automation and integration of monitoring/detection/respond.</t>
  </si>
  <si>
    <t>L</t>
  </si>
  <si>
    <t>Legal &amp; Privacy — Defensibility, proportionality, transparency, lawful basis, auditability.</t>
  </si>
  <si>
    <t>H</t>
  </si>
  <si>
    <t>Human Sentiment — Psychological safety, speak-up culture, fairness perception.</t>
  </si>
  <si>
    <t>V</t>
  </si>
  <si>
    <t>Visibility — Sensitive assets/systems, data flows, access concentration.</t>
  </si>
  <si>
    <t>R</t>
  </si>
  <si>
    <t>Resilience — Case handling, investigations, exercises, recovery and learning.</t>
  </si>
  <si>
    <t>F</t>
  </si>
  <si>
    <t>Friction Management — Ability to reduce bypass pressure; usability and exception management.</t>
  </si>
  <si>
    <t>W</t>
  </si>
  <si>
    <t>Control Lag Management — Ability to adapt controls quickly during change events.</t>
  </si>
  <si>
    <t>Tiers</t>
  </si>
  <si>
    <t>T1</t>
  </si>
  <si>
    <t>Gatekeeper — High-level question used for Lightweight Mode and routing.</t>
  </si>
  <si>
    <t>T2</t>
  </si>
  <si>
    <t>Drill-down / Shadow probe — Adds nuance and checks reality without survey fatigue.</t>
  </si>
  <si>
    <t>T3</t>
  </si>
  <si>
    <t>Business-proofing — Introduces evidence expectations and operational examples.</t>
  </si>
  <si>
    <t>EvidencePolicyID</t>
  </si>
  <si>
    <t>GOV_STD</t>
  </si>
  <si>
    <t>Governance standard — Prefer artifact evidence for BaseScore≥3; recency class: governance.</t>
  </si>
  <si>
    <t>RISK_STD</t>
  </si>
  <si>
    <t>Risk/targeting standard — Prefer evidence for BaseScore≥3; sample outputs encouraged.</t>
  </si>
  <si>
    <t>OPS_STD</t>
  </si>
  <si>
    <t>Operational standard — Operational examples acceptable for BaseScore 2–3; evidence for 4.</t>
  </si>
  <si>
    <t>CULT_SOFT</t>
  </si>
  <si>
    <t>Culture soft — Self-report acceptable up to 3; evidence strengthens CI, not required for 3.</t>
  </si>
  <si>
    <t>LEG_STRICT</t>
  </si>
  <si>
    <t>Legal strict — Tier A cap low; BaseScore≥3 expects at least artifacts; 4 expects proof/audit.</t>
  </si>
  <si>
    <t>FractureType</t>
  </si>
  <si>
    <t>Bypass Pressure</t>
  </si>
  <si>
    <t>Narrative classification used for executive reporting and service triggers.</t>
  </si>
  <si>
    <t>Control Lag</t>
  </si>
  <si>
    <t>Culture Risk</t>
  </si>
  <si>
    <t>Legal Exposure</t>
  </si>
  <si>
    <t>Operating Model Gap</t>
  </si>
  <si>
    <t>Paper Dragon</t>
  </si>
  <si>
    <t>Resilience Gap</t>
  </si>
  <si>
    <t>Shadow Mature</t>
  </si>
  <si>
    <t>Toxic Enforcer</t>
  </si>
  <si>
    <t>Unknown</t>
  </si>
  <si>
    <t>Visibility Gap</t>
  </si>
  <si>
    <t>FollowUpTrigger</t>
  </si>
  <si>
    <t>Add_Appeals_Process</t>
  </si>
  <si>
    <t>Recommended next action or advisory trigger.</t>
  </si>
  <si>
    <t>Align_Funding_Governance</t>
  </si>
  <si>
    <t>Align_On_Crown_Jewels</t>
  </si>
  <si>
    <t>Align_On_Scenarios</t>
  </si>
  <si>
    <t>Align_Policy_To_Reality</t>
  </si>
  <si>
    <t>Assess_Case_Model</t>
  </si>
  <si>
    <t>Assess_Control_Lag</t>
  </si>
  <si>
    <t>Assess_Data_Residency</t>
  </si>
  <si>
    <t>Assess_Detection</t>
  </si>
  <si>
    <t>Assess_Evidence_Handling</t>
  </si>
  <si>
    <t>Assess_Friction</t>
  </si>
  <si>
    <t>Assess_ThirdParty</t>
  </si>
  <si>
    <t>Assurance_On_Reality</t>
  </si>
  <si>
    <t>Behavioral_Design</t>
  </si>
  <si>
    <t>Build_Detection_Strategy</t>
  </si>
  <si>
    <t>Capture_Informal_Practices</t>
  </si>
  <si>
    <t>Capture_Playbook</t>
  </si>
  <si>
    <t>Clarify_Budget</t>
  </si>
  <si>
    <t>Clarify_Roadmap</t>
  </si>
  <si>
    <t>Clarify_Stakeholders</t>
  </si>
  <si>
    <t>Close_Learning_Loop</t>
  </si>
  <si>
    <t>ControlLag_Sprint</t>
  </si>
  <si>
    <t>Convert_To_Playbooks</t>
  </si>
  <si>
    <t>Create_NearMiss_Process</t>
  </si>
  <si>
    <t>Create_Roadmap</t>
  </si>
  <si>
    <t>Create_Scenarios</t>
  </si>
  <si>
    <t>Create_Trust_Playbook</t>
  </si>
  <si>
    <t>Create_Working_Group</t>
  </si>
  <si>
    <t>Culture_Diagnostics</t>
  </si>
  <si>
    <t>Culture_Workshop</t>
  </si>
  <si>
    <t>Define_Cadence</t>
  </si>
  <si>
    <t>Define_Escalation</t>
  </si>
  <si>
    <t>Define_Funding_Model</t>
  </si>
  <si>
    <t>Define_KPIs</t>
  </si>
  <si>
    <t>Define_LE_Plan</t>
  </si>
  <si>
    <t>Define_Ownership</t>
  </si>
  <si>
    <t>Design_Case_Model</t>
  </si>
  <si>
    <t>Design_Fairness_Process</t>
  </si>
  <si>
    <t>Design_Ops_Model</t>
  </si>
  <si>
    <t>Document_Crown_Jewels</t>
  </si>
  <si>
    <t>Document_NA</t>
  </si>
  <si>
    <t>Document_Scenarios</t>
  </si>
  <si>
    <t>Enforce_Custody_Process</t>
  </si>
  <si>
    <t>Evidence_Upgrade</t>
  </si>
  <si>
    <t>Exercise_LE_Plan</t>
  </si>
  <si>
    <t>Exercise_Scenarios</t>
  </si>
  <si>
    <t>Expand_Role_Mapping</t>
  </si>
  <si>
    <t>Expand_Scope</t>
  </si>
  <si>
    <t>Extend_To_ThirdParty</t>
  </si>
  <si>
    <t>Formalize_Access_Reviews</t>
  </si>
  <si>
    <t>Formalize_Cadence</t>
  </si>
  <si>
    <t>Formalize_Case_Model</t>
  </si>
  <si>
    <t>Formalize_Escalation</t>
  </si>
  <si>
    <t>Formalize_NearMiss_Process</t>
  </si>
  <si>
    <t>Formalize_Playbook</t>
  </si>
  <si>
    <t>Formalize_Reinforcement</t>
  </si>
  <si>
    <t>Formalize_Roadmap</t>
  </si>
  <si>
    <t>Formalize_Trust_Playbook</t>
  </si>
  <si>
    <t>Foundational_Setup</t>
  </si>
  <si>
    <t>Improve_Adoption</t>
  </si>
  <si>
    <t>Improve_Auditability</t>
  </si>
  <si>
    <t>Improve_Cadence</t>
  </si>
  <si>
    <t>Improve_Exercise_Loop</t>
  </si>
  <si>
    <t>Improve_Metrics</t>
  </si>
  <si>
    <t>Improve_SpeakUp_System</t>
  </si>
  <si>
    <t>Improve_Transparency</t>
  </si>
  <si>
    <t>Improve_Visibility</t>
  </si>
  <si>
    <t>Insider_Playbooks</t>
  </si>
  <si>
    <t>Integrate_HR_Security</t>
  </si>
  <si>
    <t>Legal_Clarification</t>
  </si>
  <si>
    <t>Legal_Defensibility_Audit</t>
  </si>
  <si>
    <t>Link_To_Priorities</t>
  </si>
  <si>
    <t>Manager_Enablement</t>
  </si>
  <si>
    <t>Manager_Training</t>
  </si>
  <si>
    <t>Measure_Alt_Delivery</t>
  </si>
  <si>
    <t>Measure_Control_Lag</t>
  </si>
  <si>
    <t>Measure_Friction</t>
  </si>
  <si>
    <t>Plan_Assurance</t>
  </si>
  <si>
    <t>Plan_Exercises</t>
  </si>
  <si>
    <t>Request_Evidence</t>
  </si>
  <si>
    <t>Residency_Retention_Remediation</t>
  </si>
  <si>
    <t>Role_Mapping</t>
  </si>
  <si>
    <t>Run_Crown_Jewel_Workshop</t>
  </si>
  <si>
    <t>Run_Shadow_Probe</t>
  </si>
  <si>
    <t>Scale_And_Govern</t>
  </si>
  <si>
    <t>Security_UX_Review</t>
  </si>
  <si>
    <t>Set_Cadence</t>
  </si>
  <si>
    <t>ShadowIT_Discovery</t>
  </si>
  <si>
    <t>ShadowIT_Process</t>
  </si>
  <si>
    <t>Speed_Alternatives</t>
  </si>
  <si>
    <t>Stabilize_Funding</t>
  </si>
  <si>
    <t>Stakeholder_Engagement</t>
  </si>
  <si>
    <t>Standardize_Governance</t>
  </si>
  <si>
    <t>Standardize_ThirdParty</t>
  </si>
  <si>
    <t>Start_Mapping</t>
  </si>
  <si>
    <t>Strengthen_Governance</t>
  </si>
  <si>
    <t>Strengthen_SpeakUp</t>
  </si>
  <si>
    <t>Systematize_Detection</t>
  </si>
  <si>
    <t>Transparency_Remediation</t>
  </si>
  <si>
    <t>Upgrade_KPIs</t>
  </si>
  <si>
    <t>Validate_Tech_Reality</t>
  </si>
  <si>
    <t>Verify_ThirdParty</t>
  </si>
  <si>
    <t>Tags</t>
  </si>
  <si>
    <t>paper_dragon_signal</t>
  </si>
  <si>
    <t>Policy exists but weak execution/evidence; likely posture&gt;reality.</t>
  </si>
  <si>
    <t>shadow_mature_signal</t>
  </si>
  <si>
    <t>Informal execution exists without governance; hidden operational maturity.</t>
  </si>
  <si>
    <t>toxic_enforcer_signal</t>
  </si>
  <si>
    <t>Secrecy/punitive approach; culture risk increases insider risk.</t>
  </si>
  <si>
    <t>bypass_pressure</t>
  </si>
  <si>
    <t>Workarounds likely; security friction driving risky behaviour.</t>
  </si>
  <si>
    <t>control_lag_high</t>
  </si>
  <si>
    <t>Slow adaptation during change; risk spikes during M&amp;A/layoffs.</t>
  </si>
  <si>
    <t>Modes</t>
  </si>
  <si>
    <t>Lightweight</t>
  </si>
  <si>
    <t>T1 only (Gatekeepers + minimal shadow probes). Intended for SME/quick scan.</t>
  </si>
  <si>
    <t>Standard</t>
  </si>
  <si>
    <t>T1+T2 (Gatekeepers + Shadow Probes + key drill-down). Default assessment mode.</t>
  </si>
  <si>
    <t>Full</t>
  </si>
  <si>
    <t>T1+T2+T3 (Includes deeper drill-down and verification prompts).</t>
  </si>
  <si>
    <t>ImplementationNotes</t>
  </si>
  <si>
    <t>CriticalityWeight (CW)</t>
  </si>
  <si>
    <t>Add CW per question (default 1.0) for harmonic aggregation and prioritization.</t>
  </si>
  <si>
    <t>Threshold (TH) for Critical Controls</t>
  </si>
  <si>
    <t>Optional TH per critical question; apply floor penalty when CNS(q) &lt; TH(q). Blank = no threshold.</t>
  </si>
  <si>
    <t>Regional/BU Segmentation</t>
  </si>
  <si>
    <t>Add optional Scope field (Region/BU) to response capture to support segmentation and roll-ups in one dataset.</t>
  </si>
  <si>
    <t>Version Control</t>
  </si>
  <si>
    <t>Maintain Metadata sheet with version number, effective date, and change log; store model_version per assessment run.</t>
  </si>
  <si>
    <t>ScoringEngineNotes</t>
  </si>
  <si>
    <t>Branching State Machine</t>
  </si>
  <si>
    <t>Implement branching rules: Tier-1 gatekeepers route to drill-down or shadow probe path when BaseScore &lt; 2.</t>
  </si>
  <si>
    <t>Use EvidencePolicyID to compute evidence caps and CI adjustments (axis-specific policy matrix).</t>
  </si>
  <si>
    <t>Dual-Axis Contribution</t>
  </si>
  <si>
    <t>CNS(q) contributes W1×score to Axis1 and W2×score to Axis2 (when Axis2 exists).</t>
  </si>
  <si>
    <t>Fracture/Achetype Signals</t>
  </si>
  <si>
    <t>Aggregate FractureType and Tags counts for narrative archetype probabilities and advisory triggers.</t>
  </si>
  <si>
    <t>FollowUpTrigger Roadmap</t>
  </si>
  <si>
    <t>Aggregate top triggers to produce service roadmap; prioritize by CW and evidence gaps.</t>
  </si>
  <si>
    <t>Annex Questions</t>
  </si>
  <si>
    <t>Treat BranchType='Annex' as optional deep drill-down. Include only in Full/Deep mode or when gatekeepers indicate sufficient baseline capability. Publish annex results as 'Technical Depth' addendum without altering lightweight gatekeeper narrative.</t>
  </si>
  <si>
    <t>Security Deep Annex</t>
  </si>
  <si>
    <t>This annex validates telemetry integrity, identity attribution, containment automation, and detection QA. Use CW/TH to prioritize critical technical weaknesses that undermine investigations and recovery.</t>
  </si>
  <si>
    <t>Packs</t>
  </si>
  <si>
    <t>NegativeControl</t>
  </si>
  <si>
    <t>BranchType_List</t>
  </si>
  <si>
    <t>PackID_List</t>
  </si>
  <si>
    <t>ad_hoc</t>
  </si>
  <si>
    <t>Executive</t>
  </si>
  <si>
    <t>Y</t>
  </si>
  <si>
    <t>Gatekeeper</t>
  </si>
  <si>
    <t>alert_fatigue</t>
  </si>
  <si>
    <t>HR</t>
  </si>
  <si>
    <t>N</t>
  </si>
  <si>
    <t>ShadowProbe</t>
  </si>
  <si>
    <t>blind_spot</t>
  </si>
  <si>
    <t>Security</t>
  </si>
  <si>
    <t>DrillDown</t>
  </si>
  <si>
    <t>T4</t>
  </si>
  <si>
    <t>business_disruption</t>
  </si>
  <si>
    <t>Legal</t>
  </si>
  <si>
    <t>End</t>
  </si>
  <si>
    <t>DataBusiness</t>
  </si>
  <si>
    <t>cloud_visibility_gap</t>
  </si>
  <si>
    <t>IT_IAM</t>
  </si>
  <si>
    <t>compliance_only</t>
  </si>
  <si>
    <t>RiskAudit</t>
  </si>
  <si>
    <t>control_lag</t>
  </si>
  <si>
    <t>culture_risk</t>
  </si>
  <si>
    <t>dlp_tuning_gap</t>
  </si>
  <si>
    <t>execution_strength</t>
  </si>
  <si>
    <t>forensic_gap</t>
  </si>
  <si>
    <t>forensic_ready</t>
  </si>
  <si>
    <t>foundational_gap</t>
  </si>
  <si>
    <t>good_practice</t>
  </si>
  <si>
    <t>identity_gap</t>
  </si>
  <si>
    <t>inconsistent_execution</t>
  </si>
  <si>
    <t>informal_only</t>
  </si>
  <si>
    <t>key_person_dependency</t>
  </si>
  <si>
    <t>legal_exposure</t>
  </si>
  <si>
    <t>legal_red_flag</t>
  </si>
  <si>
    <t>log_gap</t>
  </si>
  <si>
    <t>low-confidence</t>
  </si>
  <si>
    <t>low_cadence</t>
  </si>
  <si>
    <t>misalignment_signal</t>
  </si>
  <si>
    <t>n_a</t>
  </si>
  <si>
    <t>operating_model_gap</t>
  </si>
  <si>
    <t>optimized</t>
  </si>
  <si>
    <t>pam_gap</t>
  </si>
  <si>
    <t>paper_budget</t>
  </si>
  <si>
    <t>paper_process</t>
  </si>
  <si>
    <t>paper_roadmap</t>
  </si>
  <si>
    <t>partial_maturity</t>
  </si>
  <si>
    <t>partial_visibility</t>
  </si>
  <si>
    <t>privileged_gap</t>
  </si>
  <si>
    <t>reactive</t>
  </si>
  <si>
    <t>resilience_gap</t>
  </si>
  <si>
    <t>shadow_signal</t>
  </si>
  <si>
    <t>siloed</t>
  </si>
  <si>
    <t>tamper_risk</t>
  </si>
  <si>
    <t>testing_gap</t>
  </si>
  <si>
    <t>third_party_gap</t>
  </si>
  <si>
    <t>triage_quality_gap</t>
  </si>
  <si>
    <t>tribal_knowledge</t>
  </si>
  <si>
    <t>unknown</t>
  </si>
  <si>
    <t>unstable_funding</t>
  </si>
  <si>
    <t>vanity_metrics</t>
  </si>
  <si>
    <t>visibility_gap</t>
  </si>
  <si>
    <t>Expand_Cloud_SaaS_Logging</t>
  </si>
  <si>
    <t>Implement_PAM_JIT</t>
  </si>
  <si>
    <t>Implement_SOAR_Containment</t>
  </si>
  <si>
    <t>Improve_Identity_Correlation</t>
  </si>
  <si>
    <t>Improve_Triage_QA</t>
  </si>
  <si>
    <t>Integrate_JML_Automation</t>
  </si>
  <si>
    <t>Run_Purple_Team</t>
  </si>
  <si>
    <t>Tune_DLP_Crown_Jewels</t>
  </si>
  <si>
    <t>Tune_Detections_Reduce_Friction</t>
  </si>
  <si>
    <t>PackID</t>
  </si>
  <si>
    <t>PackName</t>
  </si>
  <si>
    <t>TargetRoles</t>
  </si>
  <si>
    <t>DefaultModes</t>
  </si>
  <si>
    <t>Notes</t>
  </si>
  <si>
    <t>Executive Pack</t>
  </si>
  <si>
    <t>exec</t>
  </si>
  <si>
    <t>Board/sponsor-facing assessment focusing on mandate, targeting, and resilience narrative.</t>
  </si>
  <si>
    <t>Lightweight;Standard;Deep</t>
  </si>
  <si>
    <t>HR Pack</t>
  </si>
  <si>
    <t>hr</t>
  </si>
  <si>
    <t>HR/Employee Relations-focused assessment on culture, speak-up, fairness, interventions and coordination.</t>
  </si>
  <si>
    <t>Security Pack</t>
  </si>
  <si>
    <t>security</t>
  </si>
  <si>
    <t>Security/SOC/IR-focused assessment on telemetry, detection, orchestration and response operations.</t>
  </si>
  <si>
    <t>Legal / Privacy Pack</t>
  </si>
  <si>
    <t>legal,privacy,dpo,works_council</t>
  </si>
  <si>
    <t>Legal, privacy, and employee-rights-focused assessment on defensibility, transparency, evidence, and whistleblowing safeguards.</t>
  </si>
  <si>
    <t>Aligns with employment/privacy law and regulatory defensibility.</t>
  </si>
  <si>
    <t>Data / Business Pack</t>
  </si>
  <si>
    <t>data_owner,business_owner,product,ops</t>
  </si>
  <si>
    <t>Business and data-owner assessment on crown jewels, data flows, third parties, operational friction, and change-event risk velocity.</t>
  </si>
  <si>
    <t>Designed for non-technical respondents.</t>
  </si>
  <si>
    <t>IT / IAM Pack</t>
  </si>
  <si>
    <t>it,iam,identity,platform</t>
  </si>
  <si>
    <t>IT identity and access management assessment on joiner/mover/leaver, privileged access, visibility, logging, and containment readiness.</t>
  </si>
  <si>
    <t>Works for internal IT or outsourced IAM.</t>
  </si>
  <si>
    <t>Risk / Audit Pack (Optional)</t>
  </si>
  <si>
    <t>risk,audit,second_line</t>
  </si>
  <si>
    <t>Optional assurance-focused pack covering ERM integration, control testing, evidence discipline, remediation tracking, and third-party assurance.</t>
  </si>
  <si>
    <t>Usually run as an add-on; questions are marked optional in PackMap.</t>
  </si>
  <si>
    <t>Pack architecture (v1.6)</t>
  </si>
  <si>
    <t>Canonical content lives in: Questions + AnswerOptions.</t>
  </si>
  <si>
    <t>Packs are defined ONLY in: PackDefinitions + PackMap (mapping layer).</t>
  </si>
  <si>
    <t>Do not duplicate questions/answers per pack. Add a new question once, then map it to packs.</t>
  </si>
  <si>
    <t>Pack_Table is a derived publish/export view (regenerate from canonical sheets).</t>
  </si>
  <si>
    <t>PackMap fields added: Order, RequiredRole, ScopeApplicability, PrereqQID, GateCondition.</t>
  </si>
  <si>
    <t>Q-ID</t>
  </si>
  <si>
    <t>IsRequired</t>
  </si>
  <si>
    <t>Include_Lightweight</t>
  </si>
  <si>
    <t>Include_Standard</t>
  </si>
  <si>
    <t>Include_Deep</t>
  </si>
  <si>
    <t>RoleTargetOverride</t>
  </si>
  <si>
    <t>PackWeightOverride</t>
  </si>
  <si>
    <t>Guidance</t>
  </si>
  <si>
    <t>Order</t>
  </si>
  <si>
    <t>PackTierOverride</t>
  </si>
  <si>
    <t>RequiredRole</t>
  </si>
  <si>
    <t>ScopeApplicability</t>
  </si>
  <si>
    <t>PrereqQID</t>
  </si>
  <si>
    <t>GateCondition</t>
  </si>
  <si>
    <t>EXCO-D1-Q01</t>
  </si>
  <si>
    <t>(Optional) To include a question in multiple packs, add additional rows with different PackID for the same Q-ID.</t>
  </si>
  <si>
    <t>Use this sheet as the single place to define which questions belong to which pack and which assessment mode includes them. Questions/AnswerOptions remain the master truth.</t>
  </si>
  <si>
    <t>EXCO-D1-Q02</t>
  </si>
  <si>
    <t>EXCO-D1-Q03</t>
  </si>
  <si>
    <t>EXCO-D1-Q04</t>
  </si>
  <si>
    <t>EXCO-D1-Q05</t>
  </si>
  <si>
    <t>EXCO-D1-Q06</t>
  </si>
  <si>
    <t>EXCO-D2-Q01</t>
  </si>
  <si>
    <t>EXCO-D2-Q02</t>
  </si>
  <si>
    <t>EXCO-D2-Q03</t>
  </si>
  <si>
    <t>EXCO-D2-Q04</t>
  </si>
  <si>
    <t>EXCO-D2-Q05</t>
  </si>
  <si>
    <t>EXCO-D2-Q06</t>
  </si>
  <si>
    <t>EXCO-D2-Q07</t>
  </si>
  <si>
    <t>EXCO-D2-Q08</t>
  </si>
  <si>
    <t>EXCO-D3-Q01</t>
  </si>
  <si>
    <t>EXCO-D3-Q02</t>
  </si>
  <si>
    <t>EXCO-D3-Q03</t>
  </si>
  <si>
    <t>EXCO-D3-Q04</t>
  </si>
  <si>
    <t>EXCO-D3-Q05</t>
  </si>
  <si>
    <t>EXCO-D3-Q06</t>
  </si>
  <si>
    <t>EXCO-D4-Q01</t>
  </si>
  <si>
    <t>EXCO-D4-Q02</t>
  </si>
  <si>
    <t>EXCO-D4-Q03</t>
  </si>
  <si>
    <t>EXCO-D4-Q04</t>
  </si>
  <si>
    <t>EXCO-D5-Q01</t>
  </si>
  <si>
    <t>EXCO-D5-Q02</t>
  </si>
  <si>
    <t>EXCO-D5-Q03</t>
  </si>
  <si>
    <t>EXCO-D6-Q01</t>
  </si>
  <si>
    <t>EXCO-D6-Q02</t>
  </si>
  <si>
    <t>EXCO-D6-Q03</t>
  </si>
  <si>
    <t>EXCO-D7-Q01</t>
  </si>
  <si>
    <t>EXCO-D7-Q02</t>
  </si>
  <si>
    <t>EXCO-D7-Q03</t>
  </si>
  <si>
    <t>EXCO-D7-Q04</t>
  </si>
  <si>
    <t>EXCO-D7-Q05</t>
  </si>
  <si>
    <t>EXCO-D8-Q01</t>
  </si>
  <si>
    <t>EXCO-D8-Q02</t>
  </si>
  <si>
    <t>EXCO-D8-Q03</t>
  </si>
  <si>
    <t>EXCO-D8-Q04</t>
  </si>
  <si>
    <t>HR-D1-Q01</t>
  </si>
  <si>
    <t>HR-D1-Q02</t>
  </si>
  <si>
    <t>HR-D1-Q03</t>
  </si>
  <si>
    <t>HR-D1-Q04</t>
  </si>
  <si>
    <t>HR-D2-Q05</t>
  </si>
  <si>
    <t>HR-D2-Q06</t>
  </si>
  <si>
    <t>HR-D2-Q07</t>
  </si>
  <si>
    <t>HR-D2-Q08</t>
  </si>
  <si>
    <t>HR-D3-Q09</t>
  </si>
  <si>
    <t>HR-D3-Q10</t>
  </si>
  <si>
    <t>HR-D3-Q11</t>
  </si>
  <si>
    <t>HR-D3-Q12</t>
  </si>
  <si>
    <t>HR-D4-Q13</t>
  </si>
  <si>
    <t>HR-D4-Q14</t>
  </si>
  <si>
    <t>HR-D4-Q15</t>
  </si>
  <si>
    <t>HR-D4-Q16</t>
  </si>
  <si>
    <t>HR-D5-Q17</t>
  </si>
  <si>
    <t>HR-D5-Q18</t>
  </si>
  <si>
    <t>HR-D5-Q19</t>
  </si>
  <si>
    <t>HR-D6-Q20</t>
  </si>
  <si>
    <t>HR-D6-Q21</t>
  </si>
  <si>
    <t>HR-D6-Q22</t>
  </si>
  <si>
    <t>HR-D7-Q23</t>
  </si>
  <si>
    <t>HR-D7-Q24</t>
  </si>
  <si>
    <t>HR-D7-Q25</t>
  </si>
  <si>
    <t>HR-D7-Q26</t>
  </si>
  <si>
    <t>HR-D8-Q27</t>
  </si>
  <si>
    <t>HR-D8-Q28</t>
  </si>
  <si>
    <t>HR-D8-Q29</t>
  </si>
  <si>
    <t>SEC-D1-Q01</t>
  </si>
  <si>
    <t>SEC-D1-Q02</t>
  </si>
  <si>
    <t>SEC-D1-Q03</t>
  </si>
  <si>
    <t>SEC-D2-Q04</t>
  </si>
  <si>
    <t>SEC-D2-Q05</t>
  </si>
  <si>
    <t>SEC-D2-Q06</t>
  </si>
  <si>
    <t>SEC-D3-Q07</t>
  </si>
  <si>
    <t>SEC-D3-Q08</t>
  </si>
  <si>
    <t>SEC-D3-Q09</t>
  </si>
  <si>
    <t>SEC-D4-Q10</t>
  </si>
  <si>
    <t>SEC-D4-Q11</t>
  </si>
  <si>
    <t>SEC-D4-Q12</t>
  </si>
  <si>
    <t>SEC-D5-Q13</t>
  </si>
  <si>
    <t>SEC-D5-Q14</t>
  </si>
  <si>
    <t>SEC-D5-Q15</t>
  </si>
  <si>
    <t>SEC-D6-Q16</t>
  </si>
  <si>
    <t>SEC-D6-Q17</t>
  </si>
  <si>
    <t>SEC-D6-Q18</t>
  </si>
  <si>
    <t>SEC-D7-Q19</t>
  </si>
  <si>
    <t>SEC-D7-Q20</t>
  </si>
  <si>
    <t>SEC-D7-Q21</t>
  </si>
  <si>
    <t>SEC-D8-Q22</t>
  </si>
  <si>
    <t>SEC-D8-Q23</t>
  </si>
  <si>
    <t>SEC-D8-Q24</t>
  </si>
  <si>
    <t>SEC-D9-Q25</t>
  </si>
  <si>
    <t>SEC-D9-Q26</t>
  </si>
  <si>
    <t>SEC-D9-Q27</t>
  </si>
  <si>
    <t>LEG-D1-Q01</t>
  </si>
  <si>
    <t>legal</t>
  </si>
  <si>
    <t>LEG-D1-Q02</t>
  </si>
  <si>
    <t>LEG-D1-Q03</t>
  </si>
  <si>
    <t>LEG-D1-Q04</t>
  </si>
  <si>
    <t>LEG-D1-Q05</t>
  </si>
  <si>
    <t>LEG-D1-Q06</t>
  </si>
  <si>
    <t>LEG-D2-Q07</t>
  </si>
  <si>
    <t>LEG-D2-Q08</t>
  </si>
  <si>
    <t>LEG-D2-Q09</t>
  </si>
  <si>
    <t>LEG-D2-Q10</t>
  </si>
  <si>
    <t>LEG-D3-Q11</t>
  </si>
  <si>
    <t>LEG-D3-Q12</t>
  </si>
  <si>
    <t>LEG-D4-Q13</t>
  </si>
  <si>
    <t>LEG-D4-Q14</t>
  </si>
  <si>
    <t>LEG-D5-Q15</t>
  </si>
  <si>
    <t>LEG-D6-Q16</t>
  </si>
  <si>
    <t>LEG-D6-Q17</t>
  </si>
  <si>
    <t>LEG-D7-Q18</t>
  </si>
  <si>
    <t>DATA-D1-Q01</t>
  </si>
  <si>
    <t>data_business</t>
  </si>
  <si>
    <t>DATA-D1-Q02</t>
  </si>
  <si>
    <t>DATA-D1-Q03</t>
  </si>
  <si>
    <t>DATA-D2-Q04</t>
  </si>
  <si>
    <t>DATA-D2-Q05</t>
  </si>
  <si>
    <t>DATA-D3-Q06</t>
  </si>
  <si>
    <t>DATA-D3-Q07</t>
  </si>
  <si>
    <t>DATA-D3-Q08</t>
  </si>
  <si>
    <t>DATA-D4-Q09</t>
  </si>
  <si>
    <t>DATA-D4-Q10</t>
  </si>
  <si>
    <t>DATA-D5-Q11</t>
  </si>
  <si>
    <t>DATA-D5-Q12</t>
  </si>
  <si>
    <t>DATA-D6-Q13</t>
  </si>
  <si>
    <t>DATA-D7-Q14</t>
  </si>
  <si>
    <t>DATA-D8-Q15</t>
  </si>
  <si>
    <t>ITIAM-D1-Q01</t>
  </si>
  <si>
    <t>it_iam</t>
  </si>
  <si>
    <t>ITIAM-D1-Q02</t>
  </si>
  <si>
    <t>ITIAM-D1-Q03</t>
  </si>
  <si>
    <t>ITIAM-D2-Q04</t>
  </si>
  <si>
    <t>ITIAM-D2-Q05</t>
  </si>
  <si>
    <t>ITIAM-D3-Q06</t>
  </si>
  <si>
    <t>ITIAM-D3-Q07</t>
  </si>
  <si>
    <t>ITIAM-D3-Q08</t>
  </si>
  <si>
    <t>ITIAM-D4-Q09</t>
  </si>
  <si>
    <t>ITIAM-D4-Q10</t>
  </si>
  <si>
    <t>ITIAM-D5-Q11</t>
  </si>
  <si>
    <t>ITIAM-D5-Q12</t>
  </si>
  <si>
    <t>ITIAM-D6-Q13</t>
  </si>
  <si>
    <t>ITIAM-D6-Q14</t>
  </si>
  <si>
    <t>ITIAM-D7-Q15</t>
  </si>
  <si>
    <t>ITIAM-D8-Q16</t>
  </si>
  <si>
    <t>ITIAM-D9-Q17</t>
  </si>
  <si>
    <t>ITIAM-D9-Q18</t>
  </si>
  <si>
    <t>AUD-D1-Q01</t>
  </si>
  <si>
    <t>risk_audit</t>
  </si>
  <si>
    <t>AUD-D1-Q02</t>
  </si>
  <si>
    <t>AUD-D1-Q03</t>
  </si>
  <si>
    <t>AUD-D2-Q04</t>
  </si>
  <si>
    <t>AUD-D2-Q05</t>
  </si>
  <si>
    <t>AUD-D3-Q06</t>
  </si>
  <si>
    <t>AUD-D3-Q07</t>
  </si>
  <si>
    <t>AUD-D4-Q08</t>
  </si>
  <si>
    <t>AUD-D5-Q09</t>
  </si>
  <si>
    <t>AUD-D6-Q10</t>
  </si>
  <si>
    <t>Tier</t>
  </si>
  <si>
    <t>Domain</t>
  </si>
  <si>
    <t>Axis1</t>
  </si>
  <si>
    <t>W1</t>
  </si>
  <si>
    <t>Axis2</t>
  </si>
  <si>
    <t>W2</t>
  </si>
  <si>
    <t>Question Text</t>
  </si>
  <si>
    <t>Logic/Branching</t>
  </si>
  <si>
    <t>CW</t>
  </si>
  <si>
    <t>TH</t>
  </si>
  <si>
    <t>Scope</t>
  </si>
  <si>
    <t>BranchType</t>
  </si>
  <si>
    <t>GateThreshold</t>
  </si>
  <si>
    <t>NextIfLow</t>
  </si>
  <si>
    <t>NextIfHigh</t>
  </si>
  <si>
    <t>NextDefault</t>
  </si>
  <si>
    <t>EndFlag</t>
  </si>
  <si>
    <t>IRMMF Domain</t>
  </si>
  <si>
    <t>IRMMF Function</t>
  </si>
  <si>
    <t>IRMMF Sub-capability</t>
  </si>
  <si>
    <t>MapScore</t>
  </si>
  <si>
    <t>MapMethod</t>
  </si>
  <si>
    <t>1. Strategy &amp; Governance</t>
  </si>
  <si>
    <t>-</t>
  </si>
  <si>
    <t>How is the insider risk program officially authorised?</t>
  </si>
  <si>
    <t>Think about a signed charter/decision, named sponsor, and whether funding is formally approved.</t>
  </si>
  <si>
    <t>Program Management</t>
  </si>
  <si>
    <t>Charter &amp; authority model</t>
  </si>
  <si>
    <t>override</t>
  </si>
  <si>
    <t>(Shadow probe) Even without formal approval, are there consistent “habits” to prevent sensitive data loss?</t>
  </si>
  <si>
    <t>Examples: managers consistently enforce leaver checks, sensitive projects use extra approvals, privileged actions are reviewed.</t>
  </si>
  <si>
    <t>5. Human-Centric Culture</t>
  </si>
  <si>
    <t>Human Lifecycle</t>
  </si>
  <si>
    <t>Enhanced JML Synchronization</t>
  </si>
  <si>
    <t>Who has final decision authority for insider risk actions (and who pays for them)?</t>
  </si>
  <si>
    <t>Look for a named owner who can make trade-offs across HR, Legal, Security and the business.</t>
  </si>
  <si>
    <t>Organization &amp; RACI</t>
  </si>
  <si>
    <t>RACI &amp; decision rights</t>
  </si>
  <si>
    <t>similarity</t>
  </si>
  <si>
    <t>How does the program operate day-to-day across departments?</t>
  </si>
  <si>
    <t>Think about whether there is a defined cross-functional working group, how cases are triaged, and how changes are implemented.</t>
  </si>
  <si>
    <t>Operational working group (ITWG/triage cell)</t>
  </si>
  <si>
    <t>Is there a dedicated budget for insider risk activities (people/process/tooling), and is it ring-fenced?</t>
  </si>
  <si>
    <t>Budget can be small, but should be identifiable and protected from being reallocated without review.</t>
  </si>
  <si>
    <t>Funding &amp; resourcing model (OpEx/CapEx)</t>
  </si>
  <si>
    <t>Is there a 12–24 month improvement roadmap with owners and dates?</t>
  </si>
  <si>
    <t>Even a simple roadmap counts if it has owners, deadlines, and is reviewed regularly.</t>
  </si>
  <si>
    <t>Multi-year strategy &amp; roadmap</t>
  </si>
  <si>
    <t>2. Targeting &amp; Risk</t>
  </si>
  <si>
    <t>Do we know what our most sensitive business information and systems are (and where they live)?</t>
  </si>
  <si>
    <t>Use plain examples: customer data, payroll, pricing models, source code, engineering drawings, M&amp;A documents. 'Where they live' = main apps, file shares, SaaS.</t>
  </si>
  <si>
    <t>3. Risk Management</t>
  </si>
  <si>
    <t>Inventory &amp; Scope</t>
  </si>
  <si>
    <t>Crown jewels/HVA identification</t>
  </si>
  <si>
    <t>(Shadow probe) Even without a formal list, could we name the top 5 things we would be most worried to lose or leak?</t>
  </si>
  <si>
    <t>This checks whether ‘tribal knowledge’ exists that can be formalised.</t>
  </si>
  <si>
    <t>Do we know which roles (or individuals) have unusually high access to sensitive information?</t>
  </si>
  <si>
    <t>Examples: admins, finance controllers, HR payroll, R&amp;D leads, M&amp;A team. The question is about *concentration of access*.</t>
  </si>
  <si>
    <t>Do we have a short list of insider scenarios we care about (e.g., data theft, sabotage, fraud) and have we tested them?</t>
  </si>
  <si>
    <t>Plain examples: someone emailing customer list, deleting cloud backups, copying engineering files, abusing admin rights, misuse of payroll.</t>
  </si>
  <si>
    <t>(Shadow probe) If an insider incident happened tomorrow, do we have a pre-agreed view of the ‘top 3’ insider risks?</t>
  </si>
  <si>
    <t>This tests whether leadership alignment exists even without formal documentation.</t>
  </si>
  <si>
    <t>8. Investigation &amp; Response</t>
  </si>
  <si>
    <t>Incident Action</t>
  </si>
  <si>
    <t>Insider response playbooks (by scenario)</t>
  </si>
  <si>
    <t>During big changes (M&amp;A, layoffs, restructures), how quickly can we adjust access and monitoring to reduce risk?</t>
  </si>
  <si>
    <t>This is about ‘control lag’—how long it takes to tighten/adjust controls when the organisation changes.</t>
  </si>
  <si>
    <t>Scope &amp; Boundaries</t>
  </si>
  <si>
    <t>Exceptions &amp; risk acceptance</t>
  </si>
  <si>
    <t>(Shadow probe) In the last major change event, did we actually tighten controls (access, approvals, monitoring) in time?</t>
  </si>
  <si>
    <t>This asks for a real example to ‘business-proof’ the previous answer.</t>
  </si>
  <si>
    <t>4. Legal, Privacy &amp; Ethics</t>
  </si>
  <si>
    <t>Oversight &amp; Safeguards</t>
  </si>
  <si>
    <t>Monitoring Access Governance</t>
  </si>
  <si>
    <t>Are contractors/third parties included in insider risk controls (access, monitoring, offboarding)?</t>
  </si>
  <si>
    <t>Plain examples: consultants, developers, outsourced IT, temporary staff, vendors with access to systems or data.</t>
  </si>
  <si>
    <t>3. Legal &amp; Ethics</t>
  </si>
  <si>
    <t>Is there a clear, approved framework for monitoring employee/contractor activity (what, why, and who approves)?</t>
  </si>
  <si>
    <t>Aim for plain language: what data is monitored, why, legal basis, who can access it, and oversight.</t>
  </si>
  <si>
    <t>Executive sponsorship &amp; oversight cadence</t>
  </si>
  <si>
    <t>(Shadow probe) Do people understand that monitoring exists and what it is used for?</t>
  </si>
  <si>
    <t>This checks practical transparency, not just contracts.</t>
  </si>
  <si>
    <t>Personnel Security</t>
  </si>
  <si>
    <t>People-Signal Governance</t>
  </si>
  <si>
    <t>How is transparency maintained in practice (not only in contracts)?</t>
  </si>
  <si>
    <t>Examples: onboarding training, pop-up banners, clear FAQs, where to ask questions, and what safeguards exist.</t>
  </si>
  <si>
    <t>Where required, how are employee representatives / works councils engaged on monitoring and privacy topics?</t>
  </si>
  <si>
    <t>If not applicable, answer that and explain why.</t>
  </si>
  <si>
    <t>Operational Readiness</t>
  </si>
  <si>
    <t>Privacy guardrails for investigations</t>
  </si>
  <si>
    <t>If we needed to use monitoring evidence in HR action or court, how strong is our evidence handling (traceability, integrity)?</t>
  </si>
  <si>
    <t>Plain terms: can we prove ‘who collected what, when, and that it wasn’t tampered with’?</t>
  </si>
  <si>
    <t>Forensic readiness &amp; evidence preservation</t>
  </si>
  <si>
    <t>Do we control where monitoring data is stored and how long it is kept (including cross-border restrictions where relevant)?</t>
  </si>
  <si>
    <t>This is about data residency/sovereignty, retention schedules, and access auditing.</t>
  </si>
  <si>
    <t>Privacy Engineering</t>
  </si>
  <si>
    <t>Retention, Purging &amp; Legal Hold</t>
  </si>
  <si>
    <t>4. People &amp; Culture</t>
  </si>
  <si>
    <t>How safe do people feel to raise concerns about risky behaviour (including reporting a peer or manager)?</t>
  </si>
  <si>
    <t>Consider retaliation risk, confidentiality, and whether reports are handled fairly and consistently.</t>
  </si>
  <si>
    <t>9. Performance &amp; Resilience</t>
  </si>
  <si>
    <t>Assurance &amp; Metrics</t>
  </si>
  <si>
    <t>KPI/KRI framework &amp; dashboards</t>
  </si>
  <si>
    <t>(Shadow probe) If someone feels unfairly targeted by monitoring or investigation, is there a clear appeal/review process?</t>
  </si>
  <si>
    <t>This checks fairness and safeguards (important for trust and legal defensibility).</t>
  </si>
  <si>
    <t>Review, Redress &amp; Assurance</t>
  </si>
  <si>
    <t>How do managers handle early signs of disgruntlement or policy-bending before it becomes an incident?</t>
  </si>
  <si>
    <t>Plain examples: performance issues, conflicts, rule-bending, sudden disengagement. Focus on early intervention, not punishment.</t>
  </si>
  <si>
    <t>Compliance &amp; Policy</t>
  </si>
  <si>
    <t>Policy &amp; Standards Suite</t>
  </si>
  <si>
    <t>How is positive security behaviour encouraged (not just punishment for mistakes)?</t>
  </si>
  <si>
    <t>Examples: recognising good reporting, simplifying secure ways of working, feedback after ‘near misses’.</t>
  </si>
  <si>
    <t>5. Friction &amp; Productivity</t>
  </si>
  <si>
    <t>Do security controls make it hard for people to do their job, leading to workarounds (e.g., personal email/SaaS)?</t>
  </si>
  <si>
    <t>This is about bypass pressure: the gap between secure ways of working and what people need to do.</t>
  </si>
  <si>
    <t>6. Technical Controls</t>
  </si>
  <si>
    <t>Data, Endpoint &amp; Cloud Controls</t>
  </si>
  <si>
    <t>Collaboration/SaaS sharing controls</t>
  </si>
  <si>
    <t>(Shadow probe) Do we have visibility into common workarounds (shadow IT) and why they happen?</t>
  </si>
  <si>
    <t>Examples: unapproved file sharing, personal accounts, unsanctioned AI tools, external USB devices.</t>
  </si>
  <si>
    <t>Critical process mapping</t>
  </si>
  <si>
    <t>When shadow IT is found, do we provide safe alternatives quickly (so people don’t revert)?</t>
  </si>
  <si>
    <t>This checks whether the business can move from ‘no’ to ‘safe yes’ quickly.</t>
  </si>
  <si>
    <t>6. Detection &amp; Analytics</t>
  </si>
  <si>
    <t>What is the current focus of monitoring/detection for insider risk?</t>
  </si>
  <si>
    <t>Plain terms: do we only investigate after a loss, or do we proactively look for risky behaviour around sensitive assets?</t>
  </si>
  <si>
    <t>2. Threat Model &amp; Operations</t>
  </si>
  <si>
    <t>Deterrence &amp; Disruption</t>
  </si>
  <si>
    <t>Sensitive transition workflow (flight-risk)</t>
  </si>
  <si>
    <t>(Shadow probe) Even if tools are limited, do teams consistently escalate ‘concerning behaviour’ to the right place?</t>
  </si>
  <si>
    <t>This checks consistent escalation habits as a substitute signal for detection maturity.</t>
  </si>
  <si>
    <t>If HR or people-related signals are used (e.g., leavers, disputes), is there clear governance on what is shared and why?</t>
  </si>
  <si>
    <t>This does not mean ‘watch everyone’; it means legal basis, proportionality, approvals, and safeguards.</t>
  </si>
  <si>
    <t>7. Response &amp; Resilience</t>
  </si>
  <si>
    <t>When an insider concern arises, how are Security, HR, Legal and the business coordinated?</t>
  </si>
  <si>
    <t>Think about a predefined taskforce, clear roles, and whether cases are handled consistently.</t>
  </si>
  <si>
    <t>EDR for insider use-cases</t>
  </si>
  <si>
    <t>(Shadow probe) Even without a formal process, do teams coordinate effectively in practice?</t>
  </si>
  <si>
    <t>This checks whether informal ‘muscle memory’ exists.</t>
  </si>
  <si>
    <t>Do we practise insider incident response (tabletop or drills) and track lessons learned?</t>
  </si>
  <si>
    <t>Practise can be short; the key is that improvements are captured and implemented.</t>
  </si>
  <si>
    <t>Testing &amp; Exercising</t>
  </si>
  <si>
    <t>Tabletop exercise (TTX) program</t>
  </si>
  <si>
    <t>Is there a plan for when to engage law enforcement or regulators (criteria, approvals, and communications)?</t>
  </si>
  <si>
    <t>This reduces chaos during high-stakes events.</t>
  </si>
  <si>
    <t>Law enforcement &amp; external liaison</t>
  </si>
  <si>
    <t>After an insider incident, do we have a plan to restore trust (team health, communications, fairness, control changes)?</t>
  </si>
  <si>
    <t>Trust recovery is about avoiding long-term fear, blame, and productivity loss.</t>
  </si>
  <si>
    <t>Resilience &amp; Continuity</t>
  </si>
  <si>
    <t>Recovery playbooks &amp; trust restoration</t>
  </si>
  <si>
    <t>8. Performance &amp; Assurance</t>
  </si>
  <si>
    <t>How is insider risk performance reported to executives/board (what metrics, how often, and what decisions follow)?</t>
  </si>
  <si>
    <t>Look for useful metrics: time to triage, high-risk clusters reduced, coverage of sensitive assets, fairness indicators, and learning actions.</t>
  </si>
  <si>
    <t>(Shadow probe) Do we review ‘near misses’ (things that almost became incidents) and use them to improve?</t>
  </si>
  <si>
    <t>Near misses are a strong indicator of learning culture and operational maturity.</t>
  </si>
  <si>
    <t>How often is insider risk reviewed at executive/board level with clear decisions or actions?</t>
  </si>
  <si>
    <t>This is about cadence and accountability, not just presentations.</t>
  </si>
  <si>
    <t>Is there any independent assurance (internal audit, external review) that confirms reality matches what we report?</t>
  </si>
  <si>
    <t>This directly supports the Structural Integrity goal (avoid ‘paper dragon’).</t>
  </si>
  <si>
    <t>1. HR Operating Model</t>
  </si>
  <si>
    <t>Is there a clear HR-facing mandate for insider risk (misuse, data theft, sabotage) and coordination with Security and Legal?</t>
  </si>
  <si>
    <t>Insider risk includes intentional or negligent harm by employees/contractors (e.g., data leakage, sabotage, fraud).</t>
  </si>
  <si>
    <t>(Shadow probe) Even without formal governance, do HR and Security coordinate quickly when a concern is raised?</t>
  </si>
  <si>
    <t>Checks real habits vs formal structure.</t>
  </si>
  <si>
    <t>Who in HR is accountable for coordinating insider-risk prevention and people-side investigations?</t>
  </si>
  <si>
    <t>Accountable = ultimately responsible for ensuring the process happens.</t>
  </si>
  <si>
    <t>Is there a documented, fair cross-functional case workflow (HR + Legal/Privacy + Security) with clear decision rights and timelines?</t>
  </si>
  <si>
    <t>Focus on fairness, confidentiality, proportionality, and approvals for sensitive data use.</t>
  </si>
  <si>
    <t>Linear</t>
  </si>
  <si>
    <t>2. Protected Reporting</t>
  </si>
  <si>
    <t>Do employees and contractors have safe ways to raise concerns (including about peers or managers) and are they protected from retaliation?</t>
  </si>
  <si>
    <t>Include hotline/ombuds/HR channels. Protected = non-retaliation rules + process.</t>
  </si>
  <si>
    <t>(Shadow probe) If there is no formal channel, how do concerns actually get raised today?</t>
  </si>
  <si>
    <t>Captures practical reality in low-maturity settings.</t>
  </si>
  <si>
    <t>Maturity benchmarking &amp; audit readiness</t>
  </si>
  <si>
    <t>How do you prevent and respond to retaliation against reporters (or witnesses)?</t>
  </si>
  <si>
    <t>Include policy, manager training, investigation steps, and consequences.</t>
  </si>
  <si>
    <t>Awareness &amp; Wellbeing</t>
  </si>
  <si>
    <t>Manager Behavioral Signal Training</t>
  </si>
  <si>
    <t>When a report is made, how quickly is it acknowledged, triaged, and progressed (with appropriate confidentiality)?</t>
  </si>
  <si>
    <t>Focus on typical timelines; aggregated evidence is sufficient.</t>
  </si>
  <si>
    <t>3. Manager Capability &amp; Culture</t>
  </si>
  <si>
    <t>Are managers trained and expected to escalate people-related risk signals (conflict, distress, policy breaches) in a consistent way?</t>
  </si>
  <si>
    <t>Early intervention + knowing who to contact; avoid clinical labels.</t>
  </si>
  <si>
    <t>Assessment &amp; Analysis</t>
  </si>
  <si>
    <t>Risk appetite &amp; tolerance</t>
  </si>
  <si>
    <t>(Shadow probe) In practice, do managers know who to contact and do they use that path when something is 'off'?</t>
  </si>
  <si>
    <t>Checks whether escalation works in real life.</t>
  </si>
  <si>
    <t>Works Council / Labor Alignment</t>
  </si>
  <si>
    <t>Do you measure speak-up / trust / psychological safety and act on results?</t>
  </si>
  <si>
    <t>Measurement without action is not mature.</t>
  </si>
  <si>
    <t>Speak-Up Culture &amp; Psychological Safety</t>
  </si>
  <si>
    <t>How is positive, risk-reducing behavior reinforced (e.g., reporting near-misses, using approved tools) without creating fear or blame?</t>
  </si>
  <si>
    <t>Recognition + learning loops; avoid name-and-shame.</t>
  </si>
  <si>
    <t>4. Joiner-Mover-Leaver</t>
  </si>
  <si>
    <t>How reliably are joiner/mover/leaver changes coordinated with IT/IAM so access is granted/changed/removed on time?</t>
  </si>
  <si>
    <t>Includes employees and contractors.</t>
  </si>
  <si>
    <t>(Shadow probe) If the process is informal, how do you ensure leaver/role-change access is removed quickly in practice?</t>
  </si>
  <si>
    <t>Captures reality: who calls whom and typical time to remove access.</t>
  </si>
  <si>
    <t>Do you have a defined process for higher-risk departures or role changes (e.g., privileged users, finance, R&amp;D, disputes)?</t>
  </si>
  <si>
    <t>Higher-risk = access to sensitive systems/data or elevated conflict. Keep proportionality and fairness.</t>
  </si>
  <si>
    <t>Identity &amp; Access</t>
  </si>
  <si>
    <t>PAM &amp; privileged session governance</t>
  </si>
  <si>
    <t>How do you confirm departing staff understand ongoing obligations (confidentiality, data return) in clear, plain language?</t>
  </si>
  <si>
    <t>Not legalese: clarity + fairness + return verification.</t>
  </si>
  <si>
    <t>Data Minimization &amp; Purpose Limitation</t>
  </si>
  <si>
    <t>5. Friction &amp; Workarounds</t>
  </si>
  <si>
    <t>Do security controls create productivity issues that lead to workarounds, and is there a way to fix root causes quickly?</t>
  </si>
  <si>
    <t>Friction management = listen, prioritise fixes, reduce bypass pressure.</t>
  </si>
  <si>
    <t>Crisis management &amp; communications</t>
  </si>
  <si>
    <t>(Shadow probe) If workarounds happen, do you learn about them and fix root causes (not just punish people)?</t>
  </si>
  <si>
    <t>Learning loops reduce bypass pressure.</t>
  </si>
  <si>
    <t>Remediation &amp; Follow-up</t>
  </si>
  <si>
    <t>Root cause analysis &amp; corrective actions</t>
  </si>
  <si>
    <t>Are policy exceptions tracked, time-bound, and reviewed so bypass doesn't become permanent?</t>
  </si>
  <si>
    <t>Exception governance is a key insider-risk control.</t>
  </si>
  <si>
    <t>6. Change Events (Layoffs/M&amp;A/Re-org)</t>
  </si>
  <si>
    <t>During layoffs, reorganisations, or M&amp;A, how quickly do HR/IT/Security adjust people-risk controls (access changes, comms, monitoring approvals where lawful)?</t>
  </si>
  <si>
    <t>Control lag = how fast controls adapt to change.</t>
  </si>
  <si>
    <t>High-Risk Role Identification &amp; Control Tiers</t>
  </si>
  <si>
    <t>(Shadow probe) How are change events communicated to IT/Security today, and how timely is the information?</t>
  </si>
  <si>
    <t>Think: leaver lists, role changes, org changes, contractor changes.</t>
  </si>
  <si>
    <t>Third-party/contractor scoping</t>
  </si>
  <si>
    <t>Do you have a 'change event checklist' for people-risk controls (communications, access, monitoring approvals, support mechanisms)?</t>
  </si>
  <si>
    <t>Checklist should include legal/privacy review steps where required.</t>
  </si>
  <si>
    <t>7. Investigations &amp; Fairness</t>
  </si>
  <si>
    <t>When a concern is raised, is there a fair, documented investigation process with HR, Legal/Privacy, and Security, including confidentiality boundaries?</t>
  </si>
  <si>
    <t>Fair = proportionate, consistent, documented, with privacy safeguards.</t>
  </si>
  <si>
    <t>Case management (process + tooling)</t>
  </si>
  <si>
    <t>(Shadow probe) If the process is ad-hoc, who decides what information is used and how confidentiality is protected?</t>
  </si>
  <si>
    <t>Checks for inconsistent decision-making and privacy fractures.</t>
  </si>
  <si>
    <t>If someone feels unfairly targeted, is there an independent review or appeal route (e.g., ombuds, privacy review, works council input where applicable)?</t>
  </si>
  <si>
    <t>Reduces toxic-enforcer risk and increases trust.</t>
  </si>
  <si>
    <t>After cases, do you translate outcomes into improvements (training, process, tooling) without creating blame or fear?</t>
  </si>
  <si>
    <t>Learning loop: reduce repeats while maintaining psychological safety.</t>
  </si>
  <si>
    <t>8. Reporting &amp; Metrics</t>
  </si>
  <si>
    <t>What does HR report to leadership about the people-side of insider risk (themes, training, reporting culture) in a way that supports trust?</t>
  </si>
  <si>
    <t>Aggregated and privacy-safe: focus on themes + improvement actions.</t>
  </si>
  <si>
    <t>(Shadow probe) Do you recognise and track 'near-misses' or early interventions as positive signals (without naming/shaming)?</t>
  </si>
  <si>
    <t>Near-miss = prevented escalation (e.g., someone flagged risky sharing).</t>
  </si>
  <si>
    <t>Do you track timeliness and quality metrics for reports/cases and use them to improve?</t>
  </si>
  <si>
    <t>Use aggregated metrics only (no personal data).</t>
  </si>
  <si>
    <t>1. Security Operating Model</t>
  </si>
  <si>
    <t>Who runs day‑to‑day monitoring for internal misuse (e.g., unusual downloads, emailing data out) and triage of alerts?</t>
  </si>
  <si>
    <t>Internal misuse can be accidental or malicious. If you outsource monitoring, answer based on how it works in practice (coverage, cadence, ownership).</t>
  </si>
  <si>
    <t>Multidisciplinary triage (ITWG) operations</t>
  </si>
  <si>
    <t>(Shadow probe) Even without a formal insider program, do people routinely look for unusual internal behavior in practice?</t>
  </si>
  <si>
    <t>Examples: sudden large downloads, unusual access to sensitive folders, repeated use of admin accounts, or data emailed to personal accounts.</t>
  </si>
  <si>
    <t>Do you have a documented triage workflow for potential insider cases (from alert → decision → escalation)?</t>
  </si>
  <si>
    <t>A workflow can be a runbook/playbook/SOP. It should clarify who reviews, what evidence is needed, and when to involve HR/Legal/Privacy.</t>
  </si>
  <si>
    <t>7. Behavioral Analytics &amp; Detection</t>
  </si>
  <si>
    <t>Detection Engineering</t>
  </si>
  <si>
    <t>Alert triage workflow &amp; quality management</t>
  </si>
  <si>
    <t>2. Monitoring Coverage &amp; Logging</t>
  </si>
  <si>
    <t>Do you collect and retain logs for the systems where the most sensitive data is stored/shared (e.g., email, file shares, cloud storage)?</t>
  </si>
  <si>
    <t>You don't need perfect coverage. We are checking whether you can reconstruct what happened on the systems that matter most.</t>
  </si>
  <si>
    <t>(Shadow probe) Even without a formal 'crown jewels' list, can you name the top 3 places where sensitive business data lives today?</t>
  </si>
  <si>
    <t>Examples: SharePoint/OneDrive, shared drives, email, Git repos, CRM/ERP, finance systems, design tools. This checks practical awareness.</t>
  </si>
  <si>
    <t>Is log collection centralized enough that you can investigate across systems without manual log pulling from many tools?</t>
  </si>
  <si>
    <t>Centralization could be a SIEM/log platform or consistent API exports. Key test: can you correlate user + device + data activity efficiently.</t>
  </si>
  <si>
    <t>3. Detection Use Cases &amp; Tuning</t>
  </si>
  <si>
    <t>Do you have a small set of high‑value internal misuse detections that are actively monitored (not just enabled)?</t>
  </si>
  <si>
    <t>Examples: large downloads from sensitive repositories, mass deletions, exports of customer lists, unusual admin actions, unusual access to HR/finance folders.</t>
  </si>
  <si>
    <t>Containment &amp; eradication actions</t>
  </si>
  <si>
    <t>(Shadow probe) When an alert fires, do analysts have time and guidance to investigate, or do alerts pile up?</t>
  </si>
  <si>
    <t>We are checking operational reality: backlog and whether the team can act on signals.</t>
  </si>
  <si>
    <t>How do you manage false positives and business disruption caused by monitoring controls (so teams don’t create workarounds)?</t>
  </si>
  <si>
    <t>This is 'friction management': tuning, exception paths, and measuring bypass behavior.</t>
  </si>
  <si>
    <t>4. High‑Risk Roles &amp; Privileged Monitoring</t>
  </si>
  <si>
    <t>Do you know which roles/accounts have the highest ability to cause harm (admins, finance approvers, HR admins), and are they monitored differently?</t>
  </si>
  <si>
    <t>Includes privileged IT accounts and business roles with high-impact actions (approve payments, change payroll, export customer lists).</t>
  </si>
  <si>
    <t>(Shadow probe) If asked today, could you quickly identify the top 10 people with broad access to sensitive systems?</t>
  </si>
  <si>
    <t>Checks whether 'key holders' can be found quickly (even if the process is informal).</t>
  </si>
  <si>
    <t>Physical/OT Overlay</t>
  </si>
  <si>
    <t>Physical access governance (critical areas)</t>
  </si>
  <si>
    <t>How are privileged/admin actions monitored and reviewed (e.g., creating accounts, changing permissions, exporting data)?</t>
  </si>
  <si>
    <t>We’re looking for coverage and independent review for the highest‑risk actions.</t>
  </si>
  <si>
    <t>5. Investigations &amp; Case Management</t>
  </si>
  <si>
    <t>When an internal misuse concern is raised, do you have a consistent cross‑functional investigation process (Security + HR + Legal/Privacy)?</t>
  </si>
  <si>
    <t>We mean a repeatable process with clear steps, not necessarily a separate insider threat team.</t>
  </si>
  <si>
    <t>Cross-functional steering committee</t>
  </si>
  <si>
    <t>(Shadow probe) Even without a formal process, do Security/HR/Legal know who to call and respond quickly when a serious concern arises?</t>
  </si>
  <si>
    <t>Checks response speed and clarity: 'who is on point' for internal cases.</t>
  </si>
  <si>
    <t>How do you ensure investigation decisions are consistent and defensible (not based on rumors or personal conflicts)?</t>
  </si>
  <si>
    <t>Procedural fairness: documented decisions, separation of duties, and review/appeal paths for higher‑impact actions.</t>
  </si>
  <si>
    <t>6. Containment &amp; Response Automation</t>
  </si>
  <si>
    <t>If you see a credible insider risk, can you quickly reduce risk (revoke access, block sharing, isolate a device) in a controlled way?</t>
  </si>
  <si>
    <t>'Controlled' means approvals, logging, and minimizing unnecessary business disruption.</t>
  </si>
  <si>
    <t>(Shadow probe) In practice, can you get quick business approval for containment without creating chaos or outages?</t>
  </si>
  <si>
    <t>Checks whether the organization can act fast without breaking critical operations.</t>
  </si>
  <si>
    <t>Do containment actions minimize unnecessary disruption (so teams don’t shift to shadow IT/workarounds)?</t>
  </si>
  <si>
    <t>Proportionate controls: strong where needed, tuned so legitimate work continues.</t>
  </si>
  <si>
    <t>7. Evidence &amp; Forensics Readiness</t>
  </si>
  <si>
    <t>Can you preserve and present evidence from internal cases so HR/Legal can rely on it (chain of custody, tamper resistance)?</t>
  </si>
  <si>
    <t>This affects HR actions and legal disputes. Evidence should be traceable: who collected what, when, and whether it was altered.</t>
  </si>
  <si>
    <t>(Shadow probe) When HR/Legal ask for proof, can you retrieve it quickly and consistently (without best guesses)?</t>
  </si>
  <si>
    <t>Checks speed and repeatability of evidence retrieval for common case types.</t>
  </si>
  <si>
    <t>Are monitoring logs protected (restricted access + audits) and retained long enough for investigations and legal requirements?</t>
  </si>
  <si>
    <t>Checks governance of monitoring data itself to prevent misuse and support defensibility.</t>
  </si>
  <si>
    <t>OT privileged access &amp; engineering workstation governance</t>
  </si>
  <si>
    <t>8. Third Parties &amp; Contractors</t>
  </si>
  <si>
    <t>Are contractors, vendors, and outsourced admins monitored with similar attention as employees when they access sensitive systems?</t>
  </si>
  <si>
    <t>Includes MSP/MSSP engineers, vendor developers, temporary staff, and BPOs with system access.</t>
  </si>
  <si>
    <t>(Shadow probe) When a contractor/vendor engagement ends, is access reliably removed quickly across systems?</t>
  </si>
  <si>
    <t>Checks offboarding reality for non‑employees.</t>
  </si>
  <si>
    <t>Do you have a defined process for investigating third‑party misuse (evidence requests, contractual steps, escalation)?</t>
  </si>
  <si>
    <t>Checks readiness: who leads, what evidence can be requested, and how quickly you can escalate.</t>
  </si>
  <si>
    <t>9. Metrics &amp; Continuous Improvement</t>
  </si>
  <si>
    <t>Do you measure whether internal misuse monitoring is effective (not just how many alerts exist)?</t>
  </si>
  <si>
    <t>Examples: time to triage, investigation outcomes, false-positive rate, coverage of sensitive systems, and lessons learned.</t>
  </si>
  <si>
    <t>(Shadow probe) Do you review 'near misses' (suspicious behavior caught early) to improve controls, even if nothing was lost?</t>
  </si>
  <si>
    <t>Near-miss reviews show learning without waiting for a breach.</t>
  </si>
  <si>
    <t>Is detection quality periodically tested (simulations, controlled tests, red/purple exercises) to reduce blind spots?</t>
  </si>
  <si>
    <t>This can be lightweight: test a few scenarios, verify alerts fire, and verify investigation time is within expectations.</t>
  </si>
  <si>
    <t>Purple-team / simulation of insider paths</t>
  </si>
  <si>
    <t>SEC-D10-Q28</t>
  </si>
  <si>
    <t>For the systems that matter most (email, file sharing, finance/ERP, source code, key databases), how complete is your log collection for insider investigations?</t>
  </si>
  <si>
    <t>Logs = activity records that show who did what, when, and from where. Focus on coverage: endpoints/laptops, servers, cloud services, and SaaS. If you’re unsure, choose the closest option.</t>
  </si>
  <si>
    <t>Annex</t>
  </si>
  <si>
    <t>SEC-D10-Q29</t>
  </si>
  <si>
    <t>How are monitoring logs protected against tampering and time issues (so they can be used for HR/legal decisions)?</t>
  </si>
  <si>
    <t>Think integrity: time synchronization, restricted access, immutability (WORM), audit trails of who accessed logs, and retention that matches investigation needs.</t>
  </si>
  <si>
    <t>SEC-D10-Q30</t>
  </si>
  <si>
    <t>If an investigation starts today, how quickly can you retrieve the last 30 days of relevant activity for a user across key systems?</t>
  </si>
  <si>
    <t>Consider the end‑to‑end time: identifying sources, requesting access, exporting data, and handing it to investigators in a usable format.</t>
  </si>
  <si>
    <t>SEC-D11-Q31</t>
  </si>
  <si>
    <t>Can you reliably link activity in logs to an individual person (not just shared accounts or generic admin IDs)?</t>
  </si>
  <si>
    <t>Look for consistent identity across systems: SSO/MFA, unique admin accounts, and the ability to resolve ‘who was behind’ an action quickly.</t>
  </si>
  <si>
    <t>MFA/adaptive access &amp; device posture</t>
  </si>
  <si>
    <t>SEC-D11-Q32</t>
  </si>
  <si>
    <t>How is privileged/admin access granted and recorded for high‑risk systems?</t>
  </si>
  <si>
    <t>Examples: just‑in‑time admin access, approvals, session recording, ‘four‑eyes’ for sensitive actions, periodic access reviews, elimination of shared admin accounts.</t>
  </si>
  <si>
    <t>SEC-D11-Q33</t>
  </si>
  <si>
    <t>How well do security controls adapt to joiner/mover/leaver changes and sensitive HR events (role changes, resignations, terminations)?</t>
  </si>
  <si>
    <t>This is about control lag: how fast access changes and monitoring adjustments happen when risk changes. Focus on speed and consistency, not intent.</t>
  </si>
  <si>
    <t>SEC-D12-Q34</t>
  </si>
  <si>
    <t>For a suspected insider risk case, how quickly can you contain risk across critical systems (disable access, revoke sessions, block risky sharing) in a controlled way?</t>
  </si>
  <si>
    <t>Containment includes steps like disabling accounts, revoking tokens/sessions, pausing access to sensitive repositories, and freezing data egress — with approvals and audit trail.</t>
  </si>
  <si>
    <t>SEC-D12-Q35</t>
  </si>
  <si>
    <t>Do you have predefined, legally reviewed criteria for more intrusive investigation actions (e.g., mailbox review, device seizure, extended monitoring)?</t>
  </si>
  <si>
    <t>Aim: proportionality and defensibility. Who approves, what triggers the action, how privacy/labor requirements are met, and how actions are documented.</t>
  </si>
  <si>
    <t>SEC-D12-Q36</t>
  </si>
  <si>
    <t>When you contain a suspected insider, how do you minimize business disruption and ensure safe rollback (without losing evidence)?</t>
  </si>
  <si>
    <t>Examples: break‑glass controls, staged containment, documented rollback, business owner approvals, and metrics on disruption caused by containment actions.</t>
  </si>
  <si>
    <t>SEC-D13-Q37</t>
  </si>
  <si>
    <t>How do you test that insider detections actually work (and still work after changes)?</t>
  </si>
  <si>
    <t>Testing can include tabletop simulations, purple team exercises, test data, detection ‘unit tests’, and periodic validation of coverage for priority scenarios.</t>
  </si>
  <si>
    <t>SEC-D13-Q38</t>
  </si>
  <si>
    <t>How do you measure and improve triage quality (accuracy, consistency, bias reduction) for insider-related alerts?</t>
  </si>
  <si>
    <t>Think: sampling of closed cases, second‑pair review, blind reviews, clear escalation criteria, and coaching based on measured error patterns.</t>
  </si>
  <si>
    <t>SEC-D13-Q39</t>
  </si>
  <si>
    <t>How do you reduce false positives and ‘alert fatigue’ without losing coverage for high‑value data and high‑risk roles?</t>
  </si>
  <si>
    <t>A mature approach measures business impact, tunes thresholds, uses risk‑based targeting (crown jewels, privileged roles), and documents trade‑offs.</t>
  </si>
  <si>
    <t>SEC-D14-Q40</t>
  </si>
  <si>
    <t>For cloud and SaaS services used for sensitive data (email, file sharing, code platforms), do you collect audit trails and monitor risky sharing/exfiltration patterns?</t>
  </si>
  <si>
    <t>Focus on whether you can see risky sharing (external links, mass downloads, unusual access), and whether those logs are centralized and retained.</t>
  </si>
  <si>
    <t>SEC-D14-Q41</t>
  </si>
  <si>
    <t>Are data-loss / risky-sharing controls tuned to ‘what matters most’ (crown jewels) rather than blanket blocking that drives workarounds?</t>
  </si>
  <si>
    <t>Look for risk-based policies: stronger controls for sensitive repositories and high‑risk roles, measured business impact, and documented exceptions.</t>
  </si>
  <si>
    <t>4. Legal &amp; Privacy</t>
  </si>
  <si>
    <t>Do we have a clear, written basis for monitoring staff activity on company systems (what we monitor, why, and who approves it)?</t>
  </si>
  <si>
    <t>Think: written policy/notice, lawful basis, purpose limits, and a named approval owner (not just ‘we can because IT can’).</t>
  </si>
  <si>
    <t>(Shadow probe) Even without a formal policy, do managers/IT ever “check” email, messages, files, or logs when something feels wrong?</t>
  </si>
  <si>
    <t>This is about real practice. If it happens, the key question is whether it’s controlled and fair.</t>
  </si>
  <si>
    <t>When monitoring is used, is it designed to be proportionate (least intrusive) and tiered based on risk and access level?</t>
  </si>
  <si>
    <t>Example: higher scrutiny for privileged admins/high-value access; lower for standard staff. Avoid “one-size-fits-all”.</t>
  </si>
  <si>
    <t>Drilldown</t>
  </si>
  <si>
    <t>Are employees told in plain language what monitoring exists and how monitoring data may be used (HR, investigations, legal)?</t>
  </si>
  <si>
    <t>Look for simple notices/training, not just legal text buried in contracts.</t>
  </si>
  <si>
    <t>Where required, do we engage employee representatives/works council before launching or changing monitoring?</t>
  </si>
  <si>
    <t>If you don’t have a works council, answer based on equivalent employee/union engagement expectations in your jurisdictions.</t>
  </si>
  <si>
    <t>Do we perform a privacy/impact assessment (e.g., DPIA/LIA) for employee monitoring and keep it updated?</t>
  </si>
  <si>
    <t>If you’re not in GDPR regions, think equivalent: documented assessment of necessity, proportionality, and safeguards.</t>
  </si>
  <si>
    <t>DPIA/PIA per Use-Case</t>
  </si>
  <si>
    <t>Is access to monitoring data restricted (need-to-know), logged, and separated from day-to-day IT admin access?</t>
  </si>
  <si>
    <t>Example: separate case team access; access logs reviewed; no shared accounts; approvals required for searches.</t>
  </si>
  <si>
    <t>Do we have clear retention limits for monitoring data (and a way to delete it) while preserving evidence for active cases?</t>
  </si>
  <si>
    <t>Look for: retention schedule + case hold process.</t>
  </si>
  <si>
    <t>Do we know where monitoring data/logs are stored (countries/cloud regions) and control cross-border transfers?</t>
  </si>
  <si>
    <t>This includes SaaS logs, SIEM, case management, and any outsourced SOC tooling.</t>
  </si>
  <si>
    <t>Can we handle employee requests/complaints about monitoring (e.g., access requests) without breaking investigations or trust?</t>
  </si>
  <si>
    <t>Think: defined process, separation of duties, and clear communications.</t>
  </si>
  <si>
    <t>8. Response &amp; Investigations</t>
  </si>
  <si>
    <t>Do we have a documented chain-of-custody process for insider investigations evidence (logs, devices, files)?</t>
  </si>
  <si>
    <t>Evidence should stand up in HR hearings/court: what was collected, by whom, when, how stored, who accessed.</t>
  </si>
  <si>
    <t>For serious cases, do we have forensic-ready tooling/processes (e.g., preserved logs, secure collection, specialist support)?</t>
  </si>
  <si>
    <t>This is about being able to investigate quickly without contaminating evidence.</t>
  </si>
  <si>
    <t>5. Culture &amp; Speak-Up</t>
  </si>
  <si>
    <t>Do we have protected reporting channels (whistleblowing/speak-up) with clear rules on confidentiality and handling?</t>
  </si>
  <si>
    <t>Include: anonymous options, anti-retaliation, triage, and feedback loop.</t>
  </si>
  <si>
    <t>When someone reports a concern, do we actively check for and prevent retaliation (before and after case closure)?</t>
  </si>
  <si>
    <t>Look for: explicit checks, HR monitoring, and consequences for retaliation.</t>
  </si>
  <si>
    <t>Do supplier/contractor agreements include acceptable-use, monitoring notices, and audit/cooperation clauses for investigations?</t>
  </si>
  <si>
    <t>Think: right to collect logs, preserve evidence, cooperate on incidents, and comply with privacy requirements.</t>
  </si>
  <si>
    <t>Do we have clear criteria for involving law enforcement and preserving evidence accordingly?</t>
  </si>
  <si>
    <t>This doesn’t mean you always involve law enforcement—only that you know when and how.</t>
  </si>
  <si>
    <t>Who approves high-intrusion actions (e.g., mailbox review, device imaging, covert monitoring), and is it documented each time?</t>
  </si>
  <si>
    <t>Look for separation of duties: not one person deciding and executing alone.</t>
  </si>
  <si>
    <t>Do we review monitoring/investigation practices for fairness (bias risks) and document safeguards?</t>
  </si>
  <si>
    <t>Example: consistent criteria, blind review where possible, audit of outcomes across groups.</t>
  </si>
  <si>
    <t>3. Risk &amp; Crown Jewels</t>
  </si>
  <si>
    <t>Do business leaders agree on which information/assets would hurt the organization most if stolen, leaked, or sabotaged?</t>
  </si>
  <si>
    <t>Examples: customer lists, pricing models, M&amp;A plans, source code, product designs, regulated data, key operational processes.</t>
  </si>
  <si>
    <t>(Shadow probe) Even if not documented, do leaders and long-tenured staff know the ‘crown jewels’ by experience?</t>
  </si>
  <si>
    <t>This identifies hidden maturity that isn’t formalized yet.</t>
  </si>
  <si>
    <t>Do we have named business owners for key data/assets, and do they approve who gets access?</t>
  </si>
  <si>
    <t>Owner means accountable for decisions, not just ‘IT knows where it is’.</t>
  </si>
  <si>
    <t>3. Risk &amp; Data Flows</t>
  </si>
  <si>
    <t>For the top assets, do we understand where the data goes (key systems, exports, sharing, vendors, and countries)?</t>
  </si>
  <si>
    <t>If you changed a major process tomorrow, could you predict where sensitive data would spread?</t>
  </si>
  <si>
    <t>When business processes change (new tool, new vendor, re-org), do we review data flows and access before going live?</t>
  </si>
  <si>
    <t>This is about avoiding ‘control lag’ after change.</t>
  </si>
  <si>
    <t>Control testing &amp; continuous assurance</t>
  </si>
  <si>
    <t>6. Operational Friction</t>
  </si>
  <si>
    <t>Do security controls cause business workarounds (e.g., personal email/USB/consumer cloud), and do we measure this?</t>
  </si>
  <si>
    <t>This is not about blaming staff; it’s about designing controls that people can actually follow.</t>
  </si>
  <si>
    <t>DLP (endpoint + cloud + SaaS)</t>
  </si>
  <si>
    <t>Is there a fast, business-friendly exception process (with risk-based approvals) when controls block legitimate work?</t>
  </si>
  <si>
    <t>Look for: clear decision rights, turnaround time, and documentation of exceptions.</t>
  </si>
  <si>
    <t>Do we have an approved path for teams to adopt new SaaS/tools without going ‘shadow IT’?</t>
  </si>
  <si>
    <t>Example: a simple intake, fast security review, and approved list of tools.</t>
  </si>
  <si>
    <t>3. Risk &amp; Access</t>
  </si>
  <si>
    <t>Are critical roles mapped (who has access to crown jewels), and is this reviewed at least annually?</t>
  </si>
  <si>
    <t>Critical roles include privileged admins, finance approvers, R&amp;D leads, etc.</t>
  </si>
  <si>
    <t>Do we actively reduce ‘too much access’ over time (remove unused access, reduce privilege concentration)?</t>
  </si>
  <si>
    <t>Look for: periodic cleanup, least privilege projects, and measured outcomes.</t>
  </si>
  <si>
    <t>Least privilege &amp; role engineering</t>
  </si>
  <si>
    <t>2. Threat &amp; Change Events</t>
  </si>
  <si>
    <t>During major events (layoffs, M&amp;A, re-org), do we increase monitoring/reviews for high-risk access and data movement?</t>
  </si>
  <si>
    <t>Example: tighter reviews for departing staff, privileged roles, or sensitive projects.</t>
  </si>
  <si>
    <t>Can business leaders trigger an ‘elevated risk’ posture with clear criteria (not just ‘bad vibes’)?</t>
  </si>
  <si>
    <t>Criteria might include layoffs, contentious exits, access to sensitive projects, or unusual data movements.</t>
  </si>
  <si>
    <t>3. Risk &amp; Third Parties</t>
  </si>
  <si>
    <t>Are third-party data sharing arrangements inventoried with a business owner and a simple risk rating?</t>
  </si>
  <si>
    <t>Includes: vendors, partners, outsourcers, contractors, and joint projects.</t>
  </si>
  <si>
    <t>9. Performance &amp; Reporting</t>
  </si>
  <si>
    <t>Do we report insider-risk related metrics in business terms (e.g., near-misses, exception rate, trust indicators), not just ‘alerts’?</t>
  </si>
  <si>
    <t>The goal is to show business impact and trust health.</t>
  </si>
  <si>
    <t>3. Risk &amp; Data Handling</t>
  </si>
  <si>
    <t>Do teams classify/label sensitive data in a way that actually influences daily handling and sharing?</t>
  </si>
  <si>
    <t>This isn’t about perfect taxonomy—it’s about practical use (e.g., marking a file as confidential and seeing behavior change).</t>
  </si>
  <si>
    <t>6. Tech &amp; Identity</t>
  </si>
  <si>
    <t>When someone leaves the organization, how quickly is their access removed across core systems (email, VPN, SaaS, key apps)?</t>
  </si>
  <si>
    <t>Think about both planned exits and urgent terminations. Speed matters for insider risk.</t>
  </si>
  <si>
    <t>(Shadow probe) If automation is limited, do admins still remove access consistently using a checklist and escalation rules?</t>
  </si>
  <si>
    <t>This captures hidden maturity in manual environments.</t>
  </si>
  <si>
    <t>Are joiner/mover/leaver (JML) changes connected to HR events automatically (so access changes aren’t missed)?</t>
  </si>
  <si>
    <t>Example: HR termination triggers account disablement, group removal, and SaaS access cleanup.</t>
  </si>
  <si>
    <t>3. Risk &amp; Access Visibility</t>
  </si>
  <si>
    <t>Do we have a single place to see who has access to key systems and data (including admins and contractors)?</t>
  </si>
  <si>
    <t>This can be an IAM tool, access review system, or reliable inventory—not spreadsheets that are always outdated.</t>
  </si>
  <si>
    <t>Do we review and certify access for high-value systems on a schedule (and remove unused access)?</t>
  </si>
  <si>
    <t>Even annual reviews are better than never; high-risk systems may need quarterly.</t>
  </si>
  <si>
    <t>6. Tech &amp; Privileged Access</t>
  </si>
  <si>
    <t>How are privileged/admin accounts controlled (approval, time limits, MFA, and monitoring)?</t>
  </si>
  <si>
    <t>Privileged access is often the highest insider-risk leverage point.</t>
  </si>
  <si>
    <t>Is ‘break-glass’ emergency access controlled, logged, and reviewed after use?</t>
  </si>
  <si>
    <t>Break-glass should be rare, time-limited, and reviewed like an incident.</t>
  </si>
  <si>
    <t>Are privileged sessions/actions recorded or audited for critical systems (so actions are attributable)?</t>
  </si>
  <si>
    <t>This can be session recording, command logging, or equivalent—goal is accountability.</t>
  </si>
  <si>
    <t>6. Tech &amp; Third Parties</t>
  </si>
  <si>
    <t>Are contractors/third parties onboarded and offboarded with the same access controls as employees?</t>
  </si>
  <si>
    <t>This includes identity proofing, MFA, least privilege, and prompt removal at contract end.</t>
  </si>
  <si>
    <t>Do vendor/MSP identities use named accounts (no shared logins) with MFA and clear ownership?</t>
  </si>
  <si>
    <t>Shared accounts are a major investigation blocker and insider-risk blind spot.</t>
  </si>
  <si>
    <t>Do teams bypass identity controls to get work done (shared accounts, local admin, borrowing credentials), and is this reduced over time?</t>
  </si>
  <si>
    <t>We’re looking for honest signal and improvement, not perfection.</t>
  </si>
  <si>
    <t>Is there a fast access request path (with clear SLA) so teams don’t share credentials or use shadow accounts?</t>
  </si>
  <si>
    <t>If the legitimate path is too slow, bypass becomes predictable.</t>
  </si>
  <si>
    <t>8. Response &amp; Containment</t>
  </si>
  <si>
    <t>If needed, can we quickly disable a user and cut off access to crown jewels (including remote sessions and tokens)?</t>
  </si>
  <si>
    <t>Think: speed + completeness across systems.</t>
  </si>
  <si>
    <t>Do we have automated containment options for high-risk identities/actions (e.g., step-up auth, temporary blocks, kill switch)?</t>
  </si>
  <si>
    <t>Automation reduces response time and inconsistency.</t>
  </si>
  <si>
    <t>7. Analytics &amp; Logging</t>
  </si>
  <si>
    <t>Are authentication events, privilege changes, and admin actions centrally logged in a way that is hard to tamper with?</t>
  </si>
  <si>
    <t>Goal: reliable investigation trail and faster detection.</t>
  </si>
  <si>
    <t>During re-org or M&amp;A, can we re-map roles and access quickly enough to avoid long ‘control lag’ periods?</t>
  </si>
  <si>
    <t>Control lag is when org changes faster than access control updates.</t>
  </si>
  <si>
    <t>Scope boundary control</t>
  </si>
  <si>
    <t>6. Tech &amp; Identity (Deep)</t>
  </si>
  <si>
    <t>Do we have a consistent identity key (unique ID) that links HR records, IAM accounts, logs, and investigations?</t>
  </si>
  <si>
    <t>This avoids attribution errors and speeds investigations.</t>
  </si>
  <si>
    <t>For sensitive actions, do we enforce step-up controls (approval, just-in-time, strong auth) to prevent privilege escalation abuse?</t>
  </si>
  <si>
    <t>Examples: admin role assignment, data export rights, payment approval rights.</t>
  </si>
  <si>
    <t>1. Governance &amp; ERM</t>
  </si>
  <si>
    <t>Is insider risk formally included in enterprise risk management (ERM) with a clear risk appetite and owners?</t>
  </si>
  <si>
    <t>Think: named owners, how much risk is acceptable, and how decisions are escalated.</t>
  </si>
  <si>
    <t>1. Governance &amp; Assurance</t>
  </si>
  <si>
    <t>Are key insider-risk controls tested/assured on a schedule (audit sampling or control testing), not only after incidents?</t>
  </si>
  <si>
    <t>Testing can be internal audit, second line risk, or independent review.</t>
  </si>
  <si>
    <t>1. Governance &amp; Evidence</t>
  </si>
  <si>
    <t>Do we maintain evidence that declared controls are actually operating (not just ‘policy exists’)?</t>
  </si>
  <si>
    <t>Example: logs, tickets, review records, sampling results, and sign-offs.</t>
  </si>
  <si>
    <t>1. Governance &amp; Remediation</t>
  </si>
  <si>
    <t>When weaknesses are found, are remediation actions tracked to closure with owners and dates (and escalated if overdue)?</t>
  </si>
  <si>
    <t>This includes audit findings, incidents, and risk assessments.</t>
  </si>
  <si>
    <t>Are insider-risk KPIs/KRIs reported to leadership in a way that drives decisions (not just vanity metrics)?</t>
  </si>
  <si>
    <t>Examples: time-to-contain, high-risk clusters, repeated bypass patterns, trust indicators, losses avoided.</t>
  </si>
  <si>
    <t>Are major change events (M&amp;A, layoffs, re-org, outsourcing) assessed for control lag and insider risk impact?</t>
  </si>
  <si>
    <t>Look for: pre-change checklist + post-change validation.</t>
  </si>
  <si>
    <t>Is there independent review of monitoring legality and proportionality (beyond the program team)?</t>
  </si>
  <si>
    <t>Examples: privacy office, DPO, works council, legal, internal audit, or external counsel.</t>
  </si>
  <si>
    <t>1. Governance &amp; Third Parties</t>
  </si>
  <si>
    <t>Are third parties (MSSP/MSP/vendors) within scope of assurance (contract obligations, controls, and evidence)?</t>
  </si>
  <si>
    <t>Includes: access controls, logging, retention, and cooperation for investigations.</t>
  </si>
  <si>
    <t>8. Response &amp; Lessons Learned</t>
  </si>
  <si>
    <t>After incidents/near-misses, do we capture lessons learned and verify that control improvements actually happen?</t>
  </si>
  <si>
    <t>Look for: post-incident review + tracked follow-up + retesting.</t>
  </si>
  <si>
    <t>4. Legal &amp; Privacy (Deep)</t>
  </si>
  <si>
    <t>Are monitoring datasets protected like high-value evidence (restricted access, audit logs, retention, periodic review)?</t>
  </si>
  <si>
    <t>This is about protecting the monitoring program itself from abuse.</t>
  </si>
  <si>
    <t>A-ID</t>
  </si>
  <si>
    <t>Option #</t>
  </si>
  <si>
    <t>Answer Option Text</t>
  </si>
  <si>
    <t>BaseScore</t>
  </si>
  <si>
    <t>Evidence Hint</t>
  </si>
  <si>
    <t>EXCO-D1-Q01-A0</t>
  </si>
  <si>
    <t>I don’t know / not sure.</t>
  </si>
  <si>
    <t>EXCO-D1-Q01-A1</t>
  </si>
  <si>
    <t>No formal decision or budget; work happens only when incidents occur.</t>
  </si>
  <si>
    <t>EXCO-D1-Q01-A2</t>
  </si>
  <si>
    <t>Verbal agreement that it matters, but nothing is written down or funded.</t>
  </si>
  <si>
    <t>EXCO-D1-Q01-A3</t>
  </si>
  <si>
    <t>Written policy/statement exists, but it has not been reviewed/approved at executive or board level.</t>
  </si>
  <si>
    <t>Provide policy/charter and last approval date.</t>
  </si>
  <si>
    <t>EXCO-D1-Q01-A4</t>
  </si>
  <si>
    <t>Executive-approved plan exists with clear goals and dedicated funding (reviewed at least annually).</t>
  </si>
  <si>
    <t>Provide board/exco minute or signed approval; budget line.</t>
  </si>
  <si>
    <t>EXCO-D1-Q01-A5</t>
  </si>
  <si>
    <t>Formal charter with cross-functional decision rights (HR/Legal/Security/Data) and measurable objectives.</t>
  </si>
  <si>
    <t>Provide charter + RACI + meeting cadence evidence.</t>
  </si>
  <si>
    <t>EXCO-D1-Q02-A1</t>
  </si>
  <si>
    <t>No—controls are inconsistent; we mainly rely on standard IT security (e.g., antivirus, firewall).</t>
  </si>
  <si>
    <t>EXCO-D1-Q02-A2</t>
  </si>
  <si>
    <t>Some teams do ad-hoc checks, but it depends on individuals and isn’t repeatable.</t>
  </si>
  <si>
    <t>key_person_dependency,shadow_signal</t>
  </si>
  <si>
    <t>EXCO-D1-Q02-A3</t>
  </si>
  <si>
    <t>Yes—there are repeatable habits in key areas (e.g., leavers, privileged access), but they are not documented or measured.</t>
  </si>
  <si>
    <t>EXCO-D1-Q02-A4</t>
  </si>
  <si>
    <t>Yes—repeatable habits exist and are tracked (e.g., checks completed, exceptions logged) even if governance is still light.</t>
  </si>
  <si>
    <t>EXCO-D1-Q03-A0</t>
  </si>
  <si>
    <t>EXCO-D1-Q03-A1</t>
  </si>
  <si>
    <t>No one—ownership is spread and decisions are made case-by-case.</t>
  </si>
  <si>
    <t>EXCO-D1-Q03-A2</t>
  </si>
  <si>
    <t>Security/IT owns it, but has limited authority across HR/Legal/business units.</t>
  </si>
  <si>
    <t>EXCO-D1-Q03-A3</t>
  </si>
  <si>
    <t>A committee meets occasionally, but has no budget authority or clear escalation path.</t>
  </si>
  <si>
    <t>EXCO-D1-Q03-A4</t>
  </si>
  <si>
    <t>An executive sponsor owns it with clear escalation and budget authority.</t>
  </si>
  <si>
    <t>Provide governance doc showing decision rights and escalation.</t>
  </si>
  <si>
    <t>EXCO-D1-Q03-A5</t>
  </si>
  <si>
    <t>Executive sponsor + department KPIs (HR/Legal/Security/Data) and a regular review cadence.</t>
  </si>
  <si>
    <t>Provide KPI pack / steering minutes.</t>
  </si>
  <si>
    <t>EXCO-D1-Q04-A0</t>
  </si>
  <si>
    <t>EXCO-D1-Q04-A1</t>
  </si>
  <si>
    <t>Each department acts on its own; coordination happens only during crises.</t>
  </si>
  <si>
    <t>EXCO-D1-Q04-A2</t>
  </si>
  <si>
    <t>People collaborate informally for incidents, but there is no routine coordination.</t>
  </si>
  <si>
    <t>EXCO-D1-Q04-A3</t>
  </si>
  <si>
    <t>There is a defined process, but adoption is inconsistent across business units.</t>
  </si>
  <si>
    <t>EXCO-D1-Q04-A4</t>
  </si>
  <si>
    <t>There is a cross-functional working group and routine cadence (e.g., monthly), with tracked actions.</t>
  </si>
  <si>
    <t>Provide meeting cadence and action log.</t>
  </si>
  <si>
    <t>EXCO-D1-Q04-A5</t>
  </si>
  <si>
    <t>Operating model is integrated into business processes (joiner/mover/leaver, sensitive projects, vendor onboarding) with measurable outcomes.</t>
  </si>
  <si>
    <t>EXCO-D1-Q05-A0</t>
  </si>
  <si>
    <t>EXCO-D1-Q05-A1</t>
  </si>
  <si>
    <t>No—costs are absorbed ad-hoc in IT/security or HR.</t>
  </si>
  <si>
    <t>EXCO-D1-Q05-A2</t>
  </si>
  <si>
    <t>Some funding exists but is regularly reallocated; priorities change without oversight.</t>
  </si>
  <si>
    <t>EXCO-D1-Q05-A3</t>
  </si>
  <si>
    <t>There is a budget line, but it is not linked to clear priorities (e.g., crown jewels or key risks).</t>
  </si>
  <si>
    <t>EXCO-D1-Q05-A4</t>
  </si>
  <si>
    <t>Dedicated funding exists and is linked to defined priorities (e.g., most sensitive data/systems).</t>
  </si>
  <si>
    <t>Provide budget line and priority statement.</t>
  </si>
  <si>
    <t>EXCO-D1-Q05-A5</t>
  </si>
  <si>
    <t>Multi-year funding plan aligned to risk appetite with benefits tracked (e.g., risk reduction, fewer high-risk clusters).</t>
  </si>
  <si>
    <t>EXCO-D1-Q06-A0</t>
  </si>
  <si>
    <t>EXCO-D1-Q06-A1</t>
  </si>
  <si>
    <t>No—work is reactive (we respond to incidents and urgent requests).</t>
  </si>
  <si>
    <t>EXCO-D1-Q06-A2</t>
  </si>
  <si>
    <t>There is an informal ‘wishlist’ but no dates, owners, or review cadence.</t>
  </si>
  <si>
    <t>EXCO-D1-Q06-A3</t>
  </si>
  <si>
    <t>A roadmap exists, but it is not funded or is frequently re-prioritised without governance.</t>
  </si>
  <si>
    <t>EXCO-D1-Q06-A4</t>
  </si>
  <si>
    <t>Roadmap exists with owners, dates, and quarterly review.</t>
  </si>
  <si>
    <t>Provide roadmap snapshot and last review date.</t>
  </si>
  <si>
    <t>EXCO-D1-Q06-A5</t>
  </si>
  <si>
    <t>Roadmap is linked to risk appetite and measured outcomes; changes are controlled and documented.</t>
  </si>
  <si>
    <t>EXCO-D2-Q01-A0</t>
  </si>
  <si>
    <t>EXCO-D2-Q01-A1</t>
  </si>
  <si>
    <t>No—everything is treated roughly the same; we don’t have a clear list.</t>
  </si>
  <si>
    <t>EXCO-D2-Q01-A2</t>
  </si>
  <si>
    <t>Key people ‘just know’ what matters, but it is not written down or kept current.</t>
  </si>
  <si>
    <t>tribal_knowledge,shadow_signal</t>
  </si>
  <si>
    <t>EXCO-D2-Q01-A3</t>
  </si>
  <si>
    <t>A list exists for compliance reasons (e.g., regulated data) but misses business-critical information.</t>
  </si>
  <si>
    <t>EXCO-D2-Q01-A4</t>
  </si>
  <si>
    <t>We maintain an inventory of sensitive information/systems and review it at least annually.</t>
  </si>
  <si>
    <t>Provide inventory and last review date.</t>
  </si>
  <si>
    <t>EXCO-D2-Q01-A5</t>
  </si>
  <si>
    <t>Inventory is linked to business impact and access concentration; changes are tracked continuously.</t>
  </si>
  <si>
    <t>EXCO-D2-Q02-A1</t>
  </si>
  <si>
    <t>No—different leaders would give completely different answers.</t>
  </si>
  <si>
    <t>EXCO-D2-Q02-A2</t>
  </si>
  <si>
    <t>Yes—but answers would vary by department and are not aligned.</t>
  </si>
  <si>
    <t>EXCO-D2-Q02-A3</t>
  </si>
  <si>
    <t>Yes—there is broad agreement, but it’s not documented or mapped to systems.</t>
  </si>
  <si>
    <t>EXCO-D2-Q02-A4</t>
  </si>
  <si>
    <t>Yes—and we can point to where this information typically sits (key systems and repositories).</t>
  </si>
  <si>
    <t>EXCO-D2-Q03-A0</t>
  </si>
  <si>
    <t>EXCO-D2-Q03-A1</t>
  </si>
  <si>
    <t>No—we cannot easily see who has the ‘keys to the kingdom’.</t>
  </si>
  <si>
    <t>EXCO-D2-Q03-A2</t>
  </si>
  <si>
    <t>Managers know informally who the ‘key holders’ are, but there is no report or review.</t>
  </si>
  <si>
    <t>EXCO-D2-Q03-A3</t>
  </si>
  <si>
    <t>We can identify privileged roles in IT, but not high-access roles in the business.</t>
  </si>
  <si>
    <t>EXCO-D2-Q03-A4</t>
  </si>
  <si>
    <t>We regularly review high-access roles across IT and business functions.</t>
  </si>
  <si>
    <t>Provide latest high-access roles review output.</t>
  </si>
  <si>
    <t>EXCO-D2-Q03-A5</t>
  </si>
  <si>
    <t>High-access roles are continuously monitored with defined thresholds and exceptions tracked.</t>
  </si>
  <si>
    <t>EXCO-D2-Q04-A0</t>
  </si>
  <si>
    <t>EXCO-D2-Q04-A1</t>
  </si>
  <si>
    <t>No—we don’t have scenario thinking for insider events.</t>
  </si>
  <si>
    <t>EXCO-D2-Q04-A2</t>
  </si>
  <si>
    <t>People discuss ‘what-if’ risks informally, but nothing is documented or tested.</t>
  </si>
  <si>
    <t>EXCO-D2-Q04-A3</t>
  </si>
  <si>
    <t>We have a documented scenario list, but it hasn’t influenced controls or been exercised.</t>
  </si>
  <si>
    <t>EXCO-D2-Q04-A4</t>
  </si>
  <si>
    <t>We have scenarios and we test at least one per year (tabletop or technical test).</t>
  </si>
  <si>
    <t>Provide scenario list + last exercise summary.</t>
  </si>
  <si>
    <t>EXCO-D2-Q04-A5</t>
  </si>
  <si>
    <t>Scenarios drive control improvements and detection engineering; tests are scheduled and lessons tracked.</t>
  </si>
  <si>
    <t>EXCO-D2-Q05-A1</t>
  </si>
  <si>
    <t>No—there is no shared view; it would be decided during the incident.</t>
  </si>
  <si>
    <t>EXCO-D2-Q05-A2</t>
  </si>
  <si>
    <t>Some leaders have a view, but it’s not shared or consistent across the business.</t>
  </si>
  <si>
    <t>EXCO-D2-Q05-A3</t>
  </si>
  <si>
    <t>Yes—there is broad alignment, but we haven’t translated it into playbooks or tests.</t>
  </si>
  <si>
    <t>EXCO-D2-Q06-A0</t>
  </si>
  <si>
    <t>EXCO-D2-Q06-A1</t>
  </si>
  <si>
    <t>We don’t adjust; we treat change events the same as normal operations.</t>
  </si>
  <si>
    <t>EXCO-D2-Q06-A2</t>
  </si>
  <si>
    <t>Adjustments are manual and slow (weeks+), and depend on individuals noticing issues.</t>
  </si>
  <si>
    <t>control_lag_high,key_person_dependency</t>
  </si>
  <si>
    <t>EXCO-D2-Q06-A3</t>
  </si>
  <si>
    <t>We have a defined approach, but it is not consistently applied or measured.</t>
  </si>
  <si>
    <t>EXCO-D2-Q06-A4</t>
  </si>
  <si>
    <t>We adjust within days with clear triggers (e.g., leavers, role changes, sensitive projects).</t>
  </si>
  <si>
    <t>Provide example of last change event and what changed.</t>
  </si>
  <si>
    <t>EXCO-D2-Q06-A5</t>
  </si>
  <si>
    <t>We have automated or semi-automated playbooks and measure control lag; improvements are tracked.</t>
  </si>
  <si>
    <t>EXCO-D2-Q07-A1</t>
  </si>
  <si>
    <t>No—we didn’t change anything specific.</t>
  </si>
  <si>
    <t>EXCO-D2-Q07-A2</t>
  </si>
  <si>
    <t>We tried, but changes were late or inconsistent.</t>
  </si>
  <si>
    <t>EXCO-D2-Q07-A3</t>
  </si>
  <si>
    <t>Yes—we made some targeted changes, but we didn’t track timing or impact.</t>
  </si>
  <si>
    <t>EXCO-D2-Q07-A4</t>
  </si>
  <si>
    <t>Yes—we can show what changed and when (e.g., within X days) and who approved it.</t>
  </si>
  <si>
    <t>Provide example change log or approvals.</t>
  </si>
  <si>
    <t>EXCO-D2-Q08-A0</t>
  </si>
  <si>
    <t>EXCO-D2-Q08-A1</t>
  </si>
  <si>
    <t>No—third parties are treated differently; controls focus on employees only.</t>
  </si>
  <si>
    <t>EXCO-D2-Q08-A2</t>
  </si>
  <si>
    <t>Contracts say ‘follow security’, but we don’t verify it in practice.</t>
  </si>
  <si>
    <t>EXCO-D2-Q08-A3</t>
  </si>
  <si>
    <t>We apply some controls (e.g., account expiry), but monitoring and offboarding is inconsistent.</t>
  </si>
  <si>
    <t>EXCO-D2-Q08-A4</t>
  </si>
  <si>
    <t>Third parties are included similarly to employees for access and offboarding; exceptions are tracked.</t>
  </si>
  <si>
    <t>EXCO-D2-Q08-A5</t>
  </si>
  <si>
    <t>Third-party access is risk-scored and monitored; onboarding/offboarding is automated with auditing.</t>
  </si>
  <si>
    <t>EXCO-D3-Q01-A0</t>
  </si>
  <si>
    <t>EXCO-D3-Q01-A1</t>
  </si>
  <si>
    <t>No—monitoring is driven by what tools can do; approvals are unclear.</t>
  </si>
  <si>
    <t>EXCO-D3-Q01-A2</t>
  </si>
  <si>
    <t>Some informal approvals exist (verbal / ad-hoc), but not documented.</t>
  </si>
  <si>
    <t>legal_red_flag,shadow_signal</t>
  </si>
  <si>
    <t>EXCO-D3-Q01-A3</t>
  </si>
  <si>
    <t>Policy exists, but it’s generic and not aligned to how monitoring works in practice.</t>
  </si>
  <si>
    <t>EXCO-D3-Q01-A4</t>
  </si>
  <si>
    <t>Approved framework exists; monitoring is risk-based and approvals/oversight are defined.</t>
  </si>
  <si>
    <t>Provide monitoring policy/DPIA/LIA summary and access controls.</t>
  </si>
  <si>
    <t>EXCO-D3-Q01-A5</t>
  </si>
  <si>
    <t>Framework is co-designed with Legal/Privacy and relevant employee representation; audited periodically.</t>
  </si>
  <si>
    <t>EXCO-D3-Q02-A1</t>
  </si>
  <si>
    <t>No—monitoring is treated as secret; ‘the less they know the better’.</t>
  </si>
  <si>
    <t>toxic_enforcer_signal,legal_red_flag</t>
  </si>
  <si>
    <t>EXCO-D3-Q02-A2</t>
  </si>
  <si>
    <t>Only managers warn people informally; there is no consistent communication.</t>
  </si>
  <si>
    <t>EXCO-D3-Q02-A3</t>
  </si>
  <si>
    <t>There is some communication (e.g., acceptable use), but it’s hard to understand or easy to miss.</t>
  </si>
  <si>
    <t>EXCO-D3-Q02-A4</t>
  </si>
  <si>
    <t>Yes—there is clear communication and training explaining monitoring and privacy safeguards.</t>
  </si>
  <si>
    <t>EXCO-D3-Q03-A1</t>
  </si>
  <si>
    <t>Only buried in contracts/policies; most people wouldn’t know the details.</t>
  </si>
  <si>
    <t>EXCO-D3-Q03-A2</t>
  </si>
  <si>
    <t>Basic acceptable-use statement exists, but does not explain monitoring scope or safeguards.</t>
  </si>
  <si>
    <t>EXCO-D3-Q03-A3</t>
  </si>
  <si>
    <t>Clear guidance exists and is communicated to staff at least annually.</t>
  </si>
  <si>
    <t>EXCO-D3-Q03-A4</t>
  </si>
  <si>
    <t>Full transparency with clear safeguards, escalation paths, and periodic review with stakeholders.</t>
  </si>
  <si>
    <t>EXCO-D3-Q04-A0</t>
  </si>
  <si>
    <t>Not applicable / we don’t have employee representation in relevant jurisdictions.</t>
  </si>
  <si>
    <t>n_a,not_applicable</t>
  </si>
  <si>
    <t>EXCO-D3-Q04-A1</t>
  </si>
  <si>
    <t>We avoid engagement; decisions are made unilaterally.</t>
  </si>
  <si>
    <t>EXCO-D3-Q04-A2</t>
  </si>
  <si>
    <t>Engagement happens late (after decisions), mainly to ‘inform’.</t>
  </si>
  <si>
    <t>EXCO-D3-Q04-A3</t>
  </si>
  <si>
    <t>Engagement is planned and happens before major monitoring changes.</t>
  </si>
  <si>
    <t>EXCO-D3-Q04-A4</t>
  </si>
  <si>
    <t>Monitoring design is co-developed; decisions and safeguards are documented and reviewed.</t>
  </si>
  <si>
    <t>EXCO-D3-Q05-A0</t>
  </si>
  <si>
    <t>EXCO-D3-Q05-A1</t>
  </si>
  <si>
    <t>Weak—people take screenshots or export logs with little documentation.</t>
  </si>
  <si>
    <t>EXCO-D3-Q05-A2</t>
  </si>
  <si>
    <t>Ad-hoc—IT can pull logs, but process is inconsistent and not audited.</t>
  </si>
  <si>
    <t>EXCO-D3-Q05-A3</t>
  </si>
  <si>
    <t>Documented chain-of-custody exists, but it’s not consistently used.</t>
  </si>
  <si>
    <t>EXCO-D3-Q05-A4</t>
  </si>
  <si>
    <t>Evidence handling is standardised and used for every case; access and retention are controlled.</t>
  </si>
  <si>
    <t>EXCO-D3-Q05-A5</t>
  </si>
  <si>
    <t>Tamper-evident logs and regular independent checks/audits of the evidence process.</t>
  </si>
  <si>
    <t>EXCO-D3-Q06-A0</t>
  </si>
  <si>
    <t>EXCO-D3-Q06-A1</t>
  </si>
  <si>
    <t>No—storage locations and retention are not tracked or controlled.</t>
  </si>
  <si>
    <t>EXCO-D3-Q06-A2</t>
  </si>
  <si>
    <t>Policy says ‘keep it local/limited’, but the technical reality varies by tool/region.</t>
  </si>
  <si>
    <t>EXCO-D3-Q06-A3</t>
  </si>
  <si>
    <t>We have defined retention and know primary storage regions, but auditing is limited.</t>
  </si>
  <si>
    <t>EXCO-D3-Q06-A4</t>
  </si>
  <si>
    <t>Retention, access, and storage locations are controlled and reviewed; exceptions are approved.</t>
  </si>
  <si>
    <t>EXCO-D3-Q06-A5</t>
  </si>
  <si>
    <t>Automated controls (geo-fencing/region controls) with audits and reporting.</t>
  </si>
  <si>
    <t>EXCO-D4-Q01-A0</t>
  </si>
  <si>
    <t>EXCO-D4-Q01-A1</t>
  </si>
  <si>
    <t>Unsafe—people fear retaliation or being labelled a troublemaker.</t>
  </si>
  <si>
    <t>culture_risk,toxic_enforcer_signal</t>
  </si>
  <si>
    <t>EXCO-D4-Q01-A2</t>
  </si>
  <si>
    <t>Some people report issues informally to trusted managers; outcomes depend on who you are.</t>
  </si>
  <si>
    <t>EXCO-D4-Q01-A3</t>
  </si>
  <si>
    <t>We have formal channels (hotline/HR), but people don’t trust them or rarely use them.</t>
  </si>
  <si>
    <t>EXCO-D4-Q01-A4</t>
  </si>
  <si>
    <t>People generally trust reporting channels; retaliation is actively prevented and investigated.</t>
  </si>
  <si>
    <t>Provide policy/metrics: number of reports, time to respond, retaliation cases.</t>
  </si>
  <si>
    <t>EXCO-D4-Q01-A5</t>
  </si>
  <si>
    <t>Speak-up is normalised; feedback loops exist and positive reporting is recognised.</t>
  </si>
  <si>
    <t>EXCO-D4-Q02-A1</t>
  </si>
  <si>
    <t>No—security decisions are final; there is no independent review.</t>
  </si>
  <si>
    <t>EXCO-D4-Q02-A2</t>
  </si>
  <si>
    <t>Only informal complaints to managers; outcomes vary.</t>
  </si>
  <si>
    <t>EXCO-D4-Q02-A3</t>
  </si>
  <si>
    <t>There is a general HR grievance route, but it’s not designed for monitoring/investigation fairness.</t>
  </si>
  <si>
    <t>EXCO-D4-Q02-A4</t>
  </si>
  <si>
    <t>Independent review exists (privacy/ombuds); outcomes are documented.</t>
  </si>
  <si>
    <t>EXCO-D4-Q02-A5</t>
  </si>
  <si>
    <t>Transparent multi-department appeal with audit trail and periodic review.</t>
  </si>
  <si>
    <t>EXCO-D4-Q03-A0</t>
  </si>
  <si>
    <t>EXCO-D4-Q03-A1</t>
  </si>
  <si>
    <t>There is no structured approach; issues are dealt with only after a serious event.</t>
  </si>
  <si>
    <t>EXCO-D4-Q03-A2</t>
  </si>
  <si>
    <t>Depends on the manager; some intervene well, others avoid it.</t>
  </si>
  <si>
    <t>EXCO-D4-Q03-A3</t>
  </si>
  <si>
    <t>HR provides guidance, but it’s not connected to insider risk or security concerns.</t>
  </si>
  <si>
    <t>EXCO-D4-Q03-A4</t>
  </si>
  <si>
    <t>Managers have clear guidance, escalation paths and support; interventions are tracked.</t>
  </si>
  <si>
    <t>EXCO-D4-Q03-A5</t>
  </si>
  <si>
    <t>Manager capability is measured; early interventions reduce repeat incidents; learning loops exist.</t>
  </si>
  <si>
    <t>EXCO-D4-Q04-A0</t>
  </si>
  <si>
    <t>EXCO-D4-Q04-A1</t>
  </si>
  <si>
    <t>We mainly focus on catching and punishing bad behaviour.</t>
  </si>
  <si>
    <t>EXCO-D4-Q04-A2</t>
  </si>
  <si>
    <t>Managers sometimes thank people informally, but nothing systematic exists.</t>
  </si>
  <si>
    <t>EXCO-D4-Q04-A3</t>
  </si>
  <si>
    <t>We do generic awareness communications, but behaviour change isn’t measured.</t>
  </si>
  <si>
    <t>EXCO-D4-Q04-A4</t>
  </si>
  <si>
    <t>We recognise good reporting and measure participation/engagement.</t>
  </si>
  <si>
    <t>EXCO-D4-Q04-A5</t>
  </si>
  <si>
    <t>We run behavioural programs (nudges, simplification, incentives) with measurable outcomes.</t>
  </si>
  <si>
    <t>EXCO-D5-Q01-A0</t>
  </si>
  <si>
    <t>EXCO-D5-Q01-A1</t>
  </si>
  <si>
    <t>High friction—controls frequently block normal work; people regularly use workarounds.</t>
  </si>
  <si>
    <t>EXCO-D5-Q01-A2</t>
  </si>
  <si>
    <t>Moderate friction—workarounds happen in some teams or processes.</t>
  </si>
  <si>
    <t>EXCO-D5-Q01-A3</t>
  </si>
  <si>
    <t>We think it’s fine, but we don’t measure exceptions, bypasses, or complaints.</t>
  </si>
  <si>
    <t>EXCO-D5-Q01-A4</t>
  </si>
  <si>
    <t>Friction is monitored (exceptions, tickets, false positives) and we improve controls regularly.</t>
  </si>
  <si>
    <t>EXCO-D5-Q01-A5</t>
  </si>
  <si>
    <t>Controls are designed for usability; bypass signals are low and measured; improvements are continuous.</t>
  </si>
  <si>
    <t>EXCO-D5-Q02-A1</t>
  </si>
  <si>
    <t>No—we only find out after incidents or audits.</t>
  </si>
  <si>
    <t>bypass_pressure,visibility_gap</t>
  </si>
  <si>
    <t>EXCO-D5-Q02-A2</t>
  </si>
  <si>
    <t>We hear about it informally, but we don’t have a structured view of causes.</t>
  </si>
  <si>
    <t>EXCO-D5-Q02-A3</t>
  </si>
  <si>
    <t>We track some signals (tickets, audits), but visibility is incomplete.</t>
  </si>
  <si>
    <t>EXCO-D5-Q02-A4</t>
  </si>
  <si>
    <t>Yes—we track workarounds and address root causes (usability, process speed, missing tools).</t>
  </si>
  <si>
    <t>EXCO-D5-Q03-A0</t>
  </si>
  <si>
    <t>EXCO-D5-Q03-A1</t>
  </si>
  <si>
    <t>No—shadow IT is blocked/punished, but alternatives are not provided.</t>
  </si>
  <si>
    <t>toxic_enforcer_signal,bypass_pressure</t>
  </si>
  <si>
    <t>EXCO-D5-Q03-A2</t>
  </si>
  <si>
    <t>Sometimes—depends on the team; approvals are slow.</t>
  </si>
  <si>
    <t>EXCO-D5-Q03-A3</t>
  </si>
  <si>
    <t>We have a process, but it’s not measured (time-to-approve, adoption).</t>
  </si>
  <si>
    <t>EXCO-D5-Q03-A4</t>
  </si>
  <si>
    <t>Yes—there is a fast review and rollout process; adoption is tracked.</t>
  </si>
  <si>
    <t>EXCO-D5-Q03-A5</t>
  </si>
  <si>
    <t>Yes—secure alternatives are delivered quickly (days), with continuous feedback and improvement.</t>
  </si>
  <si>
    <t>EXCO-D6-Q01-A0</t>
  </si>
  <si>
    <t>EXCO-D6-Q01-A1</t>
  </si>
  <si>
    <t>Reactive—mostly investigated after a serious incident or tip-off.</t>
  </si>
  <si>
    <t>EXCO-D6-Q01-A2</t>
  </si>
  <si>
    <t>Ad-hoc—experienced individuals spot patterns, but it’s not systematic.</t>
  </si>
  <si>
    <t>EXCO-D6-Q01-A3</t>
  </si>
  <si>
    <t>Rule-based monitoring exists (thresholds), but quality (false positives/coverage) is not measured.</t>
  </si>
  <si>
    <t>EXCO-D6-Q01-A4</t>
  </si>
  <si>
    <t>Risk-based monitoring focuses on sensitive data/systems; detection quality is measured.</t>
  </si>
  <si>
    <t>EXCO-D6-Q01-A5</t>
  </si>
  <si>
    <t>Integrated detection combining multiple signals with continuous tuning and independent quality checks.</t>
  </si>
  <si>
    <t>EXCO-D6-Q02-A1</t>
  </si>
  <si>
    <t>No—escalations are inconsistent or avoided.</t>
  </si>
  <si>
    <t>EXCO-D6-Q02-A2</t>
  </si>
  <si>
    <t>Yes, but it depends on individuals and is not documented.</t>
  </si>
  <si>
    <t>EXCO-D6-Q02-A3</t>
  </si>
  <si>
    <t>Yes—there is a known path to escalate concerns and it is used consistently.</t>
  </si>
  <si>
    <t>Provide example of a recent escalation path (anonymised).</t>
  </si>
  <si>
    <t>EXCO-D6-Q02-A4</t>
  </si>
  <si>
    <t>Yes—and escalations are tracked with outcomes (time-to-triage, closure quality).</t>
  </si>
  <si>
    <t>EXCO-D6-Q03-A0</t>
  </si>
  <si>
    <t>EXCO-D6-Q03-A1</t>
  </si>
  <si>
    <t>No—HR and Security share information informally when they think it’s needed.</t>
  </si>
  <si>
    <t>EXCO-D6-Q03-A2</t>
  </si>
  <si>
    <t>Some sharing exists via spreadsheets/emails, but approvals and safeguards are unclear.</t>
  </si>
  <si>
    <t>EXCO-D6-Q03-A3</t>
  </si>
  <si>
    <t>Governance exists, but practice varies by region or manager.</t>
  </si>
  <si>
    <t>EXCO-D6-Q03-A4</t>
  </si>
  <si>
    <t>Clear governance exists with approvals, minimisation, retention, and audit trails.</t>
  </si>
  <si>
    <t>EXCO-D6-Q03-A5</t>
  </si>
  <si>
    <t>Governance is mature and audited; role-based access and transparency safeguards are strong.</t>
  </si>
  <si>
    <t>EXCO-D7-Q01-A0</t>
  </si>
  <si>
    <t>EXCO-D7-Q01-A1</t>
  </si>
  <si>
    <t>Siloed—teams act separately and information sharing is difficult.</t>
  </si>
  <si>
    <t>EXCO-D7-Q01-A2</t>
  </si>
  <si>
    <t>Ad-hoc—teams coordinate through email/chat when needed.</t>
  </si>
  <si>
    <t>EXCO-D7-Q01-A3</t>
  </si>
  <si>
    <t>A process exists, but it’s generic (not tailored for insider cases) or inconsistently used.</t>
  </si>
  <si>
    <t>EXCO-D7-Q01-A4</t>
  </si>
  <si>
    <t>Predefined cross-functional taskforce exists with clear roles and decision points.</t>
  </si>
  <si>
    <t>EXCO-D7-Q01-A5</t>
  </si>
  <si>
    <t>Unified case management with metrics, quality checks, and documented learning loops.</t>
  </si>
  <si>
    <t>EXCO-D7-Q02-A1</t>
  </si>
  <si>
    <t>No—coordination is slow and unclear; decisions get stuck.</t>
  </si>
  <si>
    <t>EXCO-D7-Q02-A2</t>
  </si>
  <si>
    <t>Sometimes—depends on personal relationships; outcomes vary.</t>
  </si>
  <si>
    <t>EXCO-D7-Q02-A3</t>
  </si>
  <si>
    <t>Yes—there is an understood way of working, even if not documented.</t>
  </si>
  <si>
    <t>EXCO-D7-Q02-A4</t>
  </si>
  <si>
    <t>Yes—and we can point to recent examples and decision logs.</t>
  </si>
  <si>
    <t>EXCO-D7-Q03-A0</t>
  </si>
  <si>
    <t>EXCO-D7-Q03-A1</t>
  </si>
  <si>
    <t>No—we haven’t practised insider scenarios.</t>
  </si>
  <si>
    <t>EXCO-D7-Q03-A2</t>
  </si>
  <si>
    <t>We’ve done a one-off exercise, but it didn’t lead to tracked improvements.</t>
  </si>
  <si>
    <t>EXCO-D7-Q03-A3</t>
  </si>
  <si>
    <t>We practise occasionally and track actions, but completion is inconsistent.</t>
  </si>
  <si>
    <t>EXCO-D7-Q03-A4</t>
  </si>
  <si>
    <t>We practise at least annually and close out improvements with owners/dates.</t>
  </si>
  <si>
    <t>EXCO-D7-Q03-A5</t>
  </si>
  <si>
    <t>Exercises are scheduled; improvement completion is measured; results feed into roadmap.</t>
  </si>
  <si>
    <t>EXCO-D7-Q04-A0</t>
  </si>
  <si>
    <t>EXCO-D7-Q04-A1</t>
  </si>
  <si>
    <t>No—we decide during a crisis.</t>
  </si>
  <si>
    <t>EXCO-D7-Q04-A2</t>
  </si>
  <si>
    <t>We have informal contacts, but no defined criteria or approvals.</t>
  </si>
  <si>
    <t>EXCO-D7-Q04-A3</t>
  </si>
  <si>
    <t>A policy exists, but it is generic and not practised.</t>
  </si>
  <si>
    <t>EXCO-D7-Q04-A4</t>
  </si>
  <si>
    <t>Criteria and approvals are defined; communications roles are clear.</t>
  </si>
  <si>
    <t>EXCO-D7-Q04-A5</t>
  </si>
  <si>
    <t>Plan is integrated with crisis management; practised and improved regularly.</t>
  </si>
  <si>
    <t>EXCO-D7-Q05-A0</t>
  </si>
  <si>
    <t>EXCO-D7-Q05-A1</t>
  </si>
  <si>
    <t>No—focus is only on technical fix and PR; trust is not addressed.</t>
  </si>
  <si>
    <t>EXCO-D7-Q05-A2</t>
  </si>
  <si>
    <t>Managers try to handle it informally, but there is no structured support.</t>
  </si>
  <si>
    <t>EXCO-D7-Q05-A3</t>
  </si>
  <si>
    <t>We have some steps (comms, HR support), but it isn’t documented or measured.</t>
  </si>
  <si>
    <t>EXCO-D7-Q05-A4</t>
  </si>
  <si>
    <t>We have a documented trust restoration approach and apply it after incidents.</t>
  </si>
  <si>
    <t>EXCO-D7-Q05-A5</t>
  </si>
  <si>
    <t>We measure trust recovery (surveys, attrition, grievances) and improve controls accordingly.</t>
  </si>
  <si>
    <t>EXCO-D8-Q01-A0</t>
  </si>
  <si>
    <t>EXCO-D8-Q01-A1</t>
  </si>
  <si>
    <t>It isn’t reported unless there is a crisis.</t>
  </si>
  <si>
    <t>EXCO-D8-Q01-A2</t>
  </si>
  <si>
    <t>Reporting focuses on vanity numbers (e.g., number of alerts) without business meaning.</t>
  </si>
  <si>
    <t>EXCO-D8-Q01-A3</t>
  </si>
  <si>
    <t>Reporting focuses on compliance (‘we have policies’), not operational reality.</t>
  </si>
  <si>
    <t>EXCO-D8-Q01-A4</t>
  </si>
  <si>
    <t>We report useful operational KPIs at least quarterly and decisions/actions follow.</t>
  </si>
  <si>
    <t>EXCO-D8-Q01-A5</t>
  </si>
  <si>
    <t>Real-time or frequent dashboards tied to risk appetite; actions are tracked and outcomes measured.</t>
  </si>
  <si>
    <t>EXCO-D8-Q02-A1</t>
  </si>
  <si>
    <t>No—near misses are not captured or discussed.</t>
  </si>
  <si>
    <t>EXCO-D8-Q02-A2</t>
  </si>
  <si>
    <t>Sometimes informally, but we don’t track patterns or improvements.</t>
  </si>
  <si>
    <t>EXCO-D8-Q02-A3</t>
  </si>
  <si>
    <t>Yes—we review and document improvements, but completion is inconsistent.</t>
  </si>
  <si>
    <t>EXCO-D8-Q02-A4</t>
  </si>
  <si>
    <t>Yes—near misses feed into roadmap and are reported periodically.</t>
  </si>
  <si>
    <t>EXCO-D8-Q03-A0</t>
  </si>
  <si>
    <t>EXCO-D8-Q03-A1</t>
  </si>
  <si>
    <t>Never—only after serious incidents.</t>
  </si>
  <si>
    <t>EXCO-D8-Q03-A2</t>
  </si>
  <si>
    <t>Occasional/on request (e.g., every few years).</t>
  </si>
  <si>
    <t>EXCO-D8-Q03-A3</t>
  </si>
  <si>
    <t>Annual ‘tick-box’ review with limited follow-up.</t>
  </si>
  <si>
    <t>EXCO-D8-Q03-A4</t>
  </si>
  <si>
    <t>At least quarterly with tracked actions.</t>
  </si>
  <si>
    <t>EXCO-D8-Q03-A5</t>
  </si>
  <si>
    <t>Frequent review tied to risk appetite; actions and outcomes are continuously monitored.</t>
  </si>
  <si>
    <t>EXCO-D8-Q04-A0</t>
  </si>
  <si>
    <t>EXCO-D8-Q04-A1</t>
  </si>
  <si>
    <t>No—there is no independent review.</t>
  </si>
  <si>
    <t>EXCO-D8-Q04-A2</t>
  </si>
  <si>
    <t>Ad-hoc reviews happen after incidents only.</t>
  </si>
  <si>
    <t>EXCO-D8-Q04-A3</t>
  </si>
  <si>
    <t>Internal audit reviews exist but focus mainly on policy compliance.</t>
  </si>
  <si>
    <t>EXCO-D8-Q04-A4</t>
  </si>
  <si>
    <t>Independent review confirms operational reality (sampling of cases/logs/process usage).</t>
  </si>
  <si>
    <t>EXCO-D8-Q04-A5</t>
  </si>
  <si>
    <t>Regular independent assurance with sampling and remediation tracking; results inform investment.</t>
  </si>
  <si>
    <t>HR-D1-Q01-A0</t>
  </si>
  <si>
    <t>I don't know / Not sure.</t>
  </si>
  <si>
    <t>Clarify roles</t>
  </si>
  <si>
    <t>HR-D1-Q01-A1</t>
  </si>
  <si>
    <t>None: HR treats these as 'IT problems' unless there is a major incident.</t>
  </si>
  <si>
    <t>Define operating model</t>
  </si>
  <si>
    <t>HR-D1-Q01-A2</t>
  </si>
  <si>
    <t>Ad-hoc: HR coordinates only when Security/Legal asks (case-by-case).</t>
  </si>
  <si>
    <t>Define coordination cadence</t>
  </si>
  <si>
    <t>Example: last case HR was involved in.</t>
  </si>
  <si>
    <t>HR-D1-Q01-A3</t>
  </si>
  <si>
    <t>Defined: HR has a named contact and standard steps to coordinate with Security/Legal.</t>
  </si>
  <si>
    <t>Standardize workflow</t>
  </si>
  <si>
    <t>Share the role name/title and a short process description.</t>
  </si>
  <si>
    <t>HR-D1-Q01-A4</t>
  </si>
  <si>
    <t>Managed: Regular cross-functional check-ins and agreed decision rights for people-risk cases.</t>
  </si>
  <si>
    <t>Formalize governance</t>
  </si>
  <si>
    <t>Evidence: meeting cadence, terms of reference.</t>
  </si>
  <si>
    <t>HR-D1-Q01-A5</t>
  </si>
  <si>
    <t>Optimized: Exec sponsor expects HR/Security/Legal collaboration with KPIs and routine reporting.</t>
  </si>
  <si>
    <t>Maintain governance</t>
  </si>
  <si>
    <t>Evidence: KPI pack, steering charter.</t>
  </si>
  <si>
    <t>HR-D1-Q02-A1</t>
  </si>
  <si>
    <t>No: HR and Security operate separately; coordination is slow or rare.</t>
  </si>
  <si>
    <t>Set coordination trigger</t>
  </si>
  <si>
    <t>HR-D1-Q02-A2</t>
  </si>
  <si>
    <t>Sometimes: depends on personal relationships; not consistent.</t>
  </si>
  <si>
    <t>key_person_dependency,shadow_mature_signal</t>
  </si>
  <si>
    <t>Create standard escalation path</t>
  </si>
  <si>
    <t>HR-D1-Q02-A3</t>
  </si>
  <si>
    <t>Usually: HR and Security have an agreed way to connect within days.</t>
  </si>
  <si>
    <t>Document escalation</t>
  </si>
  <si>
    <t>Example: typical response time.</t>
  </si>
  <si>
    <t>HR-D1-Q02-A4</t>
  </si>
  <si>
    <t>Yes: HR and Security coordinate within 24–48 hours for relevant concerns.</t>
  </si>
  <si>
    <t>Maintain and test workflow</t>
  </si>
  <si>
    <t>Evidence: redacted case timeline or process.</t>
  </si>
  <si>
    <t>HR-D1-Q03-A1</t>
  </si>
  <si>
    <t>No one: responsibilities are split and unclear.</t>
  </si>
  <si>
    <t>Assign accountable owner</t>
  </si>
  <si>
    <t>HR-D1-Q03-A2</t>
  </si>
  <si>
    <t>Informal: a senior HR person handles it when needed, but it’s not in their role/KPIs.</t>
  </si>
  <si>
    <t>Formalize accountability</t>
  </si>
  <si>
    <t>HR-D1-Q03-A3</t>
  </si>
  <si>
    <t>Named: a role is responsible, with documented remit.</t>
  </si>
  <si>
    <t>Define KPIs</t>
  </si>
  <si>
    <t>Evidence: role description or RACI.</t>
  </si>
  <si>
    <t>HR-D1-Q03-A4</t>
  </si>
  <si>
    <t>Named + empowered: role has decision rights and access to Legal/Security support.</t>
  </si>
  <si>
    <t>Maintain operating model</t>
  </si>
  <si>
    <t>Evidence: RACI + escalation path.</t>
  </si>
  <si>
    <t>HR-D1-Q03-A5</t>
  </si>
  <si>
    <t>Governed: accountability embedded in HR KPIs and reviewed with exec sponsor.</t>
  </si>
  <si>
    <t>Maintain governance cadence</t>
  </si>
  <si>
    <t>Evidence: KPI pack / steering minutes.</t>
  </si>
  <si>
    <t>HR-D1-Q04-A1</t>
  </si>
  <si>
    <t>None: every case is handled differently.</t>
  </si>
  <si>
    <t>Create case workflow</t>
  </si>
  <si>
    <t>HR-D1-Q04-A2</t>
  </si>
  <si>
    <t>Ad-hoc: teams collaborate via email/chats; decisions are unclear.</t>
  </si>
  <si>
    <t>Define roles &amp; steps</t>
  </si>
  <si>
    <t>Example: last case workflow.</t>
  </si>
  <si>
    <t>HR-D1-Q04-A3</t>
  </si>
  <si>
    <t>Documented: workflow exists but not always followed.</t>
  </si>
  <si>
    <t>Improve adherence</t>
  </si>
  <si>
    <t>Evidence: workflow doc, training.</t>
  </si>
  <si>
    <t>HR-D1-Q04-A4</t>
  </si>
  <si>
    <t>Used: consistently followed with privacy/legal checkpoints.</t>
  </si>
  <si>
    <t>Maintain and audit workflow</t>
  </si>
  <si>
    <t>Evidence: redacted case checklist.</t>
  </si>
  <si>
    <t>HR-D1-Q04-A5</t>
  </si>
  <si>
    <t>Audited: tested/audited and improved after cases or exercises.</t>
  </si>
  <si>
    <t>Continue assurance</t>
  </si>
  <si>
    <t>Evidence: audit/exercise notes.</t>
  </si>
  <si>
    <t>HR-D2-Q05-A0</t>
  </si>
  <si>
    <t>Clarify channels</t>
  </si>
  <si>
    <t>HR-D2-Q05-A1</t>
  </si>
  <si>
    <t>No: people mostly stay silent or only talk informally.</t>
  </si>
  <si>
    <t>Design protected reporting</t>
  </si>
  <si>
    <t>HR-D2-Q05-A2</t>
  </si>
  <si>
    <t>Basic: a channel exists, but people fear consequences or don't trust it.</t>
  </si>
  <si>
    <t>Improve trust &amp; protections</t>
  </si>
  <si>
    <t>Evidence: channel description, communications.</t>
  </si>
  <si>
    <t>HR-D2-Q05-A3</t>
  </si>
  <si>
    <t>Defined: multiple channels exist and non-retaliation is communicated, but quality varies.</t>
  </si>
  <si>
    <t>Strengthen triage &amp; feedback</t>
  </si>
  <si>
    <t>Evidence: policy + comms.</t>
  </si>
  <si>
    <t>HR-D2-Q05-A4</t>
  </si>
  <si>
    <t>Trusted: channels are used; confidentiality respected; retaliation investigated.</t>
  </si>
  <si>
    <t>Maintain and measure trust</t>
  </si>
  <si>
    <t>Evidence: anonymized metrics on reports/retaliation.</t>
  </si>
  <si>
    <t>HR-D2-Q05-A5</t>
  </si>
  <si>
    <t>High trust: people report early; outcomes drive improvements; trust is measured.</t>
  </si>
  <si>
    <t>Maintain maturity</t>
  </si>
  <si>
    <t>Evidence: trends + action plans.</t>
  </si>
  <si>
    <t>HR-D2-Q06-A1</t>
  </si>
  <si>
    <t>They usually aren’t raised; people avoid speaking up.</t>
  </si>
  <si>
    <t>Implement channels</t>
  </si>
  <si>
    <t>HR-D2-Q06-A2</t>
  </si>
  <si>
    <t>Only to a trusted manager/HR contact; depends on relationships.</t>
  </si>
  <si>
    <t>Create consistent process</t>
  </si>
  <si>
    <t>HR-D2-Q06-A3</t>
  </si>
  <si>
    <t>Sometimes reported, but follow-up is inconsistent and not documented.</t>
  </si>
  <si>
    <t>Standardize triage</t>
  </si>
  <si>
    <t>HR-D2-Q06-A4</t>
  </si>
  <si>
    <t>Raised and acted on quickly even if informal; patterns discussed.</t>
  </si>
  <si>
    <t>Formalize without harming trust</t>
  </si>
  <si>
    <t>Example: concerns per quarter.</t>
  </si>
  <si>
    <t>HR-D2-Q07-A1</t>
  </si>
  <si>
    <t>No explicit protection; handled like any other conflict.</t>
  </si>
  <si>
    <t>legal_exposure,culture_risk</t>
  </si>
  <si>
    <t>Define non-retaliation policy</t>
  </si>
  <si>
    <t>HR-D2-Q07-A2</t>
  </si>
  <si>
    <t>Policy exists but not well-known; enforcement inconsistent.</t>
  </si>
  <si>
    <t>Improve training &amp; enforcement</t>
  </si>
  <si>
    <t>Evidence: policy and comms.</t>
  </si>
  <si>
    <t>HR-D2-Q07-A3</t>
  </si>
  <si>
    <t>Managers trained; retaliation checks part of investigations.</t>
  </si>
  <si>
    <t>Improve monitoring &amp; metrics</t>
  </si>
  <si>
    <t>Evidence: training completion.</t>
  </si>
  <si>
    <t>HR-D2-Q07-A4</t>
  </si>
  <si>
    <t>Active monitoring: retaliation claims tracked and escalated; outcomes documented.</t>
  </si>
  <si>
    <t>Maintain assurance</t>
  </si>
  <si>
    <t>Evidence: anonymized retaliation metrics.</t>
  </si>
  <si>
    <t>HR-D2-Q07-A5</t>
  </si>
  <si>
    <t>Independent oversight reviews retaliation handling.</t>
  </si>
  <si>
    <t>Maintain oversight</t>
  </si>
  <si>
    <t>Evidence: oversight process.</t>
  </si>
  <si>
    <t>HR-D2-Q08-A1</t>
  </si>
  <si>
    <t>Unclear: reporters often hear nothing back.</t>
  </si>
  <si>
    <t>Define SLAs and tracking</t>
  </si>
  <si>
    <t>HR-D2-Q08-A2</t>
  </si>
  <si>
    <t>Slow: depends on workload; no tracking.</t>
  </si>
  <si>
    <t>Introduce case tracking</t>
  </si>
  <si>
    <t>HR-D2-Q08-A3</t>
  </si>
  <si>
    <t>Basic: acknowledgement within ~1–2 weeks; tracking not consistent.</t>
  </si>
  <si>
    <t>Improve SLAs</t>
  </si>
  <si>
    <t>Evidence: redacted timestamps.</t>
  </si>
  <si>
    <t>HR-D2-Q08-A4</t>
  </si>
  <si>
    <t>Managed: acknowledgement within 2–3 days; triage within a week; documented routing.</t>
  </si>
  <si>
    <t>Maintain and monitor</t>
  </si>
  <si>
    <t>Evidence: workflow metrics.</t>
  </si>
  <si>
    <t>HR-D2-Q08-A5</t>
  </si>
  <si>
    <t>Optimized: SLAs monitored; backlog managed; appropriate status updates provided.</t>
  </si>
  <si>
    <t>Continuous improvement</t>
  </si>
  <si>
    <t>Evidence: anonymized KPI dashboard.</t>
  </si>
  <si>
    <t>HR-D3-Q09-A0</t>
  </si>
  <si>
    <t>Clarify manager support</t>
  </si>
  <si>
    <t>HR-D3-Q09-A1</t>
  </si>
  <si>
    <t>No: managers handle issues individually; escalation is rare or avoided.</t>
  </si>
  <si>
    <t>Design escalation pathways</t>
  </si>
  <si>
    <t>HR-D3-Q09-A2</t>
  </si>
  <si>
    <t>Ad-hoc: some escalate, others don’t; no shared guidance.</t>
  </si>
  <si>
    <t>Standardize guidance</t>
  </si>
  <si>
    <t>HR-D3-Q09-A3</t>
  </si>
  <si>
    <t>Defined: guidance exists but training is limited.</t>
  </si>
  <si>
    <t>Expand training</t>
  </si>
  <si>
    <t>Evidence: guidance doc.</t>
  </si>
  <si>
    <t>HR-D3-Q09-A4</t>
  </si>
  <si>
    <t>Trained: managers receive training and use a clear escalation path.</t>
  </si>
  <si>
    <t>Maintain training cadence</t>
  </si>
  <si>
    <t>HR-D3-Q09-A5</t>
  </si>
  <si>
    <t>Embedded: escalation expectations in manager KPIs; audited for consistency.</t>
  </si>
  <si>
    <t>Evidence: KPI or audit outputs.</t>
  </si>
  <si>
    <t>HR-D3-Q10-A1</t>
  </si>
  <si>
    <t>No: escalation unclear; handled locally or ignored.</t>
  </si>
  <si>
    <t>Define escalation route</t>
  </si>
  <si>
    <t>HR-D3-Q10-A2</t>
  </si>
  <si>
    <t>Sometimes: depends on networks; not documented.</t>
  </si>
  <si>
    <t>Document and socialize path</t>
  </si>
  <si>
    <t>HR-D3-Q10-A3</t>
  </si>
  <si>
    <t>Yes, usually: managers know contacts and escalate within a reasonable time.</t>
  </si>
  <si>
    <t>Formalize and measure</t>
  </si>
  <si>
    <t>Typical time to escalate.</t>
  </si>
  <si>
    <t>HR-D3-Q10-A4</t>
  </si>
  <si>
    <t>Yes, consistently: escalation is used and tracked (without over-monitoring).</t>
  </si>
  <si>
    <t>Maintain tracking</t>
  </si>
  <si>
    <t>Evidence: anonymized escalation metrics.</t>
  </si>
  <si>
    <t>HR-D3-Q11-A1</t>
  </si>
  <si>
    <t>No measurement; leadership relies on anecdotes.</t>
  </si>
  <si>
    <t>Introduce measurement</t>
  </si>
  <si>
    <t>HR-D3-Q11-A2</t>
  </si>
  <si>
    <t>Occasional survey; results not acted on.</t>
  </si>
  <si>
    <t>Create action plan cycle</t>
  </si>
  <si>
    <t>Evidence: last survey date.</t>
  </si>
  <si>
    <t>HR-D3-Q11-A3</t>
  </si>
  <si>
    <t>Regular survey; some actions taken; follow-through varies.</t>
  </si>
  <si>
    <t>Strengthen action tracking</t>
  </si>
  <si>
    <t>Evidence: action plan examples.</t>
  </si>
  <si>
    <t>HR-D3-Q11-A4</t>
  </si>
  <si>
    <t>Measured + managed: results drive actions and progress is communicated.</t>
  </si>
  <si>
    <t>Maintain cadence</t>
  </si>
  <si>
    <t>Evidence: action tracker.</t>
  </si>
  <si>
    <t>HR-D3-Q11-A5</t>
  </si>
  <si>
    <t>Optimized: metrics tied to leadership objectives and continuous improvement.</t>
  </si>
  <si>
    <t>Evidence: KPI trends.</t>
  </si>
  <si>
    <t>HR-D3-Q12-A1</t>
  </si>
  <si>
    <t>Punitive: only bad behavior highlighted; people avoid reporting.</t>
  </si>
  <si>
    <t>toxic_enforcer_signal,culture_risk</t>
  </si>
  <si>
    <t>Shift to positive reinforcement</t>
  </si>
  <si>
    <t>HR-D3-Q12-A2</t>
  </si>
  <si>
    <t>Informal thanks by managers; no consistent approach.</t>
  </si>
  <si>
    <t>Create lightweight recognition</t>
  </si>
  <si>
    <t>HR-D3-Q12-A3</t>
  </si>
  <si>
    <t>Campaigns exist but limited ongoing reinforcement.</t>
  </si>
  <si>
    <t>Build continuous reinforcement</t>
  </si>
  <si>
    <t>HR-D3-Q12-A4</t>
  </si>
  <si>
    <t>Formal recognition for reporting concerns/near-misses; lessons shared.</t>
  </si>
  <si>
    <t>Maintain and measure</t>
  </si>
  <si>
    <t>Evidence: comms examples.</t>
  </si>
  <si>
    <t>HR-D3-Q12-A5</t>
  </si>
  <si>
    <t>Mutual accountability; reporting is normal and psychologically safe.</t>
  </si>
  <si>
    <t>Evidence: survey + reporting trends.</t>
  </si>
  <si>
    <t>HR-D4-Q13-A0</t>
  </si>
  <si>
    <t>Clarify JML process</t>
  </si>
  <si>
    <t>HR-D4-Q13-A1</t>
  </si>
  <si>
    <t>Unreliable: access often stays too long or changes are missed.</t>
  </si>
  <si>
    <t>control_lag,bypass_pressure</t>
  </si>
  <si>
    <t>Stabilize JML</t>
  </si>
  <si>
    <t>HR-D4-Q13-A2</t>
  </si>
  <si>
    <t>Basic: HR notifies IT by email/spreadsheet; timeliness varies.</t>
  </si>
  <si>
    <t>Standardize and track</t>
  </si>
  <si>
    <t>HR-D4-Q13-A3</t>
  </si>
  <si>
    <t>Defined: standard forms/HRIS triggers; most changes processed within days.</t>
  </si>
  <si>
    <t>Evidence: process or SLA.</t>
  </si>
  <si>
    <t>HR-D4-Q13-A4</t>
  </si>
  <si>
    <t>Managed: SLAs monitored; leaver removal time-bound and audited.</t>
  </si>
  <si>
    <t>Evidence: audit sample.</t>
  </si>
  <si>
    <t>HR-D4-Q13-A5</t>
  </si>
  <si>
    <t>Optimized: near-real-time updates for critical roles; exceptions controlled.</t>
  </si>
  <si>
    <t>Evidence: timeliness metrics.</t>
  </si>
  <si>
    <t>HR-D4-Q14-A1</t>
  </si>
  <si>
    <t>Not reliable; depends on someone noticing.</t>
  </si>
  <si>
    <t>Implement leaver checklist</t>
  </si>
  <si>
    <t>HR-D4-Q14-A2</t>
  </si>
  <si>
    <t>Managers/HR call IT when they remember; timing varies widely.</t>
  </si>
  <si>
    <t>Create triggers and SLAs</t>
  </si>
  <si>
    <t>HR-D4-Q14-A3</t>
  </si>
  <si>
    <t>HR sends a daily/weekly leaver list; not always complete.</t>
  </si>
  <si>
    <t>Improve completeness</t>
  </si>
  <si>
    <t>Evidence: sample leaver list.</t>
  </si>
  <si>
    <t>HR-D4-Q14-A4</t>
  </si>
  <si>
    <t>Consistent same-day/next-day removal for most cases.</t>
  </si>
  <si>
    <t>Formalize and audit</t>
  </si>
  <si>
    <t>Evidence: ticket timestamps (redacted).</t>
  </si>
  <si>
    <t>HR-D4-Q15-A1</t>
  </si>
  <si>
    <t>No: all departures treated the same.</t>
  </si>
  <si>
    <t>Define risk-based leaver process</t>
  </si>
  <si>
    <t>HR-D4-Q15-A2</t>
  </si>
  <si>
    <t>Ad-hoc: extra checks sometimes happen; no criteria.</t>
  </si>
  <si>
    <t>Define criteria and approvals</t>
  </si>
  <si>
    <t>HR-D4-Q15-A3</t>
  </si>
  <si>
    <t>Criteria exist but execution inconsistent.</t>
  </si>
  <si>
    <t>Evidence: criteria list.</t>
  </si>
  <si>
    <t>HR-D4-Q15-A4</t>
  </si>
  <si>
    <t>Risk-based steps applied consistently and proportionately.</t>
  </si>
  <si>
    <t>Maintain and audit</t>
  </si>
  <si>
    <t>Evidence: checklist sample.</t>
  </si>
  <si>
    <t>HR-D4-Q15-A5</t>
  </si>
  <si>
    <t>Optimized: rapid access changes + comms + legal/privacy review when needed.</t>
  </si>
  <si>
    <t>Evidence: playbook.</t>
  </si>
  <si>
    <t>HR-D4-Q16-A1</t>
  </si>
  <si>
    <t>We don't address this explicitly.</t>
  </si>
  <si>
    <t>Add plain-language offboarding comms</t>
  </si>
  <si>
    <t>HR-D4-Q16-A2</t>
  </si>
  <si>
    <t>Buried in contracts/policies; no explicit conversation.</t>
  </si>
  <si>
    <t>Improve clarity and acknowledgment</t>
  </si>
  <si>
    <t>Evidence: clause reference.</t>
  </si>
  <si>
    <t>HR-D4-Q16-A3</t>
  </si>
  <si>
    <t>Exit reminder exists but not consistently documented.</t>
  </si>
  <si>
    <t>Standardize exit acknowledgment</t>
  </si>
  <si>
    <t>HR-D4-Q16-A4</t>
  </si>
  <si>
    <t>Exit checklist with acknowledgement and asset/data return steps.</t>
  </si>
  <si>
    <t>Maintain adherence</t>
  </si>
  <si>
    <t>Evidence: checklist template.</t>
  </si>
  <si>
    <t>HR-D4-Q16-A5</t>
  </si>
  <si>
    <t>Optimized: tailored reminders for high-risk roles + verified return/handover.</t>
  </si>
  <si>
    <t>Evidence: role-based checklist.</t>
  </si>
  <si>
    <t>HR-D5-Q17-A0</t>
  </si>
  <si>
    <t>Clarify bypass signals</t>
  </si>
  <si>
    <t>HR-D5-Q17-A1</t>
  </si>
  <si>
    <t>No process: workarounds happen and are 'normal'.</t>
  </si>
  <si>
    <t>Implement friction intake</t>
  </si>
  <si>
    <t>HR-D5-Q17-A2</t>
  </si>
  <si>
    <t>Ad-hoc: complaints handled case-by-case; root causes rarely fixed.</t>
  </si>
  <si>
    <t>Create backlog and owners</t>
  </si>
  <si>
    <t>HR-D5-Q17-A3</t>
  </si>
  <si>
    <t>Defined: a channel exists; some fixes prioritised.</t>
  </si>
  <si>
    <t>Strengthen prioritisation</t>
  </si>
  <si>
    <t>Evidence: tickets/backlog.</t>
  </si>
  <si>
    <t>HR-D5-Q17-A4</t>
  </si>
  <si>
    <t>Managed: friction metrics tracked; fixes reduce repeated workarounds.</t>
  </si>
  <si>
    <t>Maintain metrics</t>
  </si>
  <si>
    <t>Evidence: before/after examples.</t>
  </si>
  <si>
    <t>HR-D5-Q17-A5</t>
  </si>
  <si>
    <t>Optimized: low bypass pressure; usability designed in; exceptions rare/time-bound.</t>
  </si>
  <si>
    <t>Evidence: exception rates.</t>
  </si>
  <si>
    <t>HR-D5-Q18-A1</t>
  </si>
  <si>
    <t>No: bypass discovered only after incidents/audits.</t>
  </si>
  <si>
    <t>bypass_pressure,paper_dragon_signal</t>
  </si>
  <si>
    <t>Create feedback loop</t>
  </si>
  <si>
    <t>HR-D5-Q18-A2</t>
  </si>
  <si>
    <t>Sometimes: managers/HR hear about it; actions vary.</t>
  </si>
  <si>
    <t>Define triage and fixes</t>
  </si>
  <si>
    <t>HR-D5-Q18-A3</t>
  </si>
  <si>
    <t>Usually: signals collected and discussed; some fixes implemented.</t>
  </si>
  <si>
    <t>Formalize backlog</t>
  </si>
  <si>
    <t>HR-D5-Q18-A4</t>
  </si>
  <si>
    <t>Yes: consistent intake, root-cause analysis, and prioritised remediation.</t>
  </si>
  <si>
    <t>Evidence: RCA examples.</t>
  </si>
  <si>
    <t>HR-D5-Q19-A1</t>
  </si>
  <si>
    <t>No: exceptions are informal and not tracked.</t>
  </si>
  <si>
    <t>Introduce exception register</t>
  </si>
  <si>
    <t>HR-D5-Q19-A2</t>
  </si>
  <si>
    <t>Some tracking, but no expiry/review; exceptions accumulate.</t>
  </si>
  <si>
    <t>Add expiry and review cadence</t>
  </si>
  <si>
    <t>HR-D5-Q19-A3</t>
  </si>
  <si>
    <t>Register exists; most exceptions have owners/expiry, but reviews inconsistent.</t>
  </si>
  <si>
    <t>Improve governance cadence</t>
  </si>
  <si>
    <t>Evidence: register sample.</t>
  </si>
  <si>
    <t>HR-D5-Q19-A4</t>
  </si>
  <si>
    <t>Tracked + reviewed; exceptions reduced over time.</t>
  </si>
  <si>
    <t>Evidence: trend metrics.</t>
  </si>
  <si>
    <t>HR-D5-Q19-A5</t>
  </si>
  <si>
    <t>Optimized: exceptions rare; systemic fixes remove need for bypass.</t>
  </si>
  <si>
    <t>Evidence: low exception rate.</t>
  </si>
  <si>
    <t>HR-D6-Q20-A0</t>
  </si>
  <si>
    <t>Clarify change-event process</t>
  </si>
  <si>
    <t>HR-D6-Q20-A1</t>
  </si>
  <si>
    <t>Static: controls rarely change; respond after issues appear.</t>
  </si>
  <si>
    <t>Introduce change-event checklist</t>
  </si>
  <si>
    <t>HR-D6-Q20-A2</t>
  </si>
  <si>
    <t>Manual: HR informs others, but timing varies; no checklist.</t>
  </si>
  <si>
    <t>Standardize and measure lag</t>
  </si>
  <si>
    <t>HR-D6-Q20-A3</t>
  </si>
  <si>
    <t>Defined: process exists; critical updates happen within weeks.</t>
  </si>
  <si>
    <t>Reduce lag for critical roles</t>
  </si>
  <si>
    <t>Evidence: checklist/comms.</t>
  </si>
  <si>
    <t>HR-D6-Q20-A4</t>
  </si>
  <si>
    <t>Managed: critical updates happen within days; responsibilities clear.</t>
  </si>
  <si>
    <t>Maintain and test</t>
  </si>
  <si>
    <t>Evidence: timelines from recent event.</t>
  </si>
  <si>
    <t>HR-D6-Q20-A5</t>
  </si>
  <si>
    <t>Optimized: triggers and measurable lag; lessons learned applied each event.</t>
  </si>
  <si>
    <t>Evidence: lag metrics.</t>
  </si>
  <si>
    <t>HR-D6-Q21-A1</t>
  </si>
  <si>
    <t>Unreliable: updates are late or incomplete.</t>
  </si>
  <si>
    <t>Improve timeliness</t>
  </si>
  <si>
    <t>HR-D6-Q21-A2</t>
  </si>
  <si>
    <t>Email/spreadsheets: provided but often delayed.</t>
  </si>
  <si>
    <t>Create standard cadence</t>
  </si>
  <si>
    <t>HR-D6-Q21-A3</t>
  </si>
  <si>
    <t>Regular cadence; still delays for urgent changes.</t>
  </si>
  <si>
    <t>Add urgent escalation</t>
  </si>
  <si>
    <t>HR-D6-Q21-A4</t>
  </si>
  <si>
    <t>Timely: critical updates within 24–48 hours with clear ownership.</t>
  </si>
  <si>
    <t>Maintain</t>
  </si>
  <si>
    <t>Evidence: sample comms.</t>
  </si>
  <si>
    <t>HR-D6-Q22-A1</t>
  </si>
  <si>
    <t>No checklist; teams improvise each time.</t>
  </si>
  <si>
    <t>Create checklist</t>
  </si>
  <si>
    <t>HR-D6-Q22-A2</t>
  </si>
  <si>
    <t>Checklist exists but not used consistently.</t>
  </si>
  <si>
    <t>Embed into change management</t>
  </si>
  <si>
    <t>Evidence: checklist doc.</t>
  </si>
  <si>
    <t>HR-D6-Q22-A3</t>
  </si>
  <si>
    <t>Used for major events, not smaller re-orgs.</t>
  </si>
  <si>
    <t>Expand scope and automate</t>
  </si>
  <si>
    <t>HR-D6-Q22-A4</t>
  </si>
  <si>
    <t>Used consistently; ownership clear; post-event review occurs.</t>
  </si>
  <si>
    <t>Maintain and improve</t>
  </si>
  <si>
    <t>Evidence: post-event review notes.</t>
  </si>
  <si>
    <t>HR-D6-Q22-A5</t>
  </si>
  <si>
    <t>Optimized: checklist integrated into workflows with measurable control-lag targets.</t>
  </si>
  <si>
    <t>Evidence: lag KPI.</t>
  </si>
  <si>
    <t>HR-D7-Q23-A0</t>
  </si>
  <si>
    <t>Clarify process</t>
  </si>
  <si>
    <t>HR-D7-Q23-A1</t>
  </si>
  <si>
    <t>No: handled ad-hoc; differs by team/manager.</t>
  </si>
  <si>
    <t>Define investigation process</t>
  </si>
  <si>
    <t>HR-D7-Q23-A2</t>
  </si>
  <si>
    <t>Partial: HR handles most; Security/Legal involved only sometimes.</t>
  </si>
  <si>
    <t>Define escalation and roles</t>
  </si>
  <si>
    <t>HR-D7-Q23-A3</t>
  </si>
  <si>
    <t>Documented: process exists but adherence varies; outcomes inconsistently recorded.</t>
  </si>
  <si>
    <t>Improve adherence and tracking</t>
  </si>
  <si>
    <t>Evidence: process doc.</t>
  </si>
  <si>
    <t>HR-D7-Q23-A4</t>
  </si>
  <si>
    <t>Managed: consistently followed with privacy/legal checkpoints.</t>
  </si>
  <si>
    <t>Evidence: redacted checklist.</t>
  </si>
  <si>
    <t>HR-D7-Q23-A5</t>
  </si>
  <si>
    <t>Optimized: audited; staff trained; lessons learned feed improvements.</t>
  </si>
  <si>
    <t>Evidence: audit/exercise outputs.</t>
  </si>
  <si>
    <t>HR-D7-Q24-A1</t>
  </si>
  <si>
    <t>Decisions informal; confidentiality not clearly managed.</t>
  </si>
  <si>
    <t>Introduce approvals and boundaries</t>
  </si>
  <si>
    <t>HR-D7-Q24-A2</t>
  </si>
  <si>
    <t>HR decides; documentation limited.</t>
  </si>
  <si>
    <t>Strengthen documentation</t>
  </si>
  <si>
    <t>HR-D7-Q24-A3</t>
  </si>
  <si>
    <t>HR and Legal decide; Security inputs; decisions documented sometimes.</t>
  </si>
  <si>
    <t>Standardize approvals</t>
  </si>
  <si>
    <t>HR-D7-Q24-A4</t>
  </si>
  <si>
    <t>Clear approvals and confidentiality rules exist, even if workflow informal.</t>
  </si>
  <si>
    <t>Formalize workflow</t>
  </si>
  <si>
    <t>Evidence: approval checklist.</t>
  </si>
  <si>
    <t>HR-D7-Q25-A1</t>
  </si>
  <si>
    <t>No recourse; decisions are final.</t>
  </si>
  <si>
    <t>Implement appeal route</t>
  </si>
  <si>
    <t>HR-D7-Q25-A2</t>
  </si>
  <si>
    <t>Informal: complain to a manager; outcomes vary.</t>
  </si>
  <si>
    <t>Create consistent review</t>
  </si>
  <si>
    <t>HR-D7-Q25-A3</t>
  </si>
  <si>
    <t>General grievance process exists, but not tailored to monitoring/investigations.</t>
  </si>
  <si>
    <t>Define independent review</t>
  </si>
  <si>
    <t>Evidence: grievance process.</t>
  </si>
  <si>
    <t>HR-D7-Q25-A4</t>
  </si>
  <si>
    <t>Independent check exists (privacy/ombuds) for sensitive cases.</t>
  </si>
  <si>
    <t>Evidence: review workflow.</t>
  </si>
  <si>
    <t>HR-D7-Q25-A5</t>
  </si>
  <si>
    <t>Transparent, multi-function review with audit trail and feedback loops.</t>
  </si>
  <si>
    <t>Evidence: audit trail sample.</t>
  </si>
  <si>
    <t>HR-D7-Q26-A1</t>
  </si>
  <si>
    <t>No: cases close with no learning loop.</t>
  </si>
  <si>
    <t>Create lessons-learned process</t>
  </si>
  <si>
    <t>HR-D7-Q26-A2</t>
  </si>
  <si>
    <t>Sometimes: lessons discussed informally.</t>
  </si>
  <si>
    <t>Document and assign actions</t>
  </si>
  <si>
    <t>HR-D7-Q26-A3</t>
  </si>
  <si>
    <t>Defined: post-case review exists but actions not tracked to completion.</t>
  </si>
  <si>
    <t>Track action completion</t>
  </si>
  <si>
    <t>Evidence: action log.</t>
  </si>
  <si>
    <t>HR-D7-Q26-A4</t>
  </si>
  <si>
    <t>Managed: improvements tracked and communicated; repeat issues reduce.</t>
  </si>
  <si>
    <t>HR-D7-Q26-A5</t>
  </si>
  <si>
    <t>Optimized: continuous improvement; trust and outcomes both measured.</t>
  </si>
  <si>
    <t>Evidence: KPIs + survey trends.</t>
  </si>
  <si>
    <t>HR-D8-Q27-A0</t>
  </si>
  <si>
    <t>Clarify reporting</t>
  </si>
  <si>
    <t>HR-D8-Q27-A1</t>
  </si>
  <si>
    <t>None: HR does not report on these topics.</t>
  </si>
  <si>
    <t>Introduce leadership reporting</t>
  </si>
  <si>
    <t>HR-D8-Q27-A2</t>
  </si>
  <si>
    <t>Ad-hoc: only after incidents or external pressure.</t>
  </si>
  <si>
    <t>Create regular cadence</t>
  </si>
  <si>
    <t>HR-D8-Q27-A3</t>
  </si>
  <si>
    <t>Basic: occasional updates on policy/training; limited on culture/themes.</t>
  </si>
  <si>
    <t>Expand to themes + actions</t>
  </si>
  <si>
    <t>Evidence: slide pack example.</t>
  </si>
  <si>
    <t>HR-D8-Q27-A4</t>
  </si>
  <si>
    <t>Managed: quarterly dashboards covering culture, retaliation, and improvement actions.</t>
  </si>
  <si>
    <t>Evidence: KPI dashboard.</t>
  </si>
  <si>
    <t>HR-D8-Q27-A5</t>
  </si>
  <si>
    <t>Optimized: trends + leading indicators tracked and linked to outcomes.</t>
  </si>
  <si>
    <t>Evidence: trend charts + outcomes.</t>
  </si>
  <si>
    <t>HR-D8-Q28-A1</t>
  </si>
  <si>
    <t>No: only serious cases or formal complaints are tracked.</t>
  </si>
  <si>
    <t>Add near-miss learning loop</t>
  </si>
  <si>
    <t>HR-D8-Q28-A2</t>
  </si>
  <si>
    <t>Informal: talked about, but nothing tracked.</t>
  </si>
  <si>
    <t>Create privacy-safe tracking</t>
  </si>
  <si>
    <t>HR-D8-Q28-A3</t>
  </si>
  <si>
    <t>Sometimes tracked in aggregate; used for learning/training.</t>
  </si>
  <si>
    <t>Improve consistency</t>
  </si>
  <si>
    <t>Evidence: anonymized examples.</t>
  </si>
  <si>
    <t>HR-D8-Q28-A4</t>
  </si>
  <si>
    <t>Tracked as leading indicators; reinforces positive culture and reduces repeats.</t>
  </si>
  <si>
    <t>Evidence: dashboard indicator.</t>
  </si>
  <si>
    <t>HR-D8-Q29-A1</t>
  </si>
  <si>
    <t>No metrics: we can't tell how fast or consistent we are.</t>
  </si>
  <si>
    <t>Introduce case metrics</t>
  </si>
  <si>
    <t>HR-D8-Q29-A2</t>
  </si>
  <si>
    <t>Some metrics exist but not used for improvement.</t>
  </si>
  <si>
    <t>Use metrics for improvement</t>
  </si>
  <si>
    <t>HR-D8-Q29-A3</t>
  </si>
  <si>
    <t>Basic metrics tracked; improvement actions occasional.</t>
  </si>
  <si>
    <t>Set targets and review cadence</t>
  </si>
  <si>
    <t>Evidence: KPI list.</t>
  </si>
  <si>
    <t>HR-D8-Q29-A4</t>
  </si>
  <si>
    <t>Managed: targets set; metrics reviewed; backlog/quality addressed.</t>
  </si>
  <si>
    <t>Maintain and refine</t>
  </si>
  <si>
    <t>Evidence: dashboard + meeting notes.</t>
  </si>
  <si>
    <t>HR-D8-Q29-A5</t>
  </si>
  <si>
    <t>Optimized: metrics linked to trust outcomes and continuous improvement.</t>
  </si>
  <si>
    <t>Evidence: KPI trends + actions.</t>
  </si>
  <si>
    <t>SEC-D1-Q01-A0</t>
  </si>
  <si>
    <t>I don't know / not sure.</t>
  </si>
  <si>
    <t>SEC-D1-Q01-A1</t>
  </si>
  <si>
    <t>No one monitors for internal misuse; we mainly react after incidents.</t>
  </si>
  <si>
    <t>SEC-D1-Q01-A2</t>
  </si>
  <si>
    <t>Ad‑hoc: an IT admin/manager checks logs only when something feels wrong.</t>
  </si>
  <si>
    <t>Example of an ad‑hoc review or incident note.</t>
  </si>
  <si>
    <t>SEC-D1-Q01-A3</t>
  </si>
  <si>
    <t>Partial: SOC/IT reviews some alerts, but not consistently or not for key systems.</t>
  </si>
  <si>
    <t>List monitored systems and who reviews them.</t>
  </si>
  <si>
    <t>SEC-D1-Q01-A4</t>
  </si>
  <si>
    <t>Defined: named team monitors agreed key systems with a regular cadence and documented handoffs.</t>
  </si>
  <si>
    <t>Runbook/SOP + sample ticket (redacted).</t>
  </si>
  <si>
    <t>SEC-D1-Q01-A5</t>
  </si>
  <si>
    <t>Optimized: monitoring is embedded in SOC/case management with SLAs and quality checks.</t>
  </si>
  <si>
    <t>SLA + recent quality/accuracy report.</t>
  </si>
  <si>
    <t>SEC-D1-Q02-A1</t>
  </si>
  <si>
    <t>No — we focus on external threats; insiders are out of scope.</t>
  </si>
  <si>
    <t>SEC-D1-Q02-A2</t>
  </si>
  <si>
    <t>Sometimes — a few experienced admins notice issues, but it depends on individuals.</t>
  </si>
  <si>
    <t>Name typical signals and frequency.</t>
  </si>
  <si>
    <t>SEC-D1-Q02-A3</t>
  </si>
  <si>
    <t>Yes — a repeatable routine exists (even if informal) for reviewing a short list of high‑risk signals.</t>
  </si>
  <si>
    <t>Short list of signals + example review note.</t>
  </si>
  <si>
    <t>SEC-D1-Q03-A1</t>
  </si>
  <si>
    <t>No workflow; decisions are improvised each time.</t>
  </si>
  <si>
    <t>SEC-D1-Q03-A2</t>
  </si>
  <si>
    <t>Some notes exist, but they are outdated or rarely followed.</t>
  </si>
  <si>
    <t>SEC-D1-Q03-A3</t>
  </si>
  <si>
    <t>Workflow exists and is used for most cases, but cross‑functional steps are unclear.</t>
  </si>
  <si>
    <t>Workflow + 1 recent example case (redacted).</t>
  </si>
  <si>
    <t>SEC-D1-Q03-A4</t>
  </si>
  <si>
    <t>Workflow is documented, trained, and includes clear HR/Legal touchpoints and time targets.</t>
  </si>
  <si>
    <t>Workflow + training record + sample case.</t>
  </si>
  <si>
    <t>SEC-D1-Q03-A5</t>
  </si>
  <si>
    <t>Workflow is integrated into case management with metrics and periodic quality reviews.</t>
  </si>
  <si>
    <t>Dashboard screenshot (redacted).</t>
  </si>
  <si>
    <t>SEC-D2-Q04-A0</t>
  </si>
  <si>
    <t>SEC-D2-Q04-A1</t>
  </si>
  <si>
    <t>No — we cannot reliably see access/sharing for key systems.</t>
  </si>
  <si>
    <t>SEC-D2-Q04-A2</t>
  </si>
  <si>
    <t>Partial — logs exist for some systems, but retention is short or inconsistent.</t>
  </si>
  <si>
    <t>List covered systems + retention.</t>
  </si>
  <si>
    <t>SEC-D2-Q04-A3</t>
  </si>
  <si>
    <t>Yes — agreed critical systems are covered with defined retention and access controls.</t>
  </si>
  <si>
    <t>Log source list + retention policy excerpt.</t>
  </si>
  <si>
    <t>SEC-D2-Q04-A4</t>
  </si>
  <si>
    <t>Optimized — coverage is monitored (health checks), identity is normalized, and gaps trigger remediation.</t>
  </si>
  <si>
    <t>Logging health/coverage report.</t>
  </si>
  <si>
    <t>SEC-D2-Q05-A1</t>
  </si>
  <si>
    <t>No — we don’t have a clear view of where sensitive data lives.</t>
  </si>
  <si>
    <t>SEC-D2-Q05-A2</t>
  </si>
  <si>
    <t>Partially — we can list some areas, but it changes and is not tracked.</t>
  </si>
  <si>
    <t>Provide the list and likely gaps.</t>
  </si>
  <si>
    <t>SEC-D2-Q05-A3</t>
  </si>
  <si>
    <t>Yes — we maintain at least a simple inventory that is updated.</t>
  </si>
  <si>
    <t>Provide the inventory (redacted).</t>
  </si>
  <si>
    <t>SEC-D2-Q06-A1</t>
  </si>
  <si>
    <t>No — investigations require manual log pulls from many systems.</t>
  </si>
  <si>
    <t>SEC-D2-Q06-A2</t>
  </si>
  <si>
    <t>Some — a few sources are centralized, but many are still manual.</t>
  </si>
  <si>
    <t>List centralized vs manual sources.</t>
  </si>
  <si>
    <t>SEC-D2-Q06-A3</t>
  </si>
  <si>
    <t>Yes — most critical sources are centralized with consistent identity mapping.</t>
  </si>
  <si>
    <t>SIEM source list + identity mapping approach.</t>
  </si>
  <si>
    <t>SEC-D2-Q06-A4</t>
  </si>
  <si>
    <t>Optimized — centralized with enrichment (role/privilege) and automated correlation.</t>
  </si>
  <si>
    <t>Correlation/enrichment examples (redacted).</t>
  </si>
  <si>
    <t>SEC-D3-Q07-A1</t>
  </si>
  <si>
    <t>No — we rely on generic alerts not tailored to internal misuse.</t>
  </si>
  <si>
    <t>SEC-D3-Q07-A2</t>
  </si>
  <si>
    <t>A few rules exist, but no one owns tuning and alerts are often ignored.</t>
  </si>
  <si>
    <t>SEC-D3-Q07-A3</t>
  </si>
  <si>
    <t>Yes — we monitor a short list, but it’s not tied to the most sensitive assets/roles.</t>
  </si>
  <si>
    <t>List of detections and coverage notes.</t>
  </si>
  <si>
    <t>SEC-D3-Q07-A4</t>
  </si>
  <si>
    <t>Yes — detections are mapped to sensitive assets/roles and reviewed on a schedule.</t>
  </si>
  <si>
    <t>Mapping + review cadence evidence.</t>
  </si>
  <si>
    <t>SEC-D3-Q07-A5</t>
  </si>
  <si>
    <t>Optimized — detections are scenario-driven, quality-measured, and continuously improved.</t>
  </si>
  <si>
    <t>Detection quality metrics (FP rate/precision).</t>
  </si>
  <si>
    <t>SEC-D3-Q08-A1</t>
  </si>
  <si>
    <t>Alerts mostly pile up; we focus on outages and external threats.</t>
  </si>
  <si>
    <t>SEC-D3-Q08-A2</t>
  </si>
  <si>
    <t>Some alerts are investigated; many are closed quickly due to lack of context.</t>
  </si>
  <si>
    <t>SEC-D3-Q08-A3</t>
  </si>
  <si>
    <t>Alerts are generally triaged with time-boxing and escalation paths for high risk.</t>
  </si>
  <si>
    <t>Backlog/MTTT snapshot (redacted).</t>
  </si>
  <si>
    <t>SEC-D3-Q09-A1</t>
  </si>
  <si>
    <t>We don’t measure it; users complain and find workarounds.</t>
  </si>
  <si>
    <t>SEC-D3-Q09-A2</t>
  </si>
  <si>
    <t>We tune occasionally after major complaints or incidents.</t>
  </si>
  <si>
    <t>SEC-D3-Q09-A3</t>
  </si>
  <si>
    <t>We track exceptions/false positives and tune on a schedule.</t>
  </si>
  <si>
    <t>Exception log or tuning backlog.</t>
  </si>
  <si>
    <t>SEC-D3-Q09-A4</t>
  </si>
  <si>
    <t>Optimized: we measure disruption, reduce bypass drivers, and have fast exception paths with oversight.</t>
  </si>
  <si>
    <t>Metrics + exception governance.</t>
  </si>
  <si>
    <t>SEC-D4-Q10-A1</t>
  </si>
  <si>
    <t>No — high‑risk roles are not mapped; all users are treated the same.</t>
  </si>
  <si>
    <t>SEC-D4-Q10-A2</t>
  </si>
  <si>
    <t>Partially — IT admins are known, but high‑risk business roles are not mapped.</t>
  </si>
  <si>
    <t>SEC-D4-Q10-A3</t>
  </si>
  <si>
    <t>Yes — a list exists and extra monitoring/review is applied.</t>
  </si>
  <si>
    <t>Role list (redacted) + monitoring approach.</t>
  </si>
  <si>
    <t>SEC-D4-Q10-A4</t>
  </si>
  <si>
    <t>Optimized — risk-tiered role model linked to access reviews and detections.</t>
  </si>
  <si>
    <t>Latest access review output (redacted).</t>
  </si>
  <si>
    <t>SEC-D4-Q11-A1</t>
  </si>
  <si>
    <t>No — it would take weeks or would be guesswork.</t>
  </si>
  <si>
    <t>SEC-D4-Q11-A2</t>
  </si>
  <si>
    <t>Some managers know informally, but there is no reliable list.</t>
  </si>
  <si>
    <t>SEC-D4-Q11-A3</t>
  </si>
  <si>
    <t>Yes — we can produce a list quickly from IAM/audit data.</t>
  </si>
  <si>
    <t>Sample access export (redacted).</t>
  </si>
  <si>
    <t>SEC-D4-Q12-A1</t>
  </si>
  <si>
    <t>Privileged logs are not reviewed; admins are effectively exempt.</t>
  </si>
  <si>
    <t>SEC-D4-Q12-A2</t>
  </si>
  <si>
    <t>Logs exist but are reviewed only after incidents.</t>
  </si>
  <si>
    <t>SEC-D4-Q12-A3</t>
  </si>
  <si>
    <t>Regular review exists, but it depends on the same admins who have the access.</t>
  </si>
  <si>
    <t>SEC-D4-Q12-A4</t>
  </si>
  <si>
    <t>Independent review by Security (or separate team) for high‑risk privileged actions.</t>
  </si>
  <si>
    <t>Review evidence (redacted).</t>
  </si>
  <si>
    <t>SEC-D4-Q12-A5</t>
  </si>
  <si>
    <t>Optimized: tiered privileged monitoring + 'four‑eyes' for critical actions + anomaly alerting.</t>
  </si>
  <si>
    <t>Covered actions list + sample alert.</t>
  </si>
  <si>
    <t>SEC-D5-Q13-A1</t>
  </si>
  <si>
    <t>No — each case is handled differently and coordination is ad‑hoc.</t>
  </si>
  <si>
    <t>SEC-D5-Q13-A2</t>
  </si>
  <si>
    <t>Some coordination happens, but roles/timelines are unclear and decisions stall.</t>
  </si>
  <si>
    <t>SEC-D5-Q13-A3</t>
  </si>
  <si>
    <t>Yes — defined process and named contacts exist and are used for most cases.</t>
  </si>
  <si>
    <t>Process doc + recent case timeline (redacted).</t>
  </si>
  <si>
    <t>SEC-D5-Q13-A4</t>
  </si>
  <si>
    <t>Optimized: unified case management with auditable decisions and periodic reviews.</t>
  </si>
  <si>
    <t>Case system screenshot (redacted).</t>
  </si>
  <si>
    <t>SEC-D5-Q14-A1</t>
  </si>
  <si>
    <t>No — it depends on personal networks and availability.</t>
  </si>
  <si>
    <t>SEC-D5-Q14-A2</t>
  </si>
  <si>
    <t>Sometimes — key people exist, but coverage is inconsistent.</t>
  </si>
  <si>
    <t>SEC-D5-Q14-A3</t>
  </si>
  <si>
    <t>Yes — an informal but reliable contact pattern exists (e.g., on‑call list).</t>
  </si>
  <si>
    <t>Contact list/on‑call rota (redacted).</t>
  </si>
  <si>
    <t>SEC-D5-Q15-A1</t>
  </si>
  <si>
    <t>We don’t have safeguards; decisions are made by whoever raises the concern.</t>
  </si>
  <si>
    <t>SEC-D5-Q15-A2</t>
  </si>
  <si>
    <t>Some safeguards exist, but they are informal and not documented.</t>
  </si>
  <si>
    <t>SEC-D5-Q15-A3</t>
  </si>
  <si>
    <t>Decisions and evidence are documented; HR/Legal review is common for serious cases.</t>
  </si>
  <si>
    <t>Sample redacted decision memo.</t>
  </si>
  <si>
    <t>SEC-D5-Q15-A4</t>
  </si>
  <si>
    <t>Optimized: standardized criteria, auditable approvals, and independent review for higher‑impact actions.</t>
  </si>
  <si>
    <t>Criteria + audit evidence.</t>
  </si>
  <si>
    <t>SEC-D6-Q16-A1</t>
  </si>
  <si>
    <t>No — steps are manual and slow; approvals are unclear.</t>
  </si>
  <si>
    <t>SEC-D6-Q16-A2</t>
  </si>
  <si>
    <t>Partially — we can disable accounts, but it is risky and may disrupt operations.</t>
  </si>
  <si>
    <t>SEC-D6-Q16-A3</t>
  </si>
  <si>
    <t>Yes — a documented rapid response path exists with audit logs and defined approvals.</t>
  </si>
  <si>
    <t>Playbook excerpt + recent use (redacted).</t>
  </si>
  <si>
    <t>SEC-D6-Q16-A4</t>
  </si>
  <si>
    <t>Optimized — automated containment exists for defined scenarios with human oversight.</t>
  </si>
  <si>
    <t>SOAR/playbook list.</t>
  </si>
  <si>
    <t>SEC-D6-Q17-A1</t>
  </si>
  <si>
    <t>No — approvals are unclear; teams hesitate to act.</t>
  </si>
  <si>
    <t>SEC-D6-Q17-A2</t>
  </si>
  <si>
    <t>Sometimes — approval depends on who is available.</t>
  </si>
  <si>
    <t>SEC-D6-Q17-A3</t>
  </si>
  <si>
    <t>Yes — a clear fast approval route exists for high‑risk actions.</t>
  </si>
  <si>
    <t>On‑call approval chain (redacted).</t>
  </si>
  <si>
    <t>SEC-D6-Q18-A1</t>
  </si>
  <si>
    <t>Containment is heavy-handed and often disrupts normal work.</t>
  </si>
  <si>
    <t>bypass_pressure,toxic_enforcer_signal</t>
  </si>
  <si>
    <t>SEC-D6-Q18-A2</t>
  </si>
  <si>
    <t>We avoid acting because disruption risk is high.</t>
  </si>
  <si>
    <t>SEC-D6-Q18-A3</t>
  </si>
  <si>
    <t>We can act with minimal disruption for most scenarios due to tuning and clear comms.</t>
  </si>
  <si>
    <t>SEC-D6-Q18-A4</t>
  </si>
  <si>
    <t>Optimized: tiered containment with measured business impact and continuous improvement.</t>
  </si>
  <si>
    <t>Examples of tiered actions.</t>
  </si>
  <si>
    <t>SEC-D7-Q19-A1</t>
  </si>
  <si>
    <t>No — evidence is collected informally (screenshots/copies) with limited traceability.</t>
  </si>
  <si>
    <t>SEC-D7-Q19-A2</t>
  </si>
  <si>
    <t>Partially — steps exist but are not consistent or not for all systems.</t>
  </si>
  <si>
    <t>SEC-D7-Q19-A3</t>
  </si>
  <si>
    <t>Yes — chain of custody is documented and used for serious cases.</t>
  </si>
  <si>
    <t>Template + sample (redacted).</t>
  </si>
  <si>
    <t>SEC-D7-Q19-A4</t>
  </si>
  <si>
    <t>Optimized — tamper‑resistant logs, controlled access, and periodic audits.</t>
  </si>
  <si>
    <t>Audit evidence or control logs.</t>
  </si>
  <si>
    <t>SEC-D7-Q20-A1</t>
  </si>
  <si>
    <t>No — evidence gathering is slow and depends on who knows the systems.</t>
  </si>
  <si>
    <t>SEC-D7-Q20-A2</t>
  </si>
  <si>
    <t>Sometimes — we can retrieve evidence quickly for a few systems only.</t>
  </si>
  <si>
    <t>SEC-D7-Q20-A3</t>
  </si>
  <si>
    <t>Yes — repeatable retrieval steps exist for key systems and typical case types.</t>
  </si>
  <si>
    <t>Retrieval SOP for 1 system.</t>
  </si>
  <si>
    <t>SEC-D7-Q21-A1</t>
  </si>
  <si>
    <t>Logs are broadly accessible or retention is unpredictable.</t>
  </si>
  <si>
    <t>SEC-D7-Q21-A2</t>
  </si>
  <si>
    <t>Retention/access controls exist, but audits are rare and some sources are excluded.</t>
  </si>
  <si>
    <t>SEC-D7-Q21-A3</t>
  </si>
  <si>
    <t>Access is restricted and audited for most sources; retention meets defined requirements.</t>
  </si>
  <si>
    <t>Access groups + retention settings summary.</t>
  </si>
  <si>
    <t>SEC-D7-Q21-A4</t>
  </si>
  <si>
    <t>Optimized: centralized governance of retention, geo/scope controls where needed, and periodic reviews.</t>
  </si>
  <si>
    <t>Review record.</t>
  </si>
  <si>
    <t>SEC-D8-Q22-A1</t>
  </si>
  <si>
    <t>No — contractors are largely out of scope once they have access.</t>
  </si>
  <si>
    <t>SEC-D8-Q22-A2</t>
  </si>
  <si>
    <t>Partial — some monitoring exists, but identity/tooling is inconsistent.</t>
  </si>
  <si>
    <t>SEC-D8-Q22-A3</t>
  </si>
  <si>
    <t>Yes — contractors are included in monitoring for key systems and investigated similarly.</t>
  </si>
  <si>
    <t>Contractor access list + monitoring approach.</t>
  </si>
  <si>
    <t>SEC-D8-Q22-A4</t>
  </si>
  <si>
    <t>Optimized — third‑party risk tiers, scoped access, monitoring, and periodic reviews.</t>
  </si>
  <si>
    <t>Third‑party tiering approach.</t>
  </si>
  <si>
    <t>SEC-D8-Q23-A1</t>
  </si>
  <si>
    <t>No — access removal is manual and often late.</t>
  </si>
  <si>
    <t>SEC-D8-Q23-A2</t>
  </si>
  <si>
    <t>Sometimes — critical systems are handled, but gaps happen.</t>
  </si>
  <si>
    <t>SEC-D8-Q23-A3</t>
  </si>
  <si>
    <t>Yes — reliable process exists and is regularly audited for timeliness.</t>
  </si>
  <si>
    <t>Last access removal audit result.</t>
  </si>
  <si>
    <t>SEC-D8-Q24-A1</t>
  </si>
  <si>
    <t>No — we would improvise during a crisis.</t>
  </si>
  <si>
    <t>SEC-D8-Q24-A2</t>
  </si>
  <si>
    <t>Some clauses exist, but steps and owners are unclear.</t>
  </si>
  <si>
    <t>SEC-D8-Q24-A3</t>
  </si>
  <si>
    <t>Defined steps exist and have been exercised at least once.</t>
  </si>
  <si>
    <t>Vendor escalation procedure.</t>
  </si>
  <si>
    <t>SEC-D8-Q24-A4</t>
  </si>
  <si>
    <t>Optimized: pre‑arranged contacts, evidence workflow, and tabletop exercises include third parties.</t>
  </si>
  <si>
    <t>Tabletop record (redacted).</t>
  </si>
  <si>
    <t>SEC-D9-Q25-A1</t>
  </si>
  <si>
    <t>No — success is described qualitatively or by alert counts.</t>
  </si>
  <si>
    <t>SEC-D9-Q25-A2</t>
  </si>
  <si>
    <t>Some metrics exist, but they don’t drive improvements.</t>
  </si>
  <si>
    <t>SEC-D9-Q25-A3</t>
  </si>
  <si>
    <t>Yes — we track a small set of KPIs/KRIs and review them regularly.</t>
  </si>
  <si>
    <t>Dashboard (redacted).</t>
  </si>
  <si>
    <t>SEC-D9-Q25-A4</t>
  </si>
  <si>
    <t>Optimized: metrics drive prioritized improvements, with periodic independent reviews.</t>
  </si>
  <si>
    <t>Review minutes/audit excerpt.</t>
  </si>
  <si>
    <t>SEC-D9-Q26-A1</t>
  </si>
  <si>
    <t>No — we only review after major incidents.</t>
  </si>
  <si>
    <t>SEC-D9-Q26-A2</t>
  </si>
  <si>
    <t>Sometimes — informal reviews happen if someone remembers.</t>
  </si>
  <si>
    <t>SEC-D9-Q26-A3</t>
  </si>
  <si>
    <t>Yes — near misses are logged and reviewed to drive tuning and training.</t>
  </si>
  <si>
    <t>Example near-miss record (redacted).</t>
  </si>
  <si>
    <t>SEC-D9-Q27-A1</t>
  </si>
  <si>
    <t>No — we assume detections work once enabled.</t>
  </si>
  <si>
    <t>SEC-D9-Q27-A2</t>
  </si>
  <si>
    <t>Occasionally — tests happen after incidents or audits.</t>
  </si>
  <si>
    <t>SEC-D9-Q27-A3</t>
  </si>
  <si>
    <t>Yes — scheduled tests exist and results feed improvements.</t>
  </si>
  <si>
    <t>Last test summary (redacted).</t>
  </si>
  <si>
    <t>SEC-D9-Q27-A4</t>
  </si>
  <si>
    <t>Optimized: independent/bias‑reduced testing and continuous validation of high‑risk detections.</t>
  </si>
  <si>
    <t>Test program overview.</t>
  </si>
  <si>
    <t>SEC-D10-Q28-A0</t>
  </si>
  <si>
    <t>None</t>
  </si>
  <si>
    <t>SEC-D10-Q28-A1</t>
  </si>
  <si>
    <t>We don’t have a clear list of which logs exist; coverage is patchy and mostly limited to a few systems.</t>
  </si>
  <si>
    <t>foundational_gap,visibility_gap</t>
  </si>
  <si>
    <t>Log source inventory (if any)</t>
  </si>
  <si>
    <t>SEC-D10-Q28-A2</t>
  </si>
  <si>
    <t>Logs exist for some systems, but key gaps remain (e.g., laptops/endpoints, cloud services, or SaaS).</t>
  </si>
  <si>
    <t>partial_visibility,log_gap</t>
  </si>
  <si>
    <t>List missing sources; retention settings</t>
  </si>
  <si>
    <t>SEC-D10-Q28-A3</t>
  </si>
  <si>
    <t>Most key systems send logs somewhere central, but coverage is not regularly checked and gaps can go unnoticed.</t>
  </si>
  <si>
    <t>partial_maturity,inconsistent_execution</t>
  </si>
  <si>
    <t>Example central log sources; last 30d retention evidence</t>
  </si>
  <si>
    <t>SEC-D10-Q28-A4</t>
  </si>
  <si>
    <t>Key systems (including cloud/SaaS) feed centralized logs; coverage is reviewed periodically and gaps are tracked to closure.</t>
  </si>
  <si>
    <t>good_practice,execution_strength</t>
  </si>
  <si>
    <t>Coverage report / dashboard; retention policy</t>
  </si>
  <si>
    <t>SEC-D10-Q28-A5</t>
  </si>
  <si>
    <t>Comprehensive coverage is validated (endpoints, cloud control plane, SaaS, privileged actions); alerts exist for missing telemetry.</t>
  </si>
  <si>
    <t>optimized,execution_strength</t>
  </si>
  <si>
    <t>Telemetry coverage KPIs; alerting proof</t>
  </si>
  <si>
    <t>SEC-D10-Q29-A0</t>
  </si>
  <si>
    <t>SEC-D10-Q29-A1</t>
  </si>
  <si>
    <t>Logs are mainly stored locally or in places admins can edit; we don’t track access to logs.</t>
  </si>
  <si>
    <t>forensic_gap,tamper_risk</t>
  </si>
  <si>
    <t>Example of current storage/access model</t>
  </si>
  <si>
    <t>SEC-D10-Q29-A2</t>
  </si>
  <si>
    <t>Logs are centralized, but privileged admins could still alter/delete them and time sync is inconsistent.</t>
  </si>
  <si>
    <t>forensic_gap,partial_maturity</t>
  </si>
  <si>
    <t>Time sync status; admin access list</t>
  </si>
  <si>
    <t>SEC-D10-Q29-A3</t>
  </si>
  <si>
    <t>Access is restricted and logged; time sync is managed; but we don’t have immutability/WORM or integrity checks for critical logs.</t>
  </si>
  <si>
    <t>partial_maturity,legal_exposure</t>
  </si>
  <si>
    <t>Retention and access audit samples</t>
  </si>
  <si>
    <t>SEC-D10-Q29-A4</t>
  </si>
  <si>
    <t>Critical logs are integrity-protected (restricted access, audited, consistent time); we can demonstrate chain of custody when needed.</t>
  </si>
  <si>
    <t>good_practice,forensic_ready</t>
  </si>
  <si>
    <t>Audit trail of access; chain-of-custody procedure</t>
  </si>
  <si>
    <t>SEC-D10-Q29-A5</t>
  </si>
  <si>
    <t>Critical logs are tamper-resistant/immutable (WORM/cryptographic), independently auditable, and regularly tested for evidentiary use.</t>
  </si>
  <si>
    <t>optimized,forensic_ready</t>
  </si>
  <si>
    <t>WORM/immutability proof; audit report</t>
  </si>
  <si>
    <t>SEC-D10-Q30-A0</t>
  </si>
  <si>
    <t>SEC-D10-Q30-A1</t>
  </si>
  <si>
    <t>It usually takes days/weeks because data is spread across teams/tools and access must be requested case-by-case.</t>
  </si>
  <si>
    <t>siloed,operating_model_gap</t>
  </si>
  <si>
    <t>Example timeline of last case</t>
  </si>
  <si>
    <t>SEC-D10-Q30-A2</t>
  </si>
  <si>
    <t>It takes a few days; we can do it, but it’s manual and depends on specific people.</t>
  </si>
  <si>
    <t>key_person_dependency,ad_hoc</t>
  </si>
  <si>
    <t>Example export steps</t>
  </si>
  <si>
    <t>SEC-D10-Q30-A3</t>
  </si>
  <si>
    <t>We can usually retrieve within 24–48 hours for key systems, but not consistently across all sources.</t>
  </si>
  <si>
    <t>Last case retrieval evidence</t>
  </si>
  <si>
    <t>SEC-D10-Q30-A4</t>
  </si>
  <si>
    <t>We can retrieve within hours using a documented process and standardized exports for investigations.</t>
  </si>
  <si>
    <t>SOP + sample export</t>
  </si>
  <si>
    <t>SEC-D10-Q30-A5</t>
  </si>
  <si>
    <t>We can retrieve within ~1 hour via case tooling/self-service workflows; completeness and timing are measured.</t>
  </si>
  <si>
    <t>Metrics (time-to-retrieve) + proof</t>
  </si>
  <si>
    <t>SEC-D11-Q31-A0</t>
  </si>
  <si>
    <t>SEC-D11-Q31-A1</t>
  </si>
  <si>
    <t>We often cannot attribute actions to a specific person (shared accounts, generic admin IDs, or missing identity in logs).</t>
  </si>
  <si>
    <t>identity_gap,visibility_gap</t>
  </si>
  <si>
    <t>Examples of shared accounts</t>
  </si>
  <si>
    <t>SEC-D11-Q31-A2</t>
  </si>
  <si>
    <t>We can attribute some actions, but many critical systems still have shared/unclear identity.</t>
  </si>
  <si>
    <t>partial_visibility,identity_gap</t>
  </si>
  <si>
    <t>List systems without unique IDs</t>
  </si>
  <si>
    <t>SEC-D11-Q31-A3</t>
  </si>
  <si>
    <t>Most systems use unique identities; attribution is possible but correlation across systems is still manual.</t>
  </si>
  <si>
    <t>partial_maturity,ad_hoc</t>
  </si>
  <si>
    <t>SSO coverage list; correlation method</t>
  </si>
  <si>
    <t>SEC-D11-Q31-A4</t>
  </si>
  <si>
    <t>Attribution is reliable across key systems using SSO/MFA; shared accounts are controlled and reviewed.</t>
  </si>
  <si>
    <t>SSO coverage; access review proof</t>
  </si>
  <si>
    <t>SEC-D11-Q31-A5</t>
  </si>
  <si>
    <t>We maintain an identity correlation layer (identity graph); privileged sessions are attributable and recorded; shared accounts are eliminated.</t>
  </si>
  <si>
    <t>Identity graph evidence / PAM reports</t>
  </si>
  <si>
    <t>SEC-D11-Q32-A0</t>
  </si>
  <si>
    <t>SEC-D11-Q32-A1</t>
  </si>
  <si>
    <t>Admins have permanent privileged access; actions are not consistently recorded or reviewed.</t>
  </si>
  <si>
    <t>pam_gap,privileged_gap</t>
  </si>
  <si>
    <t>Privileged account list</t>
  </si>
  <si>
    <t>SEC-D11-Q32-A2</t>
  </si>
  <si>
    <t>Approvals exist on paper, but enforcement is weak and session recording is uncommon.</t>
  </si>
  <si>
    <t>paper_process,pam_gap</t>
  </si>
  <si>
    <t>Approval procedure evidence</t>
  </si>
  <si>
    <t>SEC-D11-Q32-A3</t>
  </si>
  <si>
    <t>We have PAM/JIT for some high-risk systems; privileged sessions or commands are logged for those systems.</t>
  </si>
  <si>
    <t>partial_maturity,execution_strength</t>
  </si>
  <si>
    <t>PAM scope + sample logs</t>
  </si>
  <si>
    <t>SEC-D11-Q32-A4</t>
  </si>
  <si>
    <t>Privileged access is mostly JIT/approved; sessions are recorded or commands captured; periodic reviews happen.</t>
  </si>
  <si>
    <t>Access review proof; session capture sample</t>
  </si>
  <si>
    <t>SEC-D11-Q32-A5</t>
  </si>
  <si>
    <t>Privileged access is enforced JIT for HVAs; four-eyes applies for sensitive actions; monitoring + reviews are measured and audited.</t>
  </si>
  <si>
    <t>PAM audit report / KPIs</t>
  </si>
  <si>
    <t>SEC-D11-Q33-A0</t>
  </si>
  <si>
    <t>SEC-D11-Q33-A1</t>
  </si>
  <si>
    <t>Security typically learns about joiner/mover/leaver changes late; access cleanup and monitoring changes lag by days/weeks.</t>
  </si>
  <si>
    <t>control_lag_high,ad_hoc</t>
  </si>
  <si>
    <t>Example of last termination timing</t>
  </si>
  <si>
    <t>SEC-D11-Q33-A2</t>
  </si>
  <si>
    <t>We receive notifications, but changes are manual and inconsistent; sometimes accounts or access remain longer than intended.</t>
  </si>
  <si>
    <t>control_lag,inconsistent_execution</t>
  </si>
  <si>
    <t>Process description</t>
  </si>
  <si>
    <t>SEC-D11-Q33-A3</t>
  </si>
  <si>
    <t>Leavers are handled reasonably fast, but movers/role changes and sensitive HR events aren’t consistently reflected in controls.</t>
  </si>
  <si>
    <t>partial_maturity,control_lag</t>
  </si>
  <si>
    <t>JML SLA evidence</t>
  </si>
  <si>
    <t>SEC-D11-Q33-A4</t>
  </si>
  <si>
    <t>Automated feeds handle most changes; we have SLAs and escalation when control lag exceeds limits.</t>
  </si>
  <si>
    <t>Automation proof + SLA dashboard</t>
  </si>
  <si>
    <t>SEC-D11-Q33-A5</t>
  </si>
  <si>
    <t>Real-time integration drives access and monitoring adjustments for risky events; lag is measured and continuously improved.</t>
  </si>
  <si>
    <t>Lag KPIs; automation logs</t>
  </si>
  <si>
    <t>SEC-D12-Q34-A0</t>
  </si>
  <si>
    <t>SEC-D12-Q34-A1</t>
  </si>
  <si>
    <t>Containment is mostly manual (calls/emails); it can take many hours or days and is hard to coordinate.</t>
  </si>
  <si>
    <t>resilience_gap,siloed</t>
  </si>
  <si>
    <t>Example containment timeline</t>
  </si>
  <si>
    <t>SEC-D12-Q34-A2</t>
  </si>
  <si>
    <t>We have scripts or admin runbooks, but containment still depends on specific people and isn’t consistently audited.</t>
  </si>
  <si>
    <t>Runbook/sample script</t>
  </si>
  <si>
    <t>SEC-D12-Q34-A3</t>
  </si>
  <si>
    <t>We can contain key accounts within hours with documented steps; coverage is limited to some systems.</t>
  </si>
  <si>
    <t>SOP + scope list</t>
  </si>
  <si>
    <t>SEC-D12-Q34-A4</t>
  </si>
  <si>
    <t>SOAR/workflows can contain across most critical systems with approvals and audit trail; tested periodically.</t>
  </si>
  <si>
    <t>SOAR playbook + test record</t>
  </si>
  <si>
    <t>SEC-D12-Q34-A5</t>
  </si>
  <si>
    <t>Near real-time ‘kill switch’ exists for HVAs (access, sessions, data egress) with staged actions and measured success.</t>
  </si>
  <si>
    <t>Playbook metrics + proof</t>
  </si>
  <si>
    <t>SEC-D12-Q35-A0</t>
  </si>
  <si>
    <t>SEC-D12-Q35-A1</t>
  </si>
  <si>
    <t>We decide intrusive actions case-by-case during incidents; approvals and documentation vary.</t>
  </si>
  <si>
    <t>legal_exposure,ad_hoc</t>
  </si>
  <si>
    <t>Example decision record</t>
  </si>
  <si>
    <t>SEC-D12-Q35-A2</t>
  </si>
  <si>
    <t>There is a policy, but it’s generic; staff are unsure what is allowed and what approvals are needed.</t>
  </si>
  <si>
    <t>paper_process,legal_exposure</t>
  </si>
  <si>
    <t>Policy excerpt</t>
  </si>
  <si>
    <t>SEC-D12-Q35-A3</t>
  </si>
  <si>
    <t>We have criteria and approval steps for some actions (e.g., mailbox review), but not consistently for all intrusive actions.</t>
  </si>
  <si>
    <t>Approval workflow evidence</t>
  </si>
  <si>
    <t>SEC-D12-Q35-A4</t>
  </si>
  <si>
    <t>Criteria and approvals are defined and legally reviewed; actions are documented with proportionality rationale.</t>
  </si>
  <si>
    <t>DPIA/LIA or legal review record</t>
  </si>
  <si>
    <t>SEC-D12-Q35-A5</t>
  </si>
  <si>
    <t>Criteria are comprehensive, periodically reviewed, and integrated into case tooling; audits confirm compliance.</t>
  </si>
  <si>
    <t>Audit report / case tooling screenshots</t>
  </si>
  <si>
    <t>SEC-D12-Q36-A0</t>
  </si>
  <si>
    <t>SEC-D12-Q36-A1</t>
  </si>
  <si>
    <t>Containment actions often break work; rollback is improvised and evidence can be lost.</t>
  </si>
  <si>
    <t>bypass_pressure,business_disruption</t>
  </si>
  <si>
    <t>Examples of disruption</t>
  </si>
  <si>
    <t>SEC-D12-Q36-A2</t>
  </si>
  <si>
    <t>We try to minimize impact informally, but we don’t have staged actions or rollback plans.</t>
  </si>
  <si>
    <t>ad_hoc,partial_maturity</t>
  </si>
  <si>
    <t>SEC-D12-Q36-A3</t>
  </si>
  <si>
    <t>Some containment actions are staged and have rollback guidance; but it’s not consistent or measured.</t>
  </si>
  <si>
    <t>Rollback guidance proof</t>
  </si>
  <si>
    <t>SEC-D12-Q36-A4</t>
  </si>
  <si>
    <t>We use staged containment, approvals, and rollback; we track disruption and refine playbooks.</t>
  </si>
  <si>
    <t>Metrics evidence</t>
  </si>
  <si>
    <t>SEC-D12-Q36-A5</t>
  </si>
  <si>
    <t>Business-safe containment is built in (break-glass, staged controls, verified rollback) and tested; disruption is minimized and measured.</t>
  </si>
  <si>
    <t>Exercise report + metrics</t>
  </si>
  <si>
    <t>SEC-D13-Q37-A0</t>
  </si>
  <si>
    <t>SEC-D13-Q37-A1</t>
  </si>
  <si>
    <t>We don’t test detections; we only learn after an incident or a major alert miss.</t>
  </si>
  <si>
    <t>testing_gap,reactive</t>
  </si>
  <si>
    <t>SEC-D13-Q37-A2</t>
  </si>
  <si>
    <t>We run ad-hoc tests when someone has time or after changes; results aren’t tracked systematically.</t>
  </si>
  <si>
    <t>ad_hoc,testing_gap</t>
  </si>
  <si>
    <t>Example of a past test</t>
  </si>
  <si>
    <t>SEC-D13-Q37-A3</t>
  </si>
  <si>
    <t>We run periodic table-tops or simulations, but coverage and outcomes are not measured.</t>
  </si>
  <si>
    <t>Exercise notes</t>
  </si>
  <si>
    <t>SEC-D13-Q37-A4</t>
  </si>
  <si>
    <t>We test priority insider scenarios at least quarterly; outcomes are tracked and drive improvements.</t>
  </si>
  <si>
    <t>Test plan + results</t>
  </si>
  <si>
    <t>SEC-D13-Q37-A5</t>
  </si>
  <si>
    <t>We use detection-as-code/testing (test cases, regression checks) and regular purple teaming; drift is detected automatically.</t>
  </si>
  <si>
    <t>Test pipeline proof</t>
  </si>
  <si>
    <t>SEC-D13-Q38-A0</t>
  </si>
  <si>
    <t>SEC-D13-Q38-A1</t>
  </si>
  <si>
    <t>We don’t measure triage quality; consistency depends on individual analysts.</t>
  </si>
  <si>
    <t>triage_quality_gap,key_person_dependency</t>
  </si>
  <si>
    <t>SEC-D13-Q38-A2</t>
  </si>
  <si>
    <t>We do occasional reviews, usually after complaints or audits, but not continuously.</t>
  </si>
  <si>
    <t>Example review</t>
  </si>
  <si>
    <t>SEC-D13-Q38-A3</t>
  </si>
  <si>
    <t>We sample cases and review accuracy sometimes; metrics exist but don’t consistently drive improvements.</t>
  </si>
  <si>
    <t>Sampling approach</t>
  </si>
  <si>
    <t>SEC-D13-Q38-A4</t>
  </si>
  <si>
    <t>We run regular sampling and second-pair review with clear metrics (false negatives/positives); training is data-driven.</t>
  </si>
  <si>
    <t>Dashboard evidence</t>
  </si>
  <si>
    <t>SEC-D13-Q38-A5</t>
  </si>
  <si>
    <t>We use blind reviews/bias checks, structured coaching, and continuous improvement loops; quality metrics are board-visible where relevant.</t>
  </si>
  <si>
    <t>QA program evidence</t>
  </si>
  <si>
    <t>SEC-D13-Q39-A0</t>
  </si>
  <si>
    <t>SEC-D13-Q39-A1</t>
  </si>
  <si>
    <t>Alert fatigue is high; people ignore alerts or disable noisy rules; business impact isn’t measured.</t>
  </si>
  <si>
    <t>bypass_pressure,alert_fatigue</t>
  </si>
  <si>
    <t>Alert volume evidence</t>
  </si>
  <si>
    <t>SEC-D13-Q39-A2</t>
  </si>
  <si>
    <t>We tune occasionally, but decisions are subjective and not linked to business impact or crown jewels.</t>
  </si>
  <si>
    <t>Example tuning change</t>
  </si>
  <si>
    <t>SEC-D13-Q39-A3</t>
  </si>
  <si>
    <t>We track false positives, but tuning is slow and often trades away coverage.</t>
  </si>
  <si>
    <t>FP metrics</t>
  </si>
  <si>
    <t>SEC-D13-Q39-A4</t>
  </si>
  <si>
    <t>We tune with metrics and risk-based targeting (HVAs/high-risk roles); changes are documented and reviewed.</t>
  </si>
  <si>
    <t>Change log</t>
  </si>
  <si>
    <t>SEC-D13-Q39-A5</t>
  </si>
  <si>
    <t>We continuously optimize with measured impact, automation, and drift detection; friction is minimized without losing coverage.</t>
  </si>
  <si>
    <t>Optimization evidence</t>
  </si>
  <si>
    <t>SEC-D14-Q40-A0</t>
  </si>
  <si>
    <t>SEC-D14-Q40-A1</t>
  </si>
  <si>
    <t>We don’t consistently collect cloud/SaaS audit trails; visibility into sharing/exfiltration is limited.</t>
  </si>
  <si>
    <t>cloud_visibility_gap,visibility_gap</t>
  </si>
  <si>
    <t>List of SaaS used</t>
  </si>
  <si>
    <t>SEC-D14-Q40-A2</t>
  </si>
  <si>
    <t>Some audit trails exist, but they’re not centralized and are hard to use in investigations.</t>
  </si>
  <si>
    <t>partial_visibility,ad_hoc</t>
  </si>
  <si>
    <t>Where logs live</t>
  </si>
  <si>
    <t>SEC-D14-Q40-A3</t>
  </si>
  <si>
    <t>We collect key audit logs centrally, but monitoring focuses on generic alerts and misses risky sharing patterns.</t>
  </si>
  <si>
    <t>Example alerts</t>
  </si>
  <si>
    <t>SEC-D14-Q40-A4</t>
  </si>
  <si>
    <t>We collect and monitor audit trails for key services; risky sharing/exfil patterns are in scope for detection.</t>
  </si>
  <si>
    <t>Detection list</t>
  </si>
  <si>
    <t>SEC-D14-Q40-A5</t>
  </si>
  <si>
    <t>Cloud/SaaS logs are comprehensive, correlated with identity and data sensitivity, and validated for coverage.</t>
  </si>
  <si>
    <t>Coverage proof</t>
  </si>
  <si>
    <t>SEC-D14-Q41-A0</t>
  </si>
  <si>
    <t>SEC-D14-Q41-A1</t>
  </si>
  <si>
    <t>Controls are mostly blanket blocking; it disrupts work and pushes people to workarounds/shadow tools.</t>
  </si>
  <si>
    <t>bypass_pressure,dlp_tuning_gap</t>
  </si>
  <si>
    <t>Examples of blocked work</t>
  </si>
  <si>
    <t>SEC-D14-Q41-A2</t>
  </si>
  <si>
    <t>Controls exist but are inconsistently applied; exceptions are informal and not tracked.</t>
  </si>
  <si>
    <t>ad_hoc,inconsistent_execution</t>
  </si>
  <si>
    <t>Exception process</t>
  </si>
  <si>
    <t>SEC-D14-Q41-A3</t>
  </si>
  <si>
    <t>We have some risk-based controls, but crown jewels mapping isn’t strong enough to tune confidently.</t>
  </si>
  <si>
    <t>partial_maturity,partial_visibility</t>
  </si>
  <si>
    <t>Policy scope</t>
  </si>
  <si>
    <t>SEC-D14-Q41-A4</t>
  </si>
  <si>
    <t>Controls are tuned based on crown jewels and role risk; business impact is measured and exceptions are governed.</t>
  </si>
  <si>
    <t>SEC-D14-Q41-A5</t>
  </si>
  <si>
    <t>Controls are continuously optimized using measured impact and risk scoring; workarounds are minimized and monitored.</t>
  </si>
  <si>
    <t>Optimization proof</t>
  </si>
  <si>
    <t>LEG-D1-Q01-A0</t>
  </si>
  <si>
    <t>Clarify_Legal_Owner</t>
  </si>
  <si>
    <t>LEG-D1-Q01-A1</t>
  </si>
  <si>
    <t>No: Monitoring happens based on tool capability; no written basis or approvals.</t>
  </si>
  <si>
    <t>foundational_gap,legal_exposure,toxic_enforcer_signal</t>
  </si>
  <si>
    <t>Legal_Foundational_Setup</t>
  </si>
  <si>
    <t>LEG-D1-Q01-A2</t>
  </si>
  <si>
    <t>Partial: Some documents exist, but they are outdated, unclear, or not used in practice.</t>
  </si>
  <si>
    <t>Update_Policy_and_Approvals</t>
  </si>
  <si>
    <t>LEG-D1-Q01-A3</t>
  </si>
  <si>
    <t>Defined: Written basis and approvals exist and are used for most monitoring actions.</t>
  </si>
  <si>
    <t>Evidence_Request_Legal</t>
  </si>
  <si>
    <t>LEG-D1-Q01-A4</t>
  </si>
  <si>
    <t>Mature: Clearly defined purposes, approvals, and boundaries; reviewed at least annually.</t>
  </si>
  <si>
    <t>Maintain_and_Audit</t>
  </si>
  <si>
    <t>LEG-D1-Q02-A0</t>
  </si>
  <si>
    <t>No / rarely: We avoid monitoring staff activity unless legally required.</t>
  </si>
  <si>
    <t>avoid_ad_hoc</t>
  </si>
  <si>
    <t>LEG-D1-Q02-A1</t>
  </si>
  <si>
    <t>Yes, ad-hoc: People ‘take a look’ informally with no written rules.</t>
  </si>
  <si>
    <t>shadow_mature_signal,legal_exposure</t>
  </si>
  <si>
    <t>Implement_Guardrails</t>
  </si>
  <si>
    <t>LEG-D1-Q02-A2</t>
  </si>
  <si>
    <t>Yes, but controlled: There are informal guardrails (e.g., always involve HR/Legal) even if not fully documented.</t>
  </si>
  <si>
    <t>Formalize_Practice</t>
  </si>
  <si>
    <t>LEG-D1-Q02-A3</t>
  </si>
  <si>
    <t>Yes, governed: Monitoring checks follow documented criteria and approvals.</t>
  </si>
  <si>
    <t>LEG-D1-Q03-A0</t>
  </si>
  <si>
    <t>Clarify_Monitoring_Design</t>
  </si>
  <si>
    <t>LEG-D1-Q03-A1</t>
  </si>
  <si>
    <t>No: Same monitoring for everyone; no risk tiers.</t>
  </si>
  <si>
    <t>legal_exposure,toxic_enforcer_signal</t>
  </si>
  <si>
    <t>Design_Proportionality</t>
  </si>
  <si>
    <t>LEG-D1-Q03-A2</t>
  </si>
  <si>
    <t>Mostly ad-hoc: Some leaders apply judgment, but it’s not consistent.</t>
  </si>
  <si>
    <t>Formalize_Tiering</t>
  </si>
  <si>
    <t>LEG-D1-Q03-A3</t>
  </si>
  <si>
    <t>Yes: Risk tiers exist and are applied consistently.</t>
  </si>
  <si>
    <t>LEG-D1-Q03-A4</t>
  </si>
  <si>
    <t>Yes + reviewed: Tiers and criteria are reviewed and updated (e.g., after incidents or org changes).</t>
  </si>
  <si>
    <t>LEG-D1-Q04-A0</t>
  </si>
  <si>
    <t>Clarify_Transparency</t>
  </si>
  <si>
    <t>LEG-D1-Q04-A1</t>
  </si>
  <si>
    <t>No: Monitoring is secret or only discussed after an incident.</t>
  </si>
  <si>
    <t>toxic_enforcer_signal,legal_exposure</t>
  </si>
  <si>
    <t>Transparency_Plan</t>
  </si>
  <si>
    <t>LEG-D1-Q04-A2</t>
  </si>
  <si>
    <t>Minimal: Mentioned in long policies/contracts; most staff don’t understand it.</t>
  </si>
  <si>
    <t>Rewrite_Notice</t>
  </si>
  <si>
    <t>LEG-D1-Q04-A3</t>
  </si>
  <si>
    <t>Yes: Clear notice and training cover key points; employees know where to ask questions.</t>
  </si>
  <si>
    <t>Evidence_Request_Notice</t>
  </si>
  <si>
    <t>LEG-D1-Q04-A4</t>
  </si>
  <si>
    <t>Yes + feedback: We measure understanding and update communications based on questions/complaints.</t>
  </si>
  <si>
    <t>LEG-D1-Q05-A0</t>
  </si>
  <si>
    <t>Not applicable (no reps/requirements in our locations).</t>
  </si>
  <si>
    <t>not_applicable</t>
  </si>
  <si>
    <t>LEG-D1-Q05-A1</t>
  </si>
  <si>
    <t>No: We roll out monitoring first and handle concerns later.</t>
  </si>
  <si>
    <t>Engage_Reps</t>
  </si>
  <si>
    <t>LEG-D1-Q05-A2</t>
  </si>
  <si>
    <t>Sometimes: Engagement depends on project lead; not predictable.</t>
  </si>
  <si>
    <t>Standardize_Engagement</t>
  </si>
  <si>
    <t>LEG-D1-Q05-A3</t>
  </si>
  <si>
    <t>Yes: Engagement is built into change governance and documented.</t>
  </si>
  <si>
    <t>LEG-D1-Q06-A0</t>
  </si>
  <si>
    <t>Clarify_DPIA</t>
  </si>
  <si>
    <t>LEG-D1-Q06-A1</t>
  </si>
  <si>
    <t>No: We have not assessed privacy impact for monitoring.</t>
  </si>
  <si>
    <t>Conduct_Assessment</t>
  </si>
  <si>
    <t>LEG-D1-Q06-A2</t>
  </si>
  <si>
    <t>Planned: We intend to do it, but it’s not completed or not used.</t>
  </si>
  <si>
    <t>Complete_Assessment</t>
  </si>
  <si>
    <t>LEG-D1-Q06-A3</t>
  </si>
  <si>
    <t>Yes: Assessments exist for key monitoring activities and are referenced in decisions.</t>
  </si>
  <si>
    <t>Evidence_Request_DPIA</t>
  </si>
  <si>
    <t>LEG-D1-Q06-A4</t>
  </si>
  <si>
    <t>Yes + living: Assessments are updated after changes/incidents and checked by privacy/legal.</t>
  </si>
  <si>
    <t>LEG-D2-Q07-A0</t>
  </si>
  <si>
    <t>Clarify_Access_Control</t>
  </si>
  <si>
    <t>LEG-D2-Q07-A1</t>
  </si>
  <si>
    <t>No: Many admins can access logs/data; no audit trail.</t>
  </si>
  <si>
    <t>Restrict_Access</t>
  </si>
  <si>
    <t>LEG-D2-Q07-A2</t>
  </si>
  <si>
    <t>Partial: Some restrictions exist, but shared access or logging gaps remain.</t>
  </si>
  <si>
    <t>Harden_Access_Controls</t>
  </si>
  <si>
    <t>LEG-D2-Q07-A3</t>
  </si>
  <si>
    <t>Yes: Access is restricted and logged for most monitoring datasets.</t>
  </si>
  <si>
    <t>Evidence_Request_AccessLogs</t>
  </si>
  <si>
    <t>LEG-D2-Q07-A4</t>
  </si>
  <si>
    <t>Yes + reviewed: Access is logged, reviewed, and periodically re-approved.</t>
  </si>
  <si>
    <t>LEG-D2-Q08-A0</t>
  </si>
  <si>
    <t>No: We keep logs ‘as long as possible’ without clear rules.</t>
  </si>
  <si>
    <t>Define_Retention</t>
  </si>
  <si>
    <t>LEG-D2-Q08-A1</t>
  </si>
  <si>
    <t>Ad-hoc: Retention differs by system/team; not consistent.</t>
  </si>
  <si>
    <t>Standardize_Retention</t>
  </si>
  <si>
    <t>LEG-D2-Q08-A2</t>
  </si>
  <si>
    <t>Defined: Retention limits exist for most datasets; holds used for active cases.</t>
  </si>
  <si>
    <t>Evidence_Request_Retention</t>
  </si>
  <si>
    <t>LEG-D2-Q08-A3</t>
  </si>
  <si>
    <t>Optimized: Automated retention + legal holds with audit trails.</t>
  </si>
  <si>
    <t>LEG-D2-Q09-A0</t>
  </si>
  <si>
    <t>Clarify_Data_Location</t>
  </si>
  <si>
    <t>LEG-D2-Q09-A1</t>
  </si>
  <si>
    <t>No: We don’t track where monitoring data is stored.</t>
  </si>
  <si>
    <t>Map_Data_Location</t>
  </si>
  <si>
    <t>LEG-D2-Q09-A2</t>
  </si>
  <si>
    <t>Partial: Some systems are tracked; others (SaaS/MSSP tools) are unclear.</t>
  </si>
  <si>
    <t>Complete_Data_Flow_Map</t>
  </si>
  <si>
    <t>LEG-D2-Q09-A3</t>
  </si>
  <si>
    <t>Yes: Locations are known and cross-border transfers are documented.</t>
  </si>
  <si>
    <t>Evidence_Request_DataFlows</t>
  </si>
  <si>
    <t>LEG-D2-Q09-A4</t>
  </si>
  <si>
    <t>Optimized: Automated controls/geo-fencing and regular validation.</t>
  </si>
  <si>
    <t>LEG-D2-Q10-A0</t>
  </si>
  <si>
    <t>No: We improvise case-by-case; high risk of mistakes.</t>
  </si>
  <si>
    <t>Define_DSAR_Process</t>
  </si>
  <si>
    <t>LEG-D2-Q10-A1</t>
  </si>
  <si>
    <t>Partial: Legal handles it, but operational teams struggle to find records.</t>
  </si>
  <si>
    <t>Improve_Record_Retrieval</t>
  </si>
  <si>
    <t>LEG-D2-Q10-A2</t>
  </si>
  <si>
    <t>Yes: Process exists and is tested occasionally.</t>
  </si>
  <si>
    <t>Evidence_Request_Process</t>
  </si>
  <si>
    <t>LEG-D2-Q10-A3</t>
  </si>
  <si>
    <t>Optimized: Clear playbook, separation of duties, and metrics on response quality/time.</t>
  </si>
  <si>
    <t>LEG-D3-Q11-A0</t>
  </si>
  <si>
    <t>Clarify_Evidence_Process</t>
  </si>
  <si>
    <t>LEG-D3-Q11-A1</t>
  </si>
  <si>
    <t>No: Evidence handling is informal (screenshots, shared folders).</t>
  </si>
  <si>
    <t>Implement_ChainOfCustody</t>
  </si>
  <si>
    <t>LEG-D3-Q11-A2</t>
  </si>
  <si>
    <t>Partial: Forms exist but are not consistently used.</t>
  </si>
  <si>
    <t>Operationalize_ChainOfCustody</t>
  </si>
  <si>
    <t>LEG-D3-Q11-A3</t>
  </si>
  <si>
    <t>Yes: Process is used for most cases and audited occasionally.</t>
  </si>
  <si>
    <t>Evidence_Request_CoC</t>
  </si>
  <si>
    <t>LEG-D3-Q11-A4</t>
  </si>
  <si>
    <t>Optimized: Tamper-resistant logging + independent verification for critical cases.</t>
  </si>
  <si>
    <t>LEG-D3-Q12-A0</t>
  </si>
  <si>
    <t>No: We rely on ad-hoc log pulls and manual screenshots.</t>
  </si>
  <si>
    <t>Improve_Forensic_Readiness</t>
  </si>
  <si>
    <t>LEG-D3-Q12-A1</t>
  </si>
  <si>
    <t>Partial: Tools exist but are not consistently used or people aren’t trained.</t>
  </si>
  <si>
    <t>Train_and_Standardize</t>
  </si>
  <si>
    <t>LEG-D3-Q12-A2</t>
  </si>
  <si>
    <t>Yes: Forensic approach is used for key systems and escalations.</t>
  </si>
  <si>
    <t>Evidence_Request_Forensics</t>
  </si>
  <si>
    <t>LEG-D3-Q12-A3</t>
  </si>
  <si>
    <t>Optimized: Standard tooling, rapid preservation, and periodic exercises.</t>
  </si>
  <si>
    <t>LEG-D4-Q13-A0</t>
  </si>
  <si>
    <t>Clarify_Whistle_Channel</t>
  </si>
  <si>
    <t>LEG-D4-Q13-A1</t>
  </si>
  <si>
    <t>No: People report only to managers; retaliation risk is unmanaged.</t>
  </si>
  <si>
    <t>culture_risk,legal_exposure</t>
  </si>
  <si>
    <t>Implement_Whistle_Channel</t>
  </si>
  <si>
    <t>LEG-D4-Q13-A2</t>
  </si>
  <si>
    <t>Exists on paper: Hotline/vendor exists but trust is low and leads are poor.</t>
  </si>
  <si>
    <t>Rebuild_Trust_Channel</t>
  </si>
  <si>
    <t>LEG-D4-Q13-A3</t>
  </si>
  <si>
    <t>Yes: Channel exists, used, and case handling is documented.</t>
  </si>
  <si>
    <t>Evidence_Request_Channel</t>
  </si>
  <si>
    <t>LEG-D4-Q13-A4</t>
  </si>
  <si>
    <t>Mature: Non-punitive culture + metrics (time to triage, retaliation checks) + periodic review.</t>
  </si>
  <si>
    <t>LEG-D4-Q14-A0</t>
  </si>
  <si>
    <t>No: We don’t track retaliation or follow up on reporters.</t>
  </si>
  <si>
    <t>Anti_Retaliation_Program</t>
  </si>
  <si>
    <t>LEG-D4-Q14-A1</t>
  </si>
  <si>
    <t>Sometimes: Depends on manager/HR partner.</t>
  </si>
  <si>
    <t>Standardize_Anti_Retaliation</t>
  </si>
  <si>
    <t>LEG-D4-Q14-A2</t>
  </si>
  <si>
    <t>Yes: Anti-retaliation checks exist for most cases.</t>
  </si>
  <si>
    <t>Evidence_Request_AntiRetaliation</t>
  </si>
  <si>
    <t>LEG-D4-Q14-A3</t>
  </si>
  <si>
    <t>Mature: Formal protections + anonymous feedback + reporting metrics.</t>
  </si>
  <si>
    <t>LEG-D5-Q15-A0</t>
  </si>
  <si>
    <t>No: Contracts rarely cover monitoring/investigation support.</t>
  </si>
  <si>
    <t>Update_Contracts</t>
  </si>
  <si>
    <t>LEG-D5-Q15-A1</t>
  </si>
  <si>
    <t>Partial: Standard clauses exist but not consistently applied.</t>
  </si>
  <si>
    <t>Standardize_Contract_Clauses</t>
  </si>
  <si>
    <t>LEG-D5-Q15-A2</t>
  </si>
  <si>
    <t>Yes: Clauses exist for key vendors and are checked during onboarding.</t>
  </si>
  <si>
    <t>Evidence_Request_Contracts</t>
  </si>
  <si>
    <t>LEG-D5-Q15-A3</t>
  </si>
  <si>
    <t>Optimized: Clauses + periodic assurance + vendor cooperation playbooks.</t>
  </si>
  <si>
    <t>LEG-D6-Q16-A0</t>
  </si>
  <si>
    <t>No: We decide during a crisis; roles and criteria are unclear.</t>
  </si>
  <si>
    <t>Define_LE_Criteria</t>
  </si>
  <si>
    <t>LEG-D6-Q16-A1</t>
  </si>
  <si>
    <t>Ad-hoc: A few leaders know contacts, but it’s not documented.</t>
  </si>
  <si>
    <t>Document_LE_Process</t>
  </si>
  <si>
    <t>LEG-D6-Q16-A2</t>
  </si>
  <si>
    <t>Yes: Criteria and process exist; tested in tabletop exercises.</t>
  </si>
  <si>
    <t>Evidence_Request_LE_Playbook</t>
  </si>
  <si>
    <t>LEG-D6-Q16-A3</t>
  </si>
  <si>
    <t>Mature: Pre-arranged contacts + evidence standards + regular reviews.</t>
  </si>
  <si>
    <t>LEG-D6-Q17-A0</t>
  </si>
  <si>
    <t>No defined approvals; whoever has admin access decides.</t>
  </si>
  <si>
    <t>Define_Approval_Workflow</t>
  </si>
  <si>
    <t>LEG-D6-Q17-A1</t>
  </si>
  <si>
    <t>Partial: Approvals exist but are informal (chat/email) and not retained.</t>
  </si>
  <si>
    <t>Formalize_Approvals</t>
  </si>
  <si>
    <t>LEG-D6-Q17-A2</t>
  </si>
  <si>
    <t>Yes: Approvals are documented and retained for most cases.</t>
  </si>
  <si>
    <t>Evidence_Request_Approvals</t>
  </si>
  <si>
    <t>LEG-D6-Q17-A3</t>
  </si>
  <si>
    <t>Mature: Multi-party approvals + periodic audit of intrusions.</t>
  </si>
  <si>
    <t>LEG-D7-Q18-A0</t>
  </si>
  <si>
    <t>No: We don’t review fairness or bias risks.</t>
  </si>
  <si>
    <t>Bias_Audit</t>
  </si>
  <si>
    <t>LEG-D7-Q18-A1</t>
  </si>
  <si>
    <t>Limited: Concerns handled case-by-case when raised.</t>
  </si>
  <si>
    <t>Define_Fairness_Safeguards</t>
  </si>
  <si>
    <t>LEG-D7-Q18-A2</t>
  </si>
  <si>
    <t>Yes: Periodic review and documented safeguards for key processes.</t>
  </si>
  <si>
    <t>Evidence_Request_BiasReview</t>
  </si>
  <si>
    <t>LEG-D7-Q18-A3</t>
  </si>
  <si>
    <t>Mature: Regular audits + corrective actions + transparency reporting.</t>
  </si>
  <si>
    <t>DATA-D1-Q01-A0</t>
  </si>
  <si>
    <t>Clarify_CrownJewels</t>
  </si>
  <si>
    <t>DATA-D1-Q01-A1</t>
  </si>
  <si>
    <t>No: There is no shared view; everything is treated the same.</t>
  </si>
  <si>
    <t>CrownJewel_Workshop</t>
  </si>
  <si>
    <t>DATA-D1-Q01-A2</t>
  </si>
  <si>
    <t>Informal: Key people know, but it’s not written down or agreed broadly.</t>
  </si>
  <si>
    <t>Document_CrownJewels</t>
  </si>
  <si>
    <t>DATA-D1-Q01-A3</t>
  </si>
  <si>
    <t>Defined: A list exists and is used for prioritizing protection.</t>
  </si>
  <si>
    <t>Evidence_Request_CJ_List</t>
  </si>
  <si>
    <t>DATA-D1-Q01-A4</t>
  </si>
  <si>
    <t>Mature: Crown jewels are linked to business risk and reviewed after changes (new products/M&amp;A).</t>
  </si>
  <si>
    <t>DATA-D1-Q02-A0</t>
  </si>
  <si>
    <t>No: People disagree or are unsure.</t>
  </si>
  <si>
    <t>DATA-D1-Q02-A1</t>
  </si>
  <si>
    <t>Yes, but person-dependent: Only a few ‘veterans’ know.</t>
  </si>
  <si>
    <t>shadow_mature_signal,key_person_dependency</t>
  </si>
  <si>
    <t>Formalize_Knowledge</t>
  </si>
  <si>
    <t>DATA-D1-Q02-A2</t>
  </si>
  <si>
    <t>Yes, broadly: Most leaders could name the top assets and owners.</t>
  </si>
  <si>
    <t>DATA-D1-Q03-A0</t>
  </si>
  <si>
    <t>No: Ownership is unclear; access is decided by IT or local managers.</t>
  </si>
  <si>
    <t>Assign_Data_Owners</t>
  </si>
  <si>
    <t>DATA-D1-Q03-A1</t>
  </si>
  <si>
    <t>Partial: Owners exist on paper but approvals are not consistent.</t>
  </si>
  <si>
    <t>Operationalize_Ownership</t>
  </si>
  <si>
    <t>DATA-D1-Q03-A2</t>
  </si>
  <si>
    <t>Yes: Owners approve access for key assets and are involved in exceptions.</t>
  </si>
  <si>
    <t>Evidence_Request_Ownership</t>
  </si>
  <si>
    <t>DATA-D1-Q03-A3</t>
  </si>
  <si>
    <t>Mature: Owners track access risk, review regularly, and remove unnecessary access.</t>
  </si>
  <si>
    <t>DATA-D2-Q04-A0</t>
  </si>
  <si>
    <t>Clarify_DataFlows</t>
  </si>
  <si>
    <t>DATA-D2-Q04-A1</t>
  </si>
  <si>
    <t>No: We don’t map data flows; sharing is mostly uncontrolled.</t>
  </si>
  <si>
    <t>Map_Data_Flows</t>
  </si>
  <si>
    <t>DATA-D2-Q04-A2</t>
  </si>
  <si>
    <t>Partial: We know core systems, but exports/sharing/SaaS are unclear.</t>
  </si>
  <si>
    <t>DATA-D2-Q04-A3</t>
  </si>
  <si>
    <t>Yes: Flows are documented for key assets and used in decisions.</t>
  </si>
  <si>
    <t>DATA-D2-Q04-A4</t>
  </si>
  <si>
    <t>Mature: Flows are validated and revisited after changes; owners are engaged.</t>
  </si>
  <si>
    <t>DATA-D2-Q05-A0</t>
  </si>
  <si>
    <t>No: Changes happen first; reviews happen (if at all) after issues.</t>
  </si>
  <si>
    <t>Change_Governance</t>
  </si>
  <si>
    <t>DATA-D2-Q05-A1</t>
  </si>
  <si>
    <t>Sometimes: Depends on project team; not consistent.</t>
  </si>
  <si>
    <t>Standardize_Change_Checks</t>
  </si>
  <si>
    <t>DATA-D2-Q05-A2</t>
  </si>
  <si>
    <t>Yes: Key changes include a mandatory review step.</t>
  </si>
  <si>
    <t>Evidence_Request_Change_Process</t>
  </si>
  <si>
    <t>DATA-D2-Q05-A3</t>
  </si>
  <si>
    <t>Mature: Automated triggers (e.g., new SaaS/vendor) plus measured time-to-control.</t>
  </si>
  <si>
    <t>DATA-D3-Q06-A0</t>
  </si>
  <si>
    <t>Clarify_Workarounds</t>
  </si>
  <si>
    <t>DATA-D3-Q06-A1</t>
  </si>
  <si>
    <t>High: Workarounds are common and accepted as ‘how work gets done’.</t>
  </si>
  <si>
    <t>Friction_Reduction</t>
  </si>
  <si>
    <t>DATA-D3-Q06-A2</t>
  </si>
  <si>
    <t>Known but unmanaged: We hear about workarounds, but don’t track or fix causes.</t>
  </si>
  <si>
    <t>Measure_Workarounds</t>
  </si>
  <si>
    <t>DATA-D3-Q06-A3</t>
  </si>
  <si>
    <t>Managed: We track key friction points and reduce them over time.</t>
  </si>
  <si>
    <t>Evidence_Request_Friction_Metrics</t>
  </si>
  <si>
    <t>DATA-D3-Q06-A4</t>
  </si>
  <si>
    <t>Mature: Controls are designed with business; low bypass and rapid exception handling.</t>
  </si>
  <si>
    <t>DATA-D3-Q07-A0</t>
  </si>
  <si>
    <t>No: People bypass controls because exceptions take too long.</t>
  </si>
  <si>
    <t>Build_Exception_Process</t>
  </si>
  <si>
    <t>DATA-D3-Q07-A1</t>
  </si>
  <si>
    <t>Ad-hoc: Exceptions happen via informal chats; not tracked.</t>
  </si>
  <si>
    <t>Formalize_Exceptions</t>
  </si>
  <si>
    <t>DATA-D3-Q07-A2</t>
  </si>
  <si>
    <t>Yes: Process exists and meets business needs most of the time.</t>
  </si>
  <si>
    <t>Evidence_Request_Exception_Process</t>
  </si>
  <si>
    <t>DATA-D3-Q07-A3</t>
  </si>
  <si>
    <t>Mature: SLA-driven, risk-tiered, and exceptions are reviewed to reduce root causes.</t>
  </si>
  <si>
    <t>DATA-D3-Q08-A0</t>
  </si>
  <si>
    <t>No: Teams choose tools independently; visibility is low.</t>
  </si>
  <si>
    <t>visibility_gap,bypass_pressure</t>
  </si>
  <si>
    <t>SaaS_Onboarding_Path</t>
  </si>
  <si>
    <t>DATA-D3-Q08-A1</t>
  </si>
  <si>
    <t>Partial: There is a process but it is slow, so teams bypass it.</t>
  </si>
  <si>
    <t>Speed_Up_Intake</t>
  </si>
  <si>
    <t>DATA-D3-Q08-A2</t>
  </si>
  <si>
    <t>Yes: Most teams use the process and it’s reasonably fast.</t>
  </si>
  <si>
    <t>Evidence_Request_SaaS_Intake</t>
  </si>
  <si>
    <t>DATA-D3-Q08-A3</t>
  </si>
  <si>
    <t>Mature: Automated discovery + approved catalog + measured adoption outcomes.</t>
  </si>
  <si>
    <t>DATA-D4-Q09-A0</t>
  </si>
  <si>
    <t>No: We can’t easily list who has high-value access.</t>
  </si>
  <si>
    <t>Map_Critical_Roles</t>
  </si>
  <si>
    <t>DATA-D4-Q09-A1</t>
  </si>
  <si>
    <t>Partial: IT can pull lists, but business does not review them.</t>
  </si>
  <si>
    <t>Business_Review_Access</t>
  </si>
  <si>
    <t>DATA-D4-Q09-A2</t>
  </si>
  <si>
    <t>Yes: Critical roles are defined and reviewed periodically.</t>
  </si>
  <si>
    <t>Evidence_Request_Role_Map</t>
  </si>
  <si>
    <t>DATA-D4-Q09-A3</t>
  </si>
  <si>
    <t>Mature: Reviews are risk-based, and access reductions are tracked.</t>
  </si>
  <si>
    <t>DATA-D4-Q10-A0</t>
  </si>
  <si>
    <t>No: Access only grows; removals happen mainly after incidents.</t>
  </si>
  <si>
    <t>Least_Privilege_Plan</t>
  </si>
  <si>
    <t>DATA-D4-Q10-A1</t>
  </si>
  <si>
    <t>Sometimes: Cleanups occur during projects but aren’t routine.</t>
  </si>
  <si>
    <t>Routine_Access_Cleanup</t>
  </si>
  <si>
    <t>DATA-D4-Q10-A2</t>
  </si>
  <si>
    <t>Yes: Regular cleanup for key systems; measured reductions.</t>
  </si>
  <si>
    <t>Evidence_Request_Access_Review</t>
  </si>
  <si>
    <t>DATA-D4-Q10-A3</t>
  </si>
  <si>
    <t>Mature: Automated signals + owner accountability + continuous improvement.</t>
  </si>
  <si>
    <t>DATA-D5-Q11-A0</t>
  </si>
  <si>
    <t>No: Posture stays the same during events.</t>
  </si>
  <si>
    <t>Change_Event_Playbook</t>
  </si>
  <si>
    <t>DATA-D5-Q11-A1</t>
  </si>
  <si>
    <t>Ad-hoc: Leaders ask for checks when worried; no standard triggers.</t>
  </si>
  <si>
    <t>Define_Event_Triggers</t>
  </si>
  <si>
    <t>DATA-D5-Q11-A2</t>
  </si>
  <si>
    <t>Yes: Standard playbook used for most major events.</t>
  </si>
  <si>
    <t>Evidence_Request_Event_Playbook</t>
  </si>
  <si>
    <t>DATA-D5-Q11-A3</t>
  </si>
  <si>
    <t>Mature: Automated triggers + measured time-to-tighten/relax controls.</t>
  </si>
  <si>
    <t>DATA-D5-Q12-A0</t>
  </si>
  <si>
    <t>No: There is no agreed trigger or process.</t>
  </si>
  <si>
    <t>Define_Risk_Posture_Triggers</t>
  </si>
  <si>
    <t>DATA-D5-Q12-A1</t>
  </si>
  <si>
    <t>Informal: Leaders alert security in chats; outcomes vary.</t>
  </si>
  <si>
    <t>Formalize_Trigger_Process</t>
  </si>
  <si>
    <t>DATA-D5-Q12-A2</t>
  </si>
  <si>
    <t>Yes: Documented criteria and approvals; used when needed.</t>
  </si>
  <si>
    <t>Evidence_Request_Trigger_Criteria</t>
  </si>
  <si>
    <t>DATA-D5-Q12-A3</t>
  </si>
  <si>
    <t>Mature: Integrated into workflow with audit trail and measured effectiveness.</t>
  </si>
  <si>
    <t>DATA-D6-Q13-A0</t>
  </si>
  <si>
    <t>No: We can’t easily list who receives sensitive data.</t>
  </si>
  <si>
    <t>ThirdParty_Inventory</t>
  </si>
  <si>
    <t>DATA-D6-Q13-A1</t>
  </si>
  <si>
    <t>Partial: Procurement has a list, but risk/owners are unclear.</t>
  </si>
  <si>
    <t>Assign_ThirdParty_Owners</t>
  </si>
  <si>
    <t>DATA-D6-Q13-A2</t>
  </si>
  <si>
    <t>Yes: Inventory exists for key vendors and is maintained.</t>
  </si>
  <si>
    <t>Evidence_Request_ThirdParty_List</t>
  </si>
  <si>
    <t>DATA-D6-Q13-A3</t>
  </si>
  <si>
    <t>Mature: Inventory + risk scoring + periodic reviews and exit plans.</t>
  </si>
  <si>
    <t>DATA-D7-Q14-A0</t>
  </si>
  <si>
    <t>No: Reporting is mostly technical or compliance-only.</t>
  </si>
  <si>
    <t>Business_Metrics</t>
  </si>
  <si>
    <t>DATA-D7-Q14-A1</t>
  </si>
  <si>
    <t>Some: We have occasional business reporting but it’s not consistent.</t>
  </si>
  <si>
    <t>Standardize_Business_Reporting</t>
  </si>
  <si>
    <t>DATA-D7-Q14-A2</t>
  </si>
  <si>
    <t>Yes: Regular dashboard with meaningful business indicators.</t>
  </si>
  <si>
    <t>Evidence_Request_Dashboard</t>
  </si>
  <si>
    <t>DATA-D7-Q14-A3</t>
  </si>
  <si>
    <t>Mature: Metrics drive decisions and are tied to remediation priorities.</t>
  </si>
  <si>
    <t>DATA-D8-Q15-A0</t>
  </si>
  <si>
    <t>No: Classification exists only as policy; not used in practice.</t>
  </si>
  <si>
    <t>Practical_Labeling</t>
  </si>
  <si>
    <t>DATA-D8-Q15-A1</t>
  </si>
  <si>
    <t>Partial: Some teams use it, but adoption is uneven.</t>
  </si>
  <si>
    <t>Increase_Adoption</t>
  </si>
  <si>
    <t>DATA-D8-Q15-A2</t>
  </si>
  <si>
    <t>Yes: Classification is embedded in key workflows and used broadly.</t>
  </si>
  <si>
    <t>Evidence_Request_Labeling</t>
  </si>
  <si>
    <t>DATA-D8-Q15-A3</t>
  </si>
  <si>
    <t>Mature: Measured adoption + automation + continuous improvement.</t>
  </si>
  <si>
    <t>ITIAM-D1-Q01-A0</t>
  </si>
  <si>
    <t>Clarify_Offboarding</t>
  </si>
  <si>
    <t>ITIAM-D1-Q01-A1</t>
  </si>
  <si>
    <t>Slow: Access removal can take days or weeks; depends on tickets.</t>
  </si>
  <si>
    <t>Improve_Offboarding</t>
  </si>
  <si>
    <t>ITIAM-D1-Q01-A2</t>
  </si>
  <si>
    <t>Same-day, manual: Admins usually remove access within a day using checklists.</t>
  </si>
  <si>
    <t>Automate_JML</t>
  </si>
  <si>
    <t>ITIAM-D1-Q01-A3</t>
  </si>
  <si>
    <t>Fast: Most access removed within hours using standardized process.</t>
  </si>
  <si>
    <t>Evidence_Request_JML</t>
  </si>
  <si>
    <t>ITIAM-D1-Q01-A4</t>
  </si>
  <si>
    <t>Optimized: Automated deprovisioning triggered by HR events; verified completion.</t>
  </si>
  <si>
    <t>ITIAM-D1-Q02-A0</t>
  </si>
  <si>
    <t>No: It’s inconsistent; depends on who is available.</t>
  </si>
  <si>
    <t>Standardize_Manual_JML</t>
  </si>
  <si>
    <t>ITIAM-D1-Q02-A1</t>
  </si>
  <si>
    <t>Yes, but person-dependent: A few admins ‘know the steps’.</t>
  </si>
  <si>
    <t>Document_Checklists</t>
  </si>
  <si>
    <t>ITIAM-D1-Q02-A2</t>
  </si>
  <si>
    <t>Yes: Checklist + approvals are used consistently for most exits.</t>
  </si>
  <si>
    <t>ITIAM-D1-Q03-A0</t>
  </si>
  <si>
    <t>No: HR and IT processes are disconnected.</t>
  </si>
  <si>
    <t>Integrate_HR_IT</t>
  </si>
  <si>
    <t>ITIAM-D1-Q03-A1</t>
  </si>
  <si>
    <t>Partial: Some systems are automated; others rely on tickets/emails.</t>
  </si>
  <si>
    <t>Expand_Automation</t>
  </si>
  <si>
    <t>ITIAM-D1-Q03-A2</t>
  </si>
  <si>
    <t>Yes: Most systems are automated for JML events.</t>
  </si>
  <si>
    <t>Evidence_Request_Integration</t>
  </si>
  <si>
    <t>ITIAM-D1-Q03-A3</t>
  </si>
  <si>
    <t>Optimized: Automated + reconciliation reports confirm all access removed/updated.</t>
  </si>
  <si>
    <t>ITIAM-D2-Q04-A0</t>
  </si>
  <si>
    <t>No: We can’t quickly produce an accurate access list.</t>
  </si>
  <si>
    <t>Access_Inventory</t>
  </si>
  <si>
    <t>ITIAM-D2-Q04-A1</t>
  </si>
  <si>
    <t>Partial: Some systems are covered; SaaS and shared accounts are gaps.</t>
  </si>
  <si>
    <t>Expand_Coverage</t>
  </si>
  <si>
    <t>ITIAM-D2-Q04-A2</t>
  </si>
  <si>
    <t>Yes: We can produce reliable access lists for key systems.</t>
  </si>
  <si>
    <t>Evidence_Request_Access_List</t>
  </si>
  <si>
    <t>ITIAM-D2-Q04-A3</t>
  </si>
  <si>
    <t>Optimized: Near-real-time visibility and ownership of access lists.</t>
  </si>
  <si>
    <t>ITIAM-D2-Q05-A0</t>
  </si>
  <si>
    <t>No: Access reviews are rare or only after incidents.</t>
  </si>
  <si>
    <t>Access_Reviews</t>
  </si>
  <si>
    <t>ITIAM-D2-Q05-A1</t>
  </si>
  <si>
    <t>Ad-hoc: Reviews happen sometimes but are not tracked to closure.</t>
  </si>
  <si>
    <t>Standardize_Access_Reviews</t>
  </si>
  <si>
    <t>ITIAM-D2-Q05-A2</t>
  </si>
  <si>
    <t>Yes: Reviews occur for key systems and removals are tracked.</t>
  </si>
  <si>
    <t>Evidence_Request_AccessReview</t>
  </si>
  <si>
    <t>ITIAM-D2-Q05-A3</t>
  </si>
  <si>
    <t>Optimized: Risk-based frequency + automation + audit trail.</t>
  </si>
  <si>
    <t>ITIAM-D3-Q06-A0</t>
  </si>
  <si>
    <t>Clarify_Privileged</t>
  </si>
  <si>
    <t>ITIAM-D3-Q06-A1</t>
  </si>
  <si>
    <t>Weak: Shared admin accounts or standing privilege with little oversight.</t>
  </si>
  <si>
    <t>visibility_gap,legal_exposure</t>
  </si>
  <si>
    <t>Implement_PAM</t>
  </si>
  <si>
    <t>ITIAM-D3-Q06-A2</t>
  </si>
  <si>
    <t>Basic: Named accounts and MFA, but standing privilege is common.</t>
  </si>
  <si>
    <t>Reduce_Standing_Privilege</t>
  </si>
  <si>
    <t>ITIAM-D3-Q06-A3</t>
  </si>
  <si>
    <t>Strong: Approval + logging for most privileged actions; limited standing privilege.</t>
  </si>
  <si>
    <t>Evidence_Request_PAM</t>
  </si>
  <si>
    <t>ITIAM-D3-Q06-A4</t>
  </si>
  <si>
    <t>Optimized: Just-in-time (time-bound) privilege + session controls + regular reviews.</t>
  </si>
  <si>
    <t>ITIAM-D3-Q07-A0</t>
  </si>
  <si>
    <t>No: Break-glass exists but isn’t reviewed; usage is unclear.</t>
  </si>
  <si>
    <t>Control_BreakGlass</t>
  </si>
  <si>
    <t>ITIAM-D3-Q07-A1</t>
  </si>
  <si>
    <t>Partial: Logs exist, but reviews are inconsistent.</t>
  </si>
  <si>
    <t>Review_BreakGlass</t>
  </si>
  <si>
    <t>ITIAM-D3-Q07-A2</t>
  </si>
  <si>
    <t>Yes: Every use is reviewed and documented.</t>
  </si>
  <si>
    <t>Evidence_Request_BG_Logs</t>
  </si>
  <si>
    <t>ITIAM-D3-Q07-A3</t>
  </si>
  <si>
    <t>Optimized: Automated alerts, approval workflow, and drills.</t>
  </si>
  <si>
    <t>ITIAM-D3-Q08-A0</t>
  </si>
  <si>
    <t>No: Privileged actions are hard to attribute after the fact.</t>
  </si>
  <si>
    <t>Privileged_Auditing</t>
  </si>
  <si>
    <t>ITIAM-D3-Q08-A1</t>
  </si>
  <si>
    <t>Partial: Some systems log well; others are blind spots.</t>
  </si>
  <si>
    <t>Expand_Privileged_Logging</t>
  </si>
  <si>
    <t>ITIAM-D3-Q08-A2</t>
  </si>
  <si>
    <t>Yes: Critical systems have strong auditing/recording.</t>
  </si>
  <si>
    <t>Evidence_Request_Priv_Sessions</t>
  </si>
  <si>
    <t>ITIAM-D3-Q08-A3</t>
  </si>
  <si>
    <t>Optimized: Tamper-resistant logs + periodic review and testing.</t>
  </si>
  <si>
    <t>ITIAM-D4-Q09-A0</t>
  </si>
  <si>
    <t>No: Contractors often keep access longer and controls are weaker.</t>
  </si>
  <si>
    <t>Contractor_Control</t>
  </si>
  <si>
    <t>ITIAM-D4-Q09-A1</t>
  </si>
  <si>
    <t>Partial: Controls exist but depend on project manager discipline.</t>
  </si>
  <si>
    <t>Standardize_Contractor_Process</t>
  </si>
  <si>
    <t>ITIAM-D4-Q09-A2</t>
  </si>
  <si>
    <t>Yes: Most contractors follow standard identity and offboarding controls.</t>
  </si>
  <si>
    <t>Evidence_Request_Contractor</t>
  </si>
  <si>
    <t>ITIAM-D4-Q09-A3</t>
  </si>
  <si>
    <t>Optimized: Automated expiry, periodic reviews, and vendor accountability.</t>
  </si>
  <si>
    <t>ITIAM-D4-Q10-A0</t>
  </si>
  <si>
    <t>No: Shared logins are common for vendors/MSPs.</t>
  </si>
  <si>
    <t>Eliminate_Shared_Accounts</t>
  </si>
  <si>
    <t>ITIAM-D4-Q10-A1</t>
  </si>
  <si>
    <t>Partial: Named accounts exist but shared accounts remain in some systems.</t>
  </si>
  <si>
    <t>Complete_Migration</t>
  </si>
  <si>
    <t>ITIAM-D4-Q10-A2</t>
  </si>
  <si>
    <t>Yes: Named accounts + MFA are standard for vendor access.</t>
  </si>
  <si>
    <t>Evidence_Request_Vendor_IDs</t>
  </si>
  <si>
    <t>ITIAM-D4-Q10-A3</t>
  </si>
  <si>
    <t>Optimized: Vendor access is time-bound and monitored like privileged access.</t>
  </si>
  <si>
    <t>ITIAM-D5-Q11-A0</t>
  </si>
  <si>
    <t>Clarify_Bypass</t>
  </si>
  <si>
    <t>ITIAM-D5-Q11-A1</t>
  </si>
  <si>
    <t>Yes, common: Work often requires bypassing controls.</t>
  </si>
  <si>
    <t>Reduce_Bypass</t>
  </si>
  <si>
    <t>ITIAM-D5-Q11-A2</t>
  </si>
  <si>
    <t>Sometimes: Bypasses occur under time pressure; not tracked.</t>
  </si>
  <si>
    <t>Track_Bypass</t>
  </si>
  <si>
    <t>ITIAM-D5-Q11-A3</t>
  </si>
  <si>
    <t>Rare: Bypasses are investigated and root causes addressed.</t>
  </si>
  <si>
    <t>Evidence_Request_Bypass_Handling</t>
  </si>
  <si>
    <t>ITIAM-D5-Q11-A4</t>
  </si>
  <si>
    <t>Optimized: Low bypass due to good UX + fast exceptions + monitoring.</t>
  </si>
  <si>
    <t>ITIAM-D5-Q12-A0</t>
  </si>
  <si>
    <t>No: Requests are slow; people find workarounds.</t>
  </si>
  <si>
    <t>Improve_Access_Request</t>
  </si>
  <si>
    <t>ITIAM-D5-Q12-A1</t>
  </si>
  <si>
    <t>Partial: SLAs exist but are not consistently met.</t>
  </si>
  <si>
    <t>Enforce_SLA</t>
  </si>
  <si>
    <t>ITIAM-D5-Q12-A2</t>
  </si>
  <si>
    <t>Yes: SLAs are met for most requests; exceptions are documented.</t>
  </si>
  <si>
    <t>Evidence_Request_SLA</t>
  </si>
  <si>
    <t>ITIAM-D5-Q12-A3</t>
  </si>
  <si>
    <t>Optimized: Automated provisioning for low-risk access and measured cycle time.</t>
  </si>
  <si>
    <t>ITIAM-D6-Q13-A0</t>
  </si>
  <si>
    <t>No: We cannot quickly disable access across systems.</t>
  </si>
  <si>
    <t>Containment_Playbook</t>
  </si>
  <si>
    <t>ITIAM-D6-Q13-A1</t>
  </si>
  <si>
    <t>Partial: We can disable core accounts but some SaaS/tokens remain active.</t>
  </si>
  <si>
    <t>Improve_Token_Revocation</t>
  </si>
  <si>
    <t>ITIAM-D6-Q13-A2</t>
  </si>
  <si>
    <t>Yes: We can disable access quickly for most systems.</t>
  </si>
  <si>
    <t>Evidence_Request_Containment</t>
  </si>
  <si>
    <t>ITIAM-D6-Q13-A3</t>
  </si>
  <si>
    <t>Optimized: Automated containment (risk-based) with audit trail and rollback.</t>
  </si>
  <si>
    <t>ITIAM-D6-Q14-A0</t>
  </si>
  <si>
    <t>No: Responses are manual and depend on people being available.</t>
  </si>
  <si>
    <t>Automate_Containment</t>
  </si>
  <si>
    <t>ITIAM-D6-Q14-A1</t>
  </si>
  <si>
    <t>Some: Limited playbooks exist for a few systems.</t>
  </si>
  <si>
    <t>Expand_Playbooks</t>
  </si>
  <si>
    <t>ITIAM-D6-Q14-A2</t>
  </si>
  <si>
    <t>Yes: Common identity risks have automated responses.</t>
  </si>
  <si>
    <t>Evidence_Request_Playbooks</t>
  </si>
  <si>
    <t>ITIAM-D6-Q14-A3</t>
  </si>
  <si>
    <t>Optimized: Risk-based automation with testing and governance.</t>
  </si>
  <si>
    <t>ITIAM-D7-Q15-A0</t>
  </si>
  <si>
    <t>No: Logs are scattered or short-lived; investigations are slow.</t>
  </si>
  <si>
    <t>Centralize_Logs</t>
  </si>
  <si>
    <t>ITIAM-D7-Q15-A1</t>
  </si>
  <si>
    <t>Partial: Logs exist but coverage gaps or retention issues remain.</t>
  </si>
  <si>
    <t>Improve_Log_Coverage</t>
  </si>
  <si>
    <t>ITIAM-D7-Q15-A2</t>
  </si>
  <si>
    <t>Yes: Central logging for key identity actions; retention supports investigations.</t>
  </si>
  <si>
    <t>Evidence_Request_Logs</t>
  </si>
  <si>
    <t>ITIAM-D7-Q15-A3</t>
  </si>
  <si>
    <t>Optimized: Tamper-resistant logs + regular verification and alerting.</t>
  </si>
  <si>
    <t>ITIAM-D8-Q16-A0</t>
  </si>
  <si>
    <t>No: Role/access updates take months after changes.</t>
  </si>
  <si>
    <t>Reduce_Control_Lag</t>
  </si>
  <si>
    <t>ITIAM-D8-Q16-A1</t>
  </si>
  <si>
    <t>Sometimes: Depends on the scale of change and team capacity.</t>
  </si>
  <si>
    <t>Plan_For_Change</t>
  </si>
  <si>
    <t>ITIAM-D8-Q16-A2</t>
  </si>
  <si>
    <t>Yes: Access updates are part of change projects and tracked.</t>
  </si>
  <si>
    <t>Evidence_Request_Change_Access</t>
  </si>
  <si>
    <t>ITIAM-D8-Q16-A3</t>
  </si>
  <si>
    <t>Optimized: Automated triggers + measured lag time + continuous controls.</t>
  </si>
  <si>
    <t>ITIAM-D9-Q17-A0</t>
  </si>
  <si>
    <t>No: Matching identities across systems is manual and error-prone.</t>
  </si>
  <si>
    <t>Identity_Correlation</t>
  </si>
  <si>
    <t>ITIAM-D9-Q17-A1</t>
  </si>
  <si>
    <t>Partial: Some systems link well; others are inconsistent.</t>
  </si>
  <si>
    <t>Unify_Identity_Key</t>
  </si>
  <si>
    <t>ITIAM-D9-Q17-A2</t>
  </si>
  <si>
    <t>Yes: Unique IDs are used broadly; attribution is reliable.</t>
  </si>
  <si>
    <t>Evidence_Request_ID_Key</t>
  </si>
  <si>
    <t>ITIAM-D9-Q17-A3</t>
  </si>
  <si>
    <t>Optimized: Automated correlation + quality checks + audit trail.</t>
  </si>
  <si>
    <t>ITIAM-D9-Q18-A0</t>
  </si>
  <si>
    <t>No: Sensitive actions can be performed with standing privileges.</t>
  </si>
  <si>
    <t>StepUp_Controls</t>
  </si>
  <si>
    <t>ITIAM-D9-Q18-A1</t>
  </si>
  <si>
    <t>Partial: Some actions require step-up; coverage is inconsistent.</t>
  </si>
  <si>
    <t>Expand_StepUp</t>
  </si>
  <si>
    <t>ITIAM-D9-Q18-A2</t>
  </si>
  <si>
    <t>Yes: Step-up controls cover most high-risk actions.</t>
  </si>
  <si>
    <t>Evidence_Request_StepUp</t>
  </si>
  <si>
    <t>ITIAM-D9-Q18-A3</t>
  </si>
  <si>
    <t>Optimized: Risk-based, tested controls with continuous review.</t>
  </si>
  <si>
    <t>AUD-D1-Q01-A0</t>
  </si>
  <si>
    <t>Clarify_Risk_Owners</t>
  </si>
  <si>
    <t>AUD-D1-Q01-A1</t>
  </si>
  <si>
    <t>No: Insider risk is not in ERM; ownership is unclear.</t>
  </si>
  <si>
    <t>governance_gap</t>
  </si>
  <si>
    <t>Integrate_ERM</t>
  </si>
  <si>
    <t>AUD-D1-Q01-A2</t>
  </si>
  <si>
    <t>Partial: Mentioned in risk registers but not actively managed.</t>
  </si>
  <si>
    <t>Operationalize_ERM</t>
  </si>
  <si>
    <t>AUD-D1-Q01-A3</t>
  </si>
  <si>
    <t>Yes: Defined in ERM with owners and escalation paths.</t>
  </si>
  <si>
    <t>Evidence_Request_ERM</t>
  </si>
  <si>
    <t>AUD-D1-Q01-A4</t>
  </si>
  <si>
    <t>Mature: Appetite, KRIs, and decisions are reviewed regularly; changes trigger updates.</t>
  </si>
  <si>
    <t>AUD-D1-Q02-A0</t>
  </si>
  <si>
    <t>No: We don’t test operating effectiveness; we rely on policy statements.</t>
  </si>
  <si>
    <t>Control_Testing</t>
  </si>
  <si>
    <t>AUD-D1-Q02-A1</t>
  </si>
  <si>
    <t>Ad-hoc: Testing happens occasionally or only for compliance.</t>
  </si>
  <si>
    <t>Assurance_Plan</t>
  </si>
  <si>
    <t>AUD-D1-Q02-A2</t>
  </si>
  <si>
    <t>Yes: A testing schedule exists and results are tracked.</t>
  </si>
  <si>
    <t>Evidence_Request_Testing</t>
  </si>
  <si>
    <t>AUD-D1-Q02-A3</t>
  </si>
  <si>
    <t>Mature: Risk-based testing + independent challenge + trend reporting.</t>
  </si>
  <si>
    <t>AUD-D1-Q03-A0</t>
  </si>
  <si>
    <t>No: Evidence is hard to find; practices are not recorded.</t>
  </si>
  <si>
    <t>Evidence_Model</t>
  </si>
  <si>
    <t>AUD-D1-Q03-A1</t>
  </si>
  <si>
    <t>Some: Evidence exists for a few areas but not consistently.</t>
  </si>
  <si>
    <t>Standardize_Evidence</t>
  </si>
  <si>
    <t>AUD-D1-Q03-A2</t>
  </si>
  <si>
    <t>Yes: Evidence is maintained for most key controls.</t>
  </si>
  <si>
    <t>Evidence_Request_EvidenceSet</t>
  </si>
  <si>
    <t>AUD-D1-Q03-A3</t>
  </si>
  <si>
    <t>Mature: Evidence is automated where possible and independently sampled.</t>
  </si>
  <si>
    <t>AUD-D2-Q04-A0</t>
  </si>
  <si>
    <t>No: Findings often remain open or get lost.</t>
  </si>
  <si>
    <t>Remediation_Tracking</t>
  </si>
  <si>
    <t>AUD-D2-Q04-A1</t>
  </si>
  <si>
    <t>Partial: Tracking exists but escalation is inconsistent.</t>
  </si>
  <si>
    <t>Escalation_Process</t>
  </si>
  <si>
    <t>AUD-D2-Q04-A2</t>
  </si>
  <si>
    <t>Yes: Central tracking with owners, deadlines, and closure evidence.</t>
  </si>
  <si>
    <t>Evidence_Request_Remediation</t>
  </si>
  <si>
    <t>AUD-D2-Q04-A3</t>
  </si>
  <si>
    <t>Mature: Trend analysis and root-cause prevention; board visibility for critical items.</t>
  </si>
  <si>
    <t>AUD-D2-Q05-A0</t>
  </si>
  <si>
    <t>No: Reporting is inconsistent or purely technical.</t>
  </si>
  <si>
    <t>Improve_KRIs</t>
  </si>
  <si>
    <t>AUD-D2-Q05-A1</t>
  </si>
  <si>
    <t>Some: Occasional reporting but it doesn’t influence decisions.</t>
  </si>
  <si>
    <t>Decision_Oriented_Reporting</t>
  </si>
  <si>
    <t>AUD-D2-Q05-A2</t>
  </si>
  <si>
    <t>Yes: Regular leadership reporting with clear actions/owners.</t>
  </si>
  <si>
    <t>Evidence_Request_KRI</t>
  </si>
  <si>
    <t>AUD-D2-Q05-A3</t>
  </si>
  <si>
    <t>Mature: Metrics tied to risk appetite and investment priorities; trend-based.</t>
  </si>
  <si>
    <t>AUD-D3-Q06-A0</t>
  </si>
  <si>
    <t>No: Change events are handled operationally; risk controls lag behind.</t>
  </si>
  <si>
    <t>Change_Risk_Assessment</t>
  </si>
  <si>
    <t>AUD-D3-Q06-A1</t>
  </si>
  <si>
    <t>Ad-hoc: Some events trigger reviews, but criteria vary.</t>
  </si>
  <si>
    <t>Standardize_Change_Risk</t>
  </si>
  <si>
    <t>AUD-D3-Q06-A2</t>
  </si>
  <si>
    <t>Yes: Standard assessment is used for major events.</t>
  </si>
  <si>
    <t>Evidence_Request_Change_Risk</t>
  </si>
  <si>
    <t>AUD-D3-Q06-A3</t>
  </si>
  <si>
    <t>Mature: Automated triggers + measured lag time + continuous improvement.</t>
  </si>
  <si>
    <t>AUD-D3-Q07-A0</t>
  </si>
  <si>
    <t>No: The same team designs and approves monitoring.</t>
  </si>
  <si>
    <t>Independent_Review</t>
  </si>
  <si>
    <t>AUD-D3-Q07-A1</t>
  </si>
  <si>
    <t>Partial: Reviews happen sometimes but aren’t consistent or documented.</t>
  </si>
  <si>
    <t>Formalize_Independent_Review</t>
  </si>
  <si>
    <t>AUD-D3-Q07-A2</t>
  </si>
  <si>
    <t>Yes: Independent review is required for key monitoring changes.</t>
  </si>
  <si>
    <t>Evidence_Request_Review</t>
  </si>
  <si>
    <t>AUD-D3-Q07-A3</t>
  </si>
  <si>
    <t>Mature: Periodic audits + documented safeguards + improvements tracked.</t>
  </si>
  <si>
    <t>AUD-D4-Q08-A0</t>
  </si>
  <si>
    <t>No: Vendors are trusted by default; limited assurance.</t>
  </si>
  <si>
    <t>ThirdParty_Assurance</t>
  </si>
  <si>
    <t>AUD-D4-Q08-A1</t>
  </si>
  <si>
    <t>Partial: Contracts mention it, but evidence is rarely checked.</t>
  </si>
  <si>
    <t>Enforce_Vendor_Evidence</t>
  </si>
  <si>
    <t>AUD-D4-Q08-A2</t>
  </si>
  <si>
    <t>Yes: Key vendors provide evidence and are reviewed periodically.</t>
  </si>
  <si>
    <t>Evidence_Request_Vendor</t>
  </si>
  <si>
    <t>AUD-D4-Q08-A3</t>
  </si>
  <si>
    <t>Mature: Risk-based assurance with exit plans and exercise of cooperation clauses.</t>
  </si>
  <si>
    <t>AUD-D5-Q09-A0</t>
  </si>
  <si>
    <t>No: Reviews happen, but improvements are not tracked or retested.</t>
  </si>
  <si>
    <t>Lessons_Learned</t>
  </si>
  <si>
    <t>AUD-D5-Q09-A1</t>
  </si>
  <si>
    <t>Partial: Improvements are planned but often delayed.</t>
  </si>
  <si>
    <t>Track_Improvements</t>
  </si>
  <si>
    <t>AUD-D5-Q09-A2</t>
  </si>
  <si>
    <t>Yes: Reviews lead to changes and follow-up is verified.</t>
  </si>
  <si>
    <t>Evidence_Request_PostMortem</t>
  </si>
  <si>
    <t>AUD-D5-Q09-A3</t>
  </si>
  <si>
    <t>Mature: Pattern analysis prevents recurrence; changes are measured for effectiveness.</t>
  </si>
  <si>
    <t>AUD-D6-Q10-A0</t>
  </si>
  <si>
    <t>No: Monitoring data is broadly accessible or weakly controlled.</t>
  </si>
  <si>
    <t>Protect_Monitoring_Data</t>
  </si>
  <si>
    <t>AUD-D6-Q10-A1</t>
  </si>
  <si>
    <t>Partial: Controls exist but reviews are inconsistent.</t>
  </si>
  <si>
    <t>Periodic_Reviews</t>
  </si>
  <si>
    <t>AUD-D6-Q10-A2</t>
  </si>
  <si>
    <t>Yes: Strong controls and periodic reviews are in place.</t>
  </si>
  <si>
    <t>Evidence_Request_Protection</t>
  </si>
  <si>
    <t>AUD-D6-Q10-A3</t>
  </si>
  <si>
    <t>Mature: Independent audits and continuous improvement.</t>
  </si>
  <si>
    <t>EXCO</t>
  </si>
  <si>
    <t>EXCO-D3-Q03-A0</t>
  </si>
  <si>
    <t>ask_owner</t>
  </si>
  <si>
    <t>Pack</t>
  </si>
  <si>
    <t>Pts_G</t>
  </si>
  <si>
    <t>Pts_E</t>
  </si>
  <si>
    <t>Pts_T</t>
  </si>
  <si>
    <t>Pts_L</t>
  </si>
  <si>
    <t>Pts_H</t>
  </si>
  <si>
    <t>Pts_V</t>
  </si>
  <si>
    <t>Pts_R</t>
  </si>
  <si>
    <t>Pts_F</t>
  </si>
  <si>
    <t>Pts_W</t>
  </si>
  <si>
    <t>No: We do not clearly explain monitoring in practice (most employees would be surprised by what is monitored).</t>
  </si>
  <si>
    <t>paper_dragon_signal,transparency_gap</t>
  </si>
  <si>
    <t>Transparency Gap</t>
  </si>
  <si>
    <t>legal_transparency_review</t>
  </si>
  <si>
    <t>Provide monitoring notices/training materials, acceptable use communications, employee comms.</t>
  </si>
  <si>
    <t>AssessmentID</t>
  </si>
  <si>
    <t>RespondentRole</t>
  </si>
  <si>
    <t>RespondentType</t>
  </si>
  <si>
    <t>EvidenceTier</t>
  </si>
  <si>
    <t>EvidenceRecencyDays</t>
  </si>
  <si>
    <t>ScopeCoverage</t>
  </si>
  <si>
    <t>SamplingN</t>
  </si>
  <si>
    <t>AssessorConfidence</t>
  </si>
  <si>
    <t>Check</t>
  </si>
  <si>
    <t>SourceQID</t>
  </si>
  <si>
    <t>Field</t>
  </si>
  <si>
    <t>Target</t>
  </si>
  <si>
    <t>Status</t>
  </si>
  <si>
    <t>FrameworkMap</t>
  </si>
  <si>
    <t>LOW_CONF_0.026</t>
  </si>
  <si>
    <t>LOW_CONF_0.095</t>
  </si>
  <si>
    <t>LOW_CONF_0.088</t>
  </si>
  <si>
    <t>LOW_CONF_0.116</t>
  </si>
  <si>
    <t>LOW_CONF_0.091</t>
  </si>
  <si>
    <t>LOW_CONF_0.093</t>
  </si>
  <si>
    <t>LOW_CONF_0.081</t>
  </si>
  <si>
    <t>LOW_CONF_0.083</t>
  </si>
  <si>
    <t>LOW_CONF_0.077</t>
  </si>
  <si>
    <t>LOW_CONF_0.075</t>
  </si>
  <si>
    <t>LOW_CONF_0.067</t>
  </si>
  <si>
    <t>LOW_CONF_0.079</t>
  </si>
  <si>
    <t>LOW_CONF_0.073</t>
  </si>
  <si>
    <t>LOW_CONF_0.103</t>
  </si>
  <si>
    <t>LOW_CONF_0.087</t>
  </si>
  <si>
    <t>LOW_CONF_0.106</t>
  </si>
  <si>
    <t>LOW_CONF_0.085</t>
  </si>
  <si>
    <t>LOW_CONF_0.068</t>
  </si>
  <si>
    <t>LOW_CONF_0.098</t>
  </si>
  <si>
    <t>LOW_CONF_0.104</t>
  </si>
  <si>
    <t>LOW_CONF_0.082</t>
  </si>
  <si>
    <t>LOW_CONF_0.065</t>
  </si>
  <si>
    <t>LOW_CONF_0.089</t>
  </si>
  <si>
    <t>LOW_CONF_0.118</t>
  </si>
  <si>
    <t>LOW_CONF_0.100</t>
  </si>
  <si>
    <t>LOW_CONF_0.111</t>
  </si>
  <si>
    <t>LOW_CONF_0.086</t>
  </si>
  <si>
    <t>LOW_CONF_0.108</t>
  </si>
  <si>
    <t>LOW_CONF_0.113</t>
  </si>
  <si>
    <t>OUT_OF_EXPECTED_5. Human-Centric Culture</t>
  </si>
  <si>
    <t>OUT_OF_EXPECTED_4. Legal, Privacy &amp;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</si>
</sst>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baseColWidth="10" defaultColWidth="8.83203125" defaultRowHeight="15" x14ac:dyDescent="0.2"/>
  <cols>
    <col min="1" max="1" width="16" customWidth="1"/>
    <col min="2" max="3" width="60" customWidth="1"/>
  </cols>
  <sheetData>
    <row r="1" spans="1:3" ht="32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10" spans="1:3" x14ac:dyDescent="0.2">
      <c r="A10" t="s">
        <v>6</v>
      </c>
      <c r="B10" t="s">
        <v>11</v>
      </c>
      <c r="C10" t="s">
        <v>12</v>
      </c>
    </row>
    <row r="11" spans="1:3" x14ac:dyDescent="0.2">
      <c r="A11" t="s">
        <v>6</v>
      </c>
      <c r="B11" t="s">
        <v>4</v>
      </c>
      <c r="C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"/>
  <sheetViews>
    <sheetView workbookViewId="0"/>
  </sheetViews>
  <sheetFormatPr baseColWidth="10" defaultColWidth="8.83203125" defaultRowHeight="15" x14ac:dyDescent="0.2"/>
  <cols>
    <col min="1" max="1" width="21" customWidth="1"/>
    <col min="2" max="2" width="38" customWidth="1"/>
    <col min="3" max="3" width="60" customWidth="1"/>
  </cols>
  <sheetData>
    <row r="1" spans="1:3" ht="16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17</v>
      </c>
      <c r="B2" t="s">
        <v>18</v>
      </c>
      <c r="C2" t="s">
        <v>19</v>
      </c>
    </row>
    <row r="3" spans="1:3" x14ac:dyDescent="0.2">
      <c r="A3" t="s">
        <v>17</v>
      </c>
      <c r="B3" t="s">
        <v>20</v>
      </c>
      <c r="C3" t="s">
        <v>21</v>
      </c>
    </row>
    <row r="4" spans="1:3" x14ac:dyDescent="0.2">
      <c r="A4" t="s">
        <v>17</v>
      </c>
      <c r="B4" t="s">
        <v>22</v>
      </c>
      <c r="C4" t="s">
        <v>23</v>
      </c>
    </row>
    <row r="5" spans="1:3" x14ac:dyDescent="0.2">
      <c r="A5" t="s">
        <v>17</v>
      </c>
      <c r="B5" t="s">
        <v>24</v>
      </c>
      <c r="C5" t="s">
        <v>25</v>
      </c>
    </row>
    <row r="6" spans="1:3" x14ac:dyDescent="0.2">
      <c r="A6" t="s">
        <v>17</v>
      </c>
      <c r="B6" t="s">
        <v>26</v>
      </c>
      <c r="C6" t="s">
        <v>27</v>
      </c>
    </row>
    <row r="7" spans="1:3" x14ac:dyDescent="0.2">
      <c r="A7" t="s">
        <v>17</v>
      </c>
      <c r="B7" t="s">
        <v>28</v>
      </c>
      <c r="C7" t="s">
        <v>29</v>
      </c>
    </row>
    <row r="8" spans="1:3" x14ac:dyDescent="0.2">
      <c r="A8" t="s">
        <v>17</v>
      </c>
      <c r="B8" t="s">
        <v>30</v>
      </c>
      <c r="C8" t="s">
        <v>31</v>
      </c>
    </row>
    <row r="9" spans="1:3" x14ac:dyDescent="0.2">
      <c r="A9" t="s">
        <v>17</v>
      </c>
      <c r="B9" t="s">
        <v>32</v>
      </c>
      <c r="C9" t="s">
        <v>33</v>
      </c>
    </row>
    <row r="10" spans="1:3" x14ac:dyDescent="0.2">
      <c r="A10" t="s">
        <v>17</v>
      </c>
      <c r="B10" t="s">
        <v>34</v>
      </c>
      <c r="C10" t="s">
        <v>35</v>
      </c>
    </row>
    <row r="11" spans="1:3" x14ac:dyDescent="0.2">
      <c r="A11" t="s">
        <v>36</v>
      </c>
      <c r="B11" t="s">
        <v>37</v>
      </c>
      <c r="C11" t="s">
        <v>38</v>
      </c>
    </row>
    <row r="12" spans="1:3" x14ac:dyDescent="0.2">
      <c r="A12" t="s">
        <v>36</v>
      </c>
      <c r="B12" t="s">
        <v>39</v>
      </c>
      <c r="C12" t="s">
        <v>40</v>
      </c>
    </row>
    <row r="13" spans="1:3" x14ac:dyDescent="0.2">
      <c r="A13" t="s">
        <v>36</v>
      </c>
      <c r="B13" t="s">
        <v>41</v>
      </c>
      <c r="C13" t="s">
        <v>42</v>
      </c>
    </row>
    <row r="14" spans="1:3" x14ac:dyDescent="0.2">
      <c r="A14" t="s">
        <v>43</v>
      </c>
      <c r="B14" t="s">
        <v>44</v>
      </c>
      <c r="C14" t="s">
        <v>45</v>
      </c>
    </row>
    <row r="15" spans="1:3" x14ac:dyDescent="0.2">
      <c r="A15" t="s">
        <v>43</v>
      </c>
      <c r="B15" t="s">
        <v>46</v>
      </c>
      <c r="C15" t="s">
        <v>47</v>
      </c>
    </row>
    <row r="16" spans="1:3" x14ac:dyDescent="0.2">
      <c r="A16" t="s">
        <v>43</v>
      </c>
      <c r="B16" t="s">
        <v>48</v>
      </c>
      <c r="C16" t="s">
        <v>49</v>
      </c>
    </row>
    <row r="17" spans="1:3" x14ac:dyDescent="0.2">
      <c r="A17" t="s">
        <v>43</v>
      </c>
      <c r="B17" t="s">
        <v>50</v>
      </c>
      <c r="C17" t="s">
        <v>51</v>
      </c>
    </row>
    <row r="18" spans="1:3" x14ac:dyDescent="0.2">
      <c r="A18" t="s">
        <v>43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54</v>
      </c>
      <c r="B20" t="s">
        <v>57</v>
      </c>
      <c r="C20" t="s">
        <v>56</v>
      </c>
    </row>
    <row r="21" spans="1:3" x14ac:dyDescent="0.2">
      <c r="A21" t="s">
        <v>54</v>
      </c>
      <c r="B21" t="s">
        <v>58</v>
      </c>
      <c r="C21" t="s">
        <v>56</v>
      </c>
    </row>
    <row r="22" spans="1:3" x14ac:dyDescent="0.2">
      <c r="A22" t="s">
        <v>54</v>
      </c>
      <c r="B22" t="s">
        <v>59</v>
      </c>
      <c r="C22" t="s">
        <v>56</v>
      </c>
    </row>
    <row r="23" spans="1:3" x14ac:dyDescent="0.2">
      <c r="A23" t="s">
        <v>54</v>
      </c>
      <c r="B23" t="s">
        <v>60</v>
      </c>
      <c r="C23" t="s">
        <v>56</v>
      </c>
    </row>
    <row r="24" spans="1:3" x14ac:dyDescent="0.2">
      <c r="A24" t="s">
        <v>54</v>
      </c>
      <c r="B24" t="s">
        <v>61</v>
      </c>
      <c r="C24" t="s">
        <v>56</v>
      </c>
    </row>
    <row r="25" spans="1:3" x14ac:dyDescent="0.2">
      <c r="A25" t="s">
        <v>54</v>
      </c>
      <c r="B25" t="s">
        <v>62</v>
      </c>
      <c r="C25" t="s">
        <v>56</v>
      </c>
    </row>
    <row r="26" spans="1:3" x14ac:dyDescent="0.2">
      <c r="A26" t="s">
        <v>54</v>
      </c>
      <c r="B26" t="s">
        <v>63</v>
      </c>
      <c r="C26" t="s">
        <v>56</v>
      </c>
    </row>
    <row r="27" spans="1:3" x14ac:dyDescent="0.2">
      <c r="A27" t="s">
        <v>54</v>
      </c>
      <c r="B27" t="s">
        <v>64</v>
      </c>
      <c r="C27" t="s">
        <v>56</v>
      </c>
    </row>
    <row r="28" spans="1:3" x14ac:dyDescent="0.2">
      <c r="A28" t="s">
        <v>54</v>
      </c>
      <c r="B28" t="s">
        <v>65</v>
      </c>
      <c r="C28" t="s">
        <v>56</v>
      </c>
    </row>
    <row r="29" spans="1:3" x14ac:dyDescent="0.2">
      <c r="A29" t="s">
        <v>54</v>
      </c>
      <c r="B29" t="s">
        <v>66</v>
      </c>
      <c r="C29" t="s">
        <v>56</v>
      </c>
    </row>
    <row r="30" spans="1:3" x14ac:dyDescent="0.2">
      <c r="A30" t="s">
        <v>67</v>
      </c>
      <c r="B30" t="s">
        <v>68</v>
      </c>
      <c r="C30" t="s">
        <v>69</v>
      </c>
    </row>
    <row r="31" spans="1:3" x14ac:dyDescent="0.2">
      <c r="A31" t="s">
        <v>67</v>
      </c>
      <c r="B31" t="s">
        <v>70</v>
      </c>
      <c r="C31" t="s">
        <v>69</v>
      </c>
    </row>
    <row r="32" spans="1:3" x14ac:dyDescent="0.2">
      <c r="A32" t="s">
        <v>67</v>
      </c>
      <c r="B32" t="s">
        <v>71</v>
      </c>
      <c r="C32" t="s">
        <v>69</v>
      </c>
    </row>
    <row r="33" spans="1:3" x14ac:dyDescent="0.2">
      <c r="A33" t="s">
        <v>67</v>
      </c>
      <c r="B33" t="s">
        <v>72</v>
      </c>
      <c r="C33" t="s">
        <v>69</v>
      </c>
    </row>
    <row r="34" spans="1:3" x14ac:dyDescent="0.2">
      <c r="A34" t="s">
        <v>67</v>
      </c>
      <c r="B34" t="s">
        <v>73</v>
      </c>
      <c r="C34" t="s">
        <v>69</v>
      </c>
    </row>
    <row r="35" spans="1:3" x14ac:dyDescent="0.2">
      <c r="A35" t="s">
        <v>67</v>
      </c>
      <c r="B35" t="s">
        <v>74</v>
      </c>
      <c r="C35" t="s">
        <v>69</v>
      </c>
    </row>
    <row r="36" spans="1:3" x14ac:dyDescent="0.2">
      <c r="A36" t="s">
        <v>67</v>
      </c>
      <c r="B36" t="s">
        <v>75</v>
      </c>
      <c r="C36" t="s">
        <v>69</v>
      </c>
    </row>
    <row r="37" spans="1:3" x14ac:dyDescent="0.2">
      <c r="A37" t="s">
        <v>67</v>
      </c>
      <c r="B37" t="s">
        <v>76</v>
      </c>
      <c r="C37" t="s">
        <v>69</v>
      </c>
    </row>
    <row r="38" spans="1:3" x14ac:dyDescent="0.2">
      <c r="A38" t="s">
        <v>67</v>
      </c>
      <c r="B38" t="s">
        <v>77</v>
      </c>
      <c r="C38" t="s">
        <v>69</v>
      </c>
    </row>
    <row r="39" spans="1:3" x14ac:dyDescent="0.2">
      <c r="A39" t="s">
        <v>67</v>
      </c>
      <c r="B39" t="s">
        <v>78</v>
      </c>
      <c r="C39" t="s">
        <v>69</v>
      </c>
    </row>
    <row r="40" spans="1:3" x14ac:dyDescent="0.2">
      <c r="A40" t="s">
        <v>67</v>
      </c>
      <c r="B40" t="s">
        <v>79</v>
      </c>
      <c r="C40" t="s">
        <v>69</v>
      </c>
    </row>
    <row r="41" spans="1:3" x14ac:dyDescent="0.2">
      <c r="A41" t="s">
        <v>67</v>
      </c>
      <c r="B41" t="s">
        <v>80</v>
      </c>
      <c r="C41" t="s">
        <v>69</v>
      </c>
    </row>
    <row r="42" spans="1:3" x14ac:dyDescent="0.2">
      <c r="A42" t="s">
        <v>67</v>
      </c>
      <c r="B42" t="s">
        <v>81</v>
      </c>
      <c r="C42" t="s">
        <v>69</v>
      </c>
    </row>
    <row r="43" spans="1:3" x14ac:dyDescent="0.2">
      <c r="A43" t="s">
        <v>67</v>
      </c>
      <c r="B43" t="s">
        <v>82</v>
      </c>
      <c r="C43" t="s">
        <v>69</v>
      </c>
    </row>
    <row r="44" spans="1:3" x14ac:dyDescent="0.2">
      <c r="A44" t="s">
        <v>67</v>
      </c>
      <c r="B44" t="s">
        <v>83</v>
      </c>
      <c r="C44" t="s">
        <v>69</v>
      </c>
    </row>
    <row r="45" spans="1:3" x14ac:dyDescent="0.2">
      <c r="A45" t="s">
        <v>67</v>
      </c>
      <c r="B45" t="s">
        <v>84</v>
      </c>
      <c r="C45" t="s">
        <v>69</v>
      </c>
    </row>
    <row r="46" spans="1:3" x14ac:dyDescent="0.2">
      <c r="A46" t="s">
        <v>67</v>
      </c>
      <c r="B46" t="s">
        <v>85</v>
      </c>
      <c r="C46" t="s">
        <v>69</v>
      </c>
    </row>
    <row r="47" spans="1:3" x14ac:dyDescent="0.2">
      <c r="A47" t="s">
        <v>67</v>
      </c>
      <c r="B47" t="s">
        <v>86</v>
      </c>
      <c r="C47" t="s">
        <v>69</v>
      </c>
    </row>
    <row r="48" spans="1:3" x14ac:dyDescent="0.2">
      <c r="A48" t="s">
        <v>67</v>
      </c>
      <c r="B48" t="s">
        <v>87</v>
      </c>
      <c r="C48" t="s">
        <v>69</v>
      </c>
    </row>
    <row r="49" spans="1:3" x14ac:dyDescent="0.2">
      <c r="A49" t="s">
        <v>67</v>
      </c>
      <c r="B49" t="s">
        <v>88</v>
      </c>
      <c r="C49" t="s">
        <v>69</v>
      </c>
    </row>
    <row r="50" spans="1:3" x14ac:dyDescent="0.2">
      <c r="A50" t="s">
        <v>67</v>
      </c>
      <c r="B50" t="s">
        <v>89</v>
      </c>
      <c r="C50" t="s">
        <v>69</v>
      </c>
    </row>
    <row r="51" spans="1:3" x14ac:dyDescent="0.2">
      <c r="A51" t="s">
        <v>67</v>
      </c>
      <c r="B51" t="s">
        <v>90</v>
      </c>
      <c r="C51" t="s">
        <v>69</v>
      </c>
    </row>
    <row r="52" spans="1:3" x14ac:dyDescent="0.2">
      <c r="A52" t="s">
        <v>67</v>
      </c>
      <c r="B52" t="s">
        <v>91</v>
      </c>
      <c r="C52" t="s">
        <v>69</v>
      </c>
    </row>
    <row r="53" spans="1:3" x14ac:dyDescent="0.2">
      <c r="A53" t="s">
        <v>67</v>
      </c>
      <c r="B53" t="s">
        <v>92</v>
      </c>
      <c r="C53" t="s">
        <v>69</v>
      </c>
    </row>
    <row r="54" spans="1:3" x14ac:dyDescent="0.2">
      <c r="A54" t="s">
        <v>67</v>
      </c>
      <c r="B54" t="s">
        <v>93</v>
      </c>
      <c r="C54" t="s">
        <v>69</v>
      </c>
    </row>
    <row r="55" spans="1:3" x14ac:dyDescent="0.2">
      <c r="A55" t="s">
        <v>67</v>
      </c>
      <c r="B55" t="s">
        <v>94</v>
      </c>
      <c r="C55" t="s">
        <v>69</v>
      </c>
    </row>
    <row r="56" spans="1:3" x14ac:dyDescent="0.2">
      <c r="A56" t="s">
        <v>67</v>
      </c>
      <c r="B56" t="s">
        <v>95</v>
      </c>
      <c r="C56" t="s">
        <v>69</v>
      </c>
    </row>
    <row r="57" spans="1:3" x14ac:dyDescent="0.2">
      <c r="A57" t="s">
        <v>67</v>
      </c>
      <c r="B57" t="s">
        <v>96</v>
      </c>
      <c r="C57" t="s">
        <v>69</v>
      </c>
    </row>
    <row r="58" spans="1:3" x14ac:dyDescent="0.2">
      <c r="A58" t="s">
        <v>67</v>
      </c>
      <c r="B58" t="s">
        <v>97</v>
      </c>
      <c r="C58" t="s">
        <v>69</v>
      </c>
    </row>
    <row r="59" spans="1:3" x14ac:dyDescent="0.2">
      <c r="A59" t="s">
        <v>67</v>
      </c>
      <c r="B59" t="s">
        <v>98</v>
      </c>
      <c r="C59" t="s">
        <v>69</v>
      </c>
    </row>
    <row r="60" spans="1:3" x14ac:dyDescent="0.2">
      <c r="A60" t="s">
        <v>67</v>
      </c>
      <c r="B60" t="s">
        <v>99</v>
      </c>
      <c r="C60" t="s">
        <v>69</v>
      </c>
    </row>
    <row r="61" spans="1:3" x14ac:dyDescent="0.2">
      <c r="A61" t="s">
        <v>67</v>
      </c>
      <c r="B61" t="s">
        <v>100</v>
      </c>
      <c r="C61" t="s">
        <v>69</v>
      </c>
    </row>
    <row r="62" spans="1:3" x14ac:dyDescent="0.2">
      <c r="A62" t="s">
        <v>67</v>
      </c>
      <c r="B62" t="s">
        <v>101</v>
      </c>
      <c r="C62" t="s">
        <v>69</v>
      </c>
    </row>
    <row r="63" spans="1:3" x14ac:dyDescent="0.2">
      <c r="A63" t="s">
        <v>67</v>
      </c>
      <c r="B63" t="s">
        <v>102</v>
      </c>
      <c r="C63" t="s">
        <v>69</v>
      </c>
    </row>
    <row r="64" spans="1:3" x14ac:dyDescent="0.2">
      <c r="A64" t="s">
        <v>67</v>
      </c>
      <c r="B64" t="s">
        <v>103</v>
      </c>
      <c r="C64" t="s">
        <v>69</v>
      </c>
    </row>
    <row r="65" spans="1:3" x14ac:dyDescent="0.2">
      <c r="A65" t="s">
        <v>67</v>
      </c>
      <c r="B65" t="s">
        <v>104</v>
      </c>
      <c r="C65" t="s">
        <v>69</v>
      </c>
    </row>
    <row r="66" spans="1:3" x14ac:dyDescent="0.2">
      <c r="A66" t="s">
        <v>67</v>
      </c>
      <c r="B66" t="s">
        <v>105</v>
      </c>
      <c r="C66" t="s">
        <v>69</v>
      </c>
    </row>
    <row r="67" spans="1:3" x14ac:dyDescent="0.2">
      <c r="A67" t="s">
        <v>67</v>
      </c>
      <c r="B67" t="s">
        <v>106</v>
      </c>
      <c r="C67" t="s">
        <v>69</v>
      </c>
    </row>
    <row r="68" spans="1:3" x14ac:dyDescent="0.2">
      <c r="A68" t="s">
        <v>67</v>
      </c>
      <c r="B68" t="s">
        <v>107</v>
      </c>
      <c r="C68" t="s">
        <v>69</v>
      </c>
    </row>
    <row r="69" spans="1:3" x14ac:dyDescent="0.2">
      <c r="A69" t="s">
        <v>67</v>
      </c>
      <c r="B69" t="s">
        <v>108</v>
      </c>
      <c r="C69" t="s">
        <v>69</v>
      </c>
    </row>
    <row r="70" spans="1:3" x14ac:dyDescent="0.2">
      <c r="A70" t="s">
        <v>67</v>
      </c>
      <c r="B70" t="s">
        <v>109</v>
      </c>
      <c r="C70" t="s">
        <v>69</v>
      </c>
    </row>
    <row r="71" spans="1:3" x14ac:dyDescent="0.2">
      <c r="A71" t="s">
        <v>67</v>
      </c>
      <c r="B71" t="s">
        <v>110</v>
      </c>
      <c r="C71" t="s">
        <v>69</v>
      </c>
    </row>
    <row r="72" spans="1:3" x14ac:dyDescent="0.2">
      <c r="A72" t="s">
        <v>67</v>
      </c>
      <c r="B72" t="s">
        <v>111</v>
      </c>
      <c r="C72" t="s">
        <v>69</v>
      </c>
    </row>
    <row r="73" spans="1:3" x14ac:dyDescent="0.2">
      <c r="A73" t="s">
        <v>67</v>
      </c>
      <c r="B73" t="s">
        <v>112</v>
      </c>
      <c r="C73" t="s">
        <v>69</v>
      </c>
    </row>
    <row r="74" spans="1:3" x14ac:dyDescent="0.2">
      <c r="A74" t="s">
        <v>67</v>
      </c>
      <c r="B74" t="s">
        <v>113</v>
      </c>
      <c r="C74" t="s">
        <v>69</v>
      </c>
    </row>
    <row r="75" spans="1:3" x14ac:dyDescent="0.2">
      <c r="A75" t="s">
        <v>67</v>
      </c>
      <c r="B75" t="s">
        <v>114</v>
      </c>
      <c r="C75" t="s">
        <v>69</v>
      </c>
    </row>
    <row r="76" spans="1:3" x14ac:dyDescent="0.2">
      <c r="A76" t="s">
        <v>67</v>
      </c>
      <c r="B76" t="s">
        <v>115</v>
      </c>
      <c r="C76" t="s">
        <v>69</v>
      </c>
    </row>
    <row r="77" spans="1:3" x14ac:dyDescent="0.2">
      <c r="A77" t="s">
        <v>67</v>
      </c>
      <c r="B77" t="s">
        <v>116</v>
      </c>
      <c r="C77" t="s">
        <v>69</v>
      </c>
    </row>
    <row r="78" spans="1:3" x14ac:dyDescent="0.2">
      <c r="A78" t="s">
        <v>67</v>
      </c>
      <c r="B78" t="s">
        <v>117</v>
      </c>
      <c r="C78" t="s">
        <v>69</v>
      </c>
    </row>
    <row r="79" spans="1:3" x14ac:dyDescent="0.2">
      <c r="A79" t="s">
        <v>67</v>
      </c>
      <c r="B79" t="s">
        <v>118</v>
      </c>
      <c r="C79" t="s">
        <v>69</v>
      </c>
    </row>
    <row r="80" spans="1:3" x14ac:dyDescent="0.2">
      <c r="A80" t="s">
        <v>67</v>
      </c>
      <c r="B80" t="s">
        <v>119</v>
      </c>
      <c r="C80" t="s">
        <v>69</v>
      </c>
    </row>
    <row r="81" spans="1:3" x14ac:dyDescent="0.2">
      <c r="A81" t="s">
        <v>67</v>
      </c>
      <c r="B81" t="s">
        <v>120</v>
      </c>
      <c r="C81" t="s">
        <v>69</v>
      </c>
    </row>
    <row r="82" spans="1:3" x14ac:dyDescent="0.2">
      <c r="A82" t="s">
        <v>67</v>
      </c>
      <c r="B82" t="s">
        <v>121</v>
      </c>
      <c r="C82" t="s">
        <v>69</v>
      </c>
    </row>
    <row r="83" spans="1:3" x14ac:dyDescent="0.2">
      <c r="A83" t="s">
        <v>67</v>
      </c>
      <c r="B83" t="s">
        <v>122</v>
      </c>
      <c r="C83" t="s">
        <v>69</v>
      </c>
    </row>
    <row r="84" spans="1:3" x14ac:dyDescent="0.2">
      <c r="A84" t="s">
        <v>67</v>
      </c>
      <c r="B84" t="s">
        <v>123</v>
      </c>
      <c r="C84" t="s">
        <v>69</v>
      </c>
    </row>
    <row r="85" spans="1:3" x14ac:dyDescent="0.2">
      <c r="A85" t="s">
        <v>67</v>
      </c>
      <c r="B85" t="s">
        <v>124</v>
      </c>
      <c r="C85" t="s">
        <v>69</v>
      </c>
    </row>
    <row r="86" spans="1:3" x14ac:dyDescent="0.2">
      <c r="A86" t="s">
        <v>67</v>
      </c>
      <c r="B86" t="s">
        <v>125</v>
      </c>
      <c r="C86" t="s">
        <v>69</v>
      </c>
    </row>
    <row r="87" spans="1:3" x14ac:dyDescent="0.2">
      <c r="A87" t="s">
        <v>67</v>
      </c>
      <c r="B87" t="s">
        <v>126</v>
      </c>
      <c r="C87" t="s">
        <v>69</v>
      </c>
    </row>
    <row r="88" spans="1:3" x14ac:dyDescent="0.2">
      <c r="A88" t="s">
        <v>67</v>
      </c>
      <c r="B88" t="s">
        <v>127</v>
      </c>
      <c r="C88" t="s">
        <v>69</v>
      </c>
    </row>
    <row r="89" spans="1:3" x14ac:dyDescent="0.2">
      <c r="A89" t="s">
        <v>67</v>
      </c>
      <c r="B89" t="s">
        <v>128</v>
      </c>
      <c r="C89" t="s">
        <v>69</v>
      </c>
    </row>
    <row r="90" spans="1:3" x14ac:dyDescent="0.2">
      <c r="A90" t="s">
        <v>67</v>
      </c>
      <c r="B90" t="s">
        <v>129</v>
      </c>
      <c r="C90" t="s">
        <v>69</v>
      </c>
    </row>
    <row r="91" spans="1:3" x14ac:dyDescent="0.2">
      <c r="A91" t="s">
        <v>67</v>
      </c>
      <c r="B91" t="s">
        <v>130</v>
      </c>
      <c r="C91" t="s">
        <v>69</v>
      </c>
    </row>
    <row r="92" spans="1:3" x14ac:dyDescent="0.2">
      <c r="A92" t="s">
        <v>67</v>
      </c>
      <c r="B92" t="s">
        <v>131</v>
      </c>
      <c r="C92" t="s">
        <v>69</v>
      </c>
    </row>
    <row r="93" spans="1:3" x14ac:dyDescent="0.2">
      <c r="A93" t="s">
        <v>67</v>
      </c>
      <c r="B93" t="s">
        <v>132</v>
      </c>
      <c r="C93" t="s">
        <v>69</v>
      </c>
    </row>
    <row r="94" spans="1:3" x14ac:dyDescent="0.2">
      <c r="A94" t="s">
        <v>67</v>
      </c>
      <c r="B94" t="s">
        <v>133</v>
      </c>
      <c r="C94" t="s">
        <v>69</v>
      </c>
    </row>
    <row r="95" spans="1:3" x14ac:dyDescent="0.2">
      <c r="A95" t="s">
        <v>67</v>
      </c>
      <c r="B95" t="s">
        <v>134</v>
      </c>
      <c r="C95" t="s">
        <v>69</v>
      </c>
    </row>
    <row r="96" spans="1:3" x14ac:dyDescent="0.2">
      <c r="A96" t="s">
        <v>67</v>
      </c>
      <c r="B96" t="s">
        <v>135</v>
      </c>
      <c r="C96" t="s">
        <v>69</v>
      </c>
    </row>
    <row r="97" spans="1:3" x14ac:dyDescent="0.2">
      <c r="A97" t="s">
        <v>67</v>
      </c>
      <c r="B97" t="s">
        <v>136</v>
      </c>
      <c r="C97" t="s">
        <v>69</v>
      </c>
    </row>
    <row r="98" spans="1:3" x14ac:dyDescent="0.2">
      <c r="A98" t="s">
        <v>67</v>
      </c>
      <c r="B98" t="s">
        <v>137</v>
      </c>
      <c r="C98" t="s">
        <v>69</v>
      </c>
    </row>
    <row r="99" spans="1:3" x14ac:dyDescent="0.2">
      <c r="A99" t="s">
        <v>67</v>
      </c>
      <c r="B99" t="s">
        <v>138</v>
      </c>
      <c r="C99" t="s">
        <v>69</v>
      </c>
    </row>
    <row r="100" spans="1:3" x14ac:dyDescent="0.2">
      <c r="A100" t="s">
        <v>67</v>
      </c>
      <c r="B100" t="s">
        <v>139</v>
      </c>
      <c r="C100" t="s">
        <v>69</v>
      </c>
    </row>
    <row r="101" spans="1:3" x14ac:dyDescent="0.2">
      <c r="A101" t="s">
        <v>67</v>
      </c>
      <c r="B101" t="s">
        <v>140</v>
      </c>
      <c r="C101" t="s">
        <v>69</v>
      </c>
    </row>
    <row r="102" spans="1:3" x14ac:dyDescent="0.2">
      <c r="A102" t="s">
        <v>67</v>
      </c>
      <c r="B102" t="s">
        <v>141</v>
      </c>
      <c r="C102" t="s">
        <v>69</v>
      </c>
    </row>
    <row r="103" spans="1:3" x14ac:dyDescent="0.2">
      <c r="A103" t="s">
        <v>67</v>
      </c>
      <c r="B103" t="s">
        <v>142</v>
      </c>
      <c r="C103" t="s">
        <v>69</v>
      </c>
    </row>
    <row r="104" spans="1:3" x14ac:dyDescent="0.2">
      <c r="A104" t="s">
        <v>67</v>
      </c>
      <c r="B104" t="s">
        <v>143</v>
      </c>
      <c r="C104" t="s">
        <v>69</v>
      </c>
    </row>
    <row r="105" spans="1:3" x14ac:dyDescent="0.2">
      <c r="A105" t="s">
        <v>67</v>
      </c>
      <c r="B105" t="s">
        <v>144</v>
      </c>
      <c r="C105" t="s">
        <v>69</v>
      </c>
    </row>
    <row r="106" spans="1:3" x14ac:dyDescent="0.2">
      <c r="A106" t="s">
        <v>67</v>
      </c>
      <c r="B106" t="s">
        <v>145</v>
      </c>
      <c r="C106" t="s">
        <v>69</v>
      </c>
    </row>
    <row r="107" spans="1:3" x14ac:dyDescent="0.2">
      <c r="A107" t="s">
        <v>67</v>
      </c>
      <c r="B107" t="s">
        <v>146</v>
      </c>
      <c r="C107" t="s">
        <v>69</v>
      </c>
    </row>
    <row r="108" spans="1:3" x14ac:dyDescent="0.2">
      <c r="A108" t="s">
        <v>67</v>
      </c>
      <c r="B108" t="s">
        <v>147</v>
      </c>
      <c r="C108" t="s">
        <v>69</v>
      </c>
    </row>
    <row r="109" spans="1:3" x14ac:dyDescent="0.2">
      <c r="A109" t="s">
        <v>67</v>
      </c>
      <c r="B109" t="s">
        <v>148</v>
      </c>
      <c r="C109" t="s">
        <v>69</v>
      </c>
    </row>
    <row r="110" spans="1:3" x14ac:dyDescent="0.2">
      <c r="A110" t="s">
        <v>67</v>
      </c>
      <c r="B110" t="s">
        <v>149</v>
      </c>
      <c r="C110" t="s">
        <v>69</v>
      </c>
    </row>
    <row r="111" spans="1:3" x14ac:dyDescent="0.2">
      <c r="A111" t="s">
        <v>67</v>
      </c>
      <c r="B111" t="s">
        <v>150</v>
      </c>
      <c r="C111" t="s">
        <v>69</v>
      </c>
    </row>
    <row r="112" spans="1:3" x14ac:dyDescent="0.2">
      <c r="A112" t="s">
        <v>67</v>
      </c>
      <c r="B112" t="s">
        <v>151</v>
      </c>
      <c r="C112" t="s">
        <v>69</v>
      </c>
    </row>
    <row r="113" spans="1:3" x14ac:dyDescent="0.2">
      <c r="A113" t="s">
        <v>67</v>
      </c>
      <c r="B113" t="s">
        <v>152</v>
      </c>
      <c r="C113" t="s">
        <v>69</v>
      </c>
    </row>
    <row r="114" spans="1:3" x14ac:dyDescent="0.2">
      <c r="A114" t="s">
        <v>67</v>
      </c>
      <c r="B114" t="s">
        <v>153</v>
      </c>
      <c r="C114" t="s">
        <v>69</v>
      </c>
    </row>
    <row r="115" spans="1:3" x14ac:dyDescent="0.2">
      <c r="A115" t="s">
        <v>67</v>
      </c>
      <c r="B115" t="s">
        <v>154</v>
      </c>
      <c r="C115" t="s">
        <v>69</v>
      </c>
    </row>
    <row r="116" spans="1:3" x14ac:dyDescent="0.2">
      <c r="A116" t="s">
        <v>67</v>
      </c>
      <c r="B116" t="s">
        <v>155</v>
      </c>
      <c r="C116" t="s">
        <v>69</v>
      </c>
    </row>
    <row r="117" spans="1:3" x14ac:dyDescent="0.2">
      <c r="A117" t="s">
        <v>67</v>
      </c>
      <c r="B117" t="s">
        <v>156</v>
      </c>
      <c r="C117" t="s">
        <v>69</v>
      </c>
    </row>
    <row r="118" spans="1:3" x14ac:dyDescent="0.2">
      <c r="A118" t="s">
        <v>67</v>
      </c>
      <c r="B118" t="s">
        <v>157</v>
      </c>
      <c r="C118" t="s">
        <v>69</v>
      </c>
    </row>
    <row r="119" spans="1:3" x14ac:dyDescent="0.2">
      <c r="A119" t="s">
        <v>67</v>
      </c>
      <c r="B119" t="s">
        <v>158</v>
      </c>
      <c r="C119" t="s">
        <v>69</v>
      </c>
    </row>
    <row r="120" spans="1:3" x14ac:dyDescent="0.2">
      <c r="A120" t="s">
        <v>67</v>
      </c>
      <c r="B120" t="s">
        <v>159</v>
      </c>
      <c r="C120" t="s">
        <v>69</v>
      </c>
    </row>
    <row r="121" spans="1:3" x14ac:dyDescent="0.2">
      <c r="A121" t="s">
        <v>67</v>
      </c>
      <c r="B121" t="s">
        <v>160</v>
      </c>
      <c r="C121" t="s">
        <v>69</v>
      </c>
    </row>
    <row r="122" spans="1:3" x14ac:dyDescent="0.2">
      <c r="A122" t="s">
        <v>67</v>
      </c>
      <c r="B122" t="s">
        <v>161</v>
      </c>
      <c r="C122" t="s">
        <v>69</v>
      </c>
    </row>
    <row r="123" spans="1:3" x14ac:dyDescent="0.2">
      <c r="A123" t="s">
        <v>67</v>
      </c>
      <c r="B123" t="s">
        <v>162</v>
      </c>
      <c r="C123" t="s">
        <v>69</v>
      </c>
    </row>
    <row r="124" spans="1:3" x14ac:dyDescent="0.2">
      <c r="A124" t="s">
        <v>67</v>
      </c>
      <c r="B124" t="s">
        <v>163</v>
      </c>
      <c r="C124" t="s">
        <v>69</v>
      </c>
    </row>
    <row r="125" spans="1:3" x14ac:dyDescent="0.2">
      <c r="A125" t="s">
        <v>67</v>
      </c>
      <c r="B125" t="s">
        <v>164</v>
      </c>
      <c r="C125" t="s">
        <v>69</v>
      </c>
    </row>
    <row r="126" spans="1:3" x14ac:dyDescent="0.2">
      <c r="A126" t="s">
        <v>67</v>
      </c>
      <c r="B126" t="s">
        <v>165</v>
      </c>
      <c r="C126" t="s">
        <v>69</v>
      </c>
    </row>
    <row r="127" spans="1:3" x14ac:dyDescent="0.2">
      <c r="A127" t="s">
        <v>67</v>
      </c>
      <c r="B127" t="s">
        <v>166</v>
      </c>
      <c r="C127" t="s">
        <v>69</v>
      </c>
    </row>
    <row r="128" spans="1:3" x14ac:dyDescent="0.2">
      <c r="A128" t="s">
        <v>67</v>
      </c>
      <c r="B128" t="s">
        <v>167</v>
      </c>
      <c r="C128" t="s">
        <v>69</v>
      </c>
    </row>
    <row r="129" spans="1:3" x14ac:dyDescent="0.2">
      <c r="A129" t="s">
        <v>67</v>
      </c>
      <c r="B129" t="s">
        <v>168</v>
      </c>
      <c r="C129" t="s">
        <v>69</v>
      </c>
    </row>
    <row r="130" spans="1:3" x14ac:dyDescent="0.2">
      <c r="A130" t="s">
        <v>67</v>
      </c>
      <c r="B130" t="s">
        <v>169</v>
      </c>
      <c r="C130" t="s">
        <v>69</v>
      </c>
    </row>
    <row r="131" spans="1:3" x14ac:dyDescent="0.2">
      <c r="A131" t="s">
        <v>67</v>
      </c>
      <c r="B131" t="s">
        <v>170</v>
      </c>
      <c r="C131" t="s">
        <v>69</v>
      </c>
    </row>
    <row r="132" spans="1:3" x14ac:dyDescent="0.2">
      <c r="A132" t="s">
        <v>171</v>
      </c>
      <c r="B132" t="s">
        <v>172</v>
      </c>
      <c r="C132" t="s">
        <v>173</v>
      </c>
    </row>
    <row r="133" spans="1:3" x14ac:dyDescent="0.2">
      <c r="A133" t="s">
        <v>171</v>
      </c>
      <c r="B133" t="s">
        <v>174</v>
      </c>
      <c r="C133" t="s">
        <v>175</v>
      </c>
    </row>
    <row r="134" spans="1:3" x14ac:dyDescent="0.2">
      <c r="A134" t="s">
        <v>171</v>
      </c>
      <c r="B134" t="s">
        <v>176</v>
      </c>
      <c r="C134" t="s">
        <v>177</v>
      </c>
    </row>
    <row r="135" spans="1:3" x14ac:dyDescent="0.2">
      <c r="A135" t="s">
        <v>171</v>
      </c>
      <c r="B135" t="s">
        <v>178</v>
      </c>
      <c r="C135" t="s">
        <v>179</v>
      </c>
    </row>
    <row r="136" spans="1:3" x14ac:dyDescent="0.2">
      <c r="A136" t="s">
        <v>171</v>
      </c>
      <c r="B136" t="s">
        <v>180</v>
      </c>
      <c r="C136" t="s">
        <v>181</v>
      </c>
    </row>
    <row r="137" spans="1:3" x14ac:dyDescent="0.2">
      <c r="A137" t="s">
        <v>182</v>
      </c>
      <c r="B137" t="s">
        <v>183</v>
      </c>
      <c r="C137" t="s">
        <v>184</v>
      </c>
    </row>
    <row r="138" spans="1:3" x14ac:dyDescent="0.2">
      <c r="A138" t="s">
        <v>182</v>
      </c>
      <c r="B138" t="s">
        <v>185</v>
      </c>
      <c r="C138" t="s">
        <v>186</v>
      </c>
    </row>
    <row r="139" spans="1:3" x14ac:dyDescent="0.2">
      <c r="A139" t="s">
        <v>182</v>
      </c>
      <c r="B139" t="s">
        <v>187</v>
      </c>
      <c r="C139" t="s">
        <v>188</v>
      </c>
    </row>
    <row r="140" spans="1:3" x14ac:dyDescent="0.2">
      <c r="A140" t="s">
        <v>189</v>
      </c>
      <c r="B140" t="s">
        <v>190</v>
      </c>
      <c r="C140" t="s">
        <v>191</v>
      </c>
    </row>
    <row r="141" spans="1:3" x14ac:dyDescent="0.2">
      <c r="A141" t="s">
        <v>189</v>
      </c>
      <c r="B141" t="s">
        <v>192</v>
      </c>
      <c r="C141" t="s">
        <v>193</v>
      </c>
    </row>
    <row r="142" spans="1:3" x14ac:dyDescent="0.2">
      <c r="A142" t="s">
        <v>189</v>
      </c>
      <c r="B142" t="s">
        <v>194</v>
      </c>
      <c r="C142" t="s">
        <v>195</v>
      </c>
    </row>
    <row r="143" spans="1:3" x14ac:dyDescent="0.2">
      <c r="A143" t="s">
        <v>189</v>
      </c>
      <c r="B143" t="s">
        <v>196</v>
      </c>
      <c r="C143" t="s">
        <v>197</v>
      </c>
    </row>
    <row r="144" spans="1:3" x14ac:dyDescent="0.2">
      <c r="A144" t="s">
        <v>198</v>
      </c>
      <c r="B144" t="s">
        <v>199</v>
      </c>
      <c r="C144" t="s">
        <v>200</v>
      </c>
    </row>
    <row r="145" spans="1:3" x14ac:dyDescent="0.2">
      <c r="A145" t="s">
        <v>198</v>
      </c>
      <c r="B145" t="s">
        <v>43</v>
      </c>
      <c r="C145" t="s">
        <v>201</v>
      </c>
    </row>
    <row r="146" spans="1:3" x14ac:dyDescent="0.2">
      <c r="A146" t="s">
        <v>198</v>
      </c>
      <c r="B146" t="s">
        <v>202</v>
      </c>
      <c r="C146" t="s">
        <v>203</v>
      </c>
    </row>
    <row r="147" spans="1:3" x14ac:dyDescent="0.2">
      <c r="A147" t="s">
        <v>198</v>
      </c>
      <c r="B147" t="s">
        <v>204</v>
      </c>
      <c r="C147" t="s">
        <v>205</v>
      </c>
    </row>
    <row r="148" spans="1:3" x14ac:dyDescent="0.2">
      <c r="A148" t="s">
        <v>198</v>
      </c>
      <c r="B148" t="s">
        <v>206</v>
      </c>
      <c r="C148" t="s">
        <v>207</v>
      </c>
    </row>
    <row r="149" spans="1:3" x14ac:dyDescent="0.2">
      <c r="A149" t="s">
        <v>198</v>
      </c>
      <c r="B149" t="s">
        <v>208</v>
      </c>
      <c r="C149" t="s">
        <v>209</v>
      </c>
    </row>
    <row r="150" spans="1:3" x14ac:dyDescent="0.2">
      <c r="A150" t="s">
        <v>198</v>
      </c>
      <c r="B150" t="s">
        <v>210</v>
      </c>
      <c r="C150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2"/>
  <sheetViews>
    <sheetView workbookViewId="0"/>
  </sheetViews>
  <sheetFormatPr baseColWidth="10" defaultColWidth="8.83203125" defaultRowHeight="15" x14ac:dyDescent="0.2"/>
  <cols>
    <col min="1" max="2" width="10" customWidth="1"/>
    <col min="3" max="3" width="18" customWidth="1"/>
    <col min="4" max="4" width="21" customWidth="1"/>
    <col min="5" max="5" width="33" customWidth="1"/>
    <col min="6" max="6" width="24" customWidth="1"/>
    <col min="7" max="7" width="13" customWidth="1"/>
    <col min="8" max="8" width="11" customWidth="1"/>
    <col min="9" max="9" width="17" customWidth="1"/>
    <col min="10" max="10" width="10" customWidth="1"/>
    <col min="11" max="11" width="17" customWidth="1"/>
    <col min="12" max="12" width="13" customWidth="1"/>
  </cols>
  <sheetData>
    <row r="1" spans="1:12" ht="16" x14ac:dyDescent="0.2">
      <c r="A1" s="1" t="s">
        <v>36</v>
      </c>
      <c r="B1" s="1" t="s">
        <v>17</v>
      </c>
      <c r="C1" s="1" t="s">
        <v>43</v>
      </c>
      <c r="D1" s="1" t="s">
        <v>54</v>
      </c>
      <c r="E1" s="1" t="s">
        <v>67</v>
      </c>
      <c r="F1" s="1" t="s">
        <v>171</v>
      </c>
      <c r="G1" s="1" t="s">
        <v>182</v>
      </c>
      <c r="H1" s="1" t="s">
        <v>212</v>
      </c>
      <c r="I1" s="1" t="s">
        <v>213</v>
      </c>
      <c r="J1" s="1" t="s">
        <v>2</v>
      </c>
      <c r="K1" s="1" t="s">
        <v>214</v>
      </c>
      <c r="L1" s="1" t="s">
        <v>215</v>
      </c>
    </row>
    <row r="2" spans="1:12" x14ac:dyDescent="0.2">
      <c r="A2" t="s">
        <v>37</v>
      </c>
      <c r="B2" t="s">
        <v>18</v>
      </c>
      <c r="C2" t="s">
        <v>44</v>
      </c>
      <c r="D2" t="s">
        <v>55</v>
      </c>
      <c r="E2" t="s">
        <v>68</v>
      </c>
      <c r="F2" t="s">
        <v>216</v>
      </c>
      <c r="G2" t="s">
        <v>183</v>
      </c>
      <c r="H2" t="s">
        <v>217</v>
      </c>
      <c r="I2" t="s">
        <v>218</v>
      </c>
      <c r="K2" t="s">
        <v>219</v>
      </c>
      <c r="L2" t="s">
        <v>217</v>
      </c>
    </row>
    <row r="3" spans="1:12" x14ac:dyDescent="0.2">
      <c r="A3" t="s">
        <v>39</v>
      </c>
      <c r="B3" t="s">
        <v>20</v>
      </c>
      <c r="C3" t="s">
        <v>46</v>
      </c>
      <c r="D3" t="s">
        <v>57</v>
      </c>
      <c r="E3" t="s">
        <v>70</v>
      </c>
      <c r="F3" t="s">
        <v>220</v>
      </c>
      <c r="G3" t="s">
        <v>185</v>
      </c>
      <c r="H3" t="s">
        <v>221</v>
      </c>
      <c r="I3" t="s">
        <v>222</v>
      </c>
      <c r="K3" t="s">
        <v>223</v>
      </c>
      <c r="L3" t="s">
        <v>221</v>
      </c>
    </row>
    <row r="4" spans="1:12" x14ac:dyDescent="0.2">
      <c r="A4" t="s">
        <v>41</v>
      </c>
      <c r="B4" t="s">
        <v>22</v>
      </c>
      <c r="C4" t="s">
        <v>48</v>
      </c>
      <c r="D4" t="s">
        <v>58</v>
      </c>
      <c r="E4" t="s">
        <v>71</v>
      </c>
      <c r="F4" t="s">
        <v>224</v>
      </c>
      <c r="G4" t="s">
        <v>187</v>
      </c>
      <c r="H4" t="s">
        <v>225</v>
      </c>
      <c r="K4" t="s">
        <v>226</v>
      </c>
      <c r="L4" t="s">
        <v>225</v>
      </c>
    </row>
    <row r="5" spans="1:12" x14ac:dyDescent="0.2">
      <c r="A5" t="s">
        <v>227</v>
      </c>
      <c r="B5" t="s">
        <v>24</v>
      </c>
      <c r="C5" t="s">
        <v>50</v>
      </c>
      <c r="D5" t="s">
        <v>59</v>
      </c>
      <c r="E5" t="s">
        <v>72</v>
      </c>
      <c r="F5" t="s">
        <v>228</v>
      </c>
      <c r="H5" t="s">
        <v>229</v>
      </c>
      <c r="K5" t="s">
        <v>230</v>
      </c>
    </row>
    <row r="6" spans="1:12" x14ac:dyDescent="0.2">
      <c r="B6" t="s">
        <v>26</v>
      </c>
      <c r="C6" t="s">
        <v>52</v>
      </c>
      <c r="D6" t="s">
        <v>60</v>
      </c>
      <c r="E6" t="s">
        <v>73</v>
      </c>
      <c r="F6" t="s">
        <v>178</v>
      </c>
      <c r="H6" t="s">
        <v>231</v>
      </c>
    </row>
    <row r="7" spans="1:12" x14ac:dyDescent="0.2">
      <c r="B7" t="s">
        <v>28</v>
      </c>
      <c r="D7" t="s">
        <v>61</v>
      </c>
      <c r="E7" t="s">
        <v>74</v>
      </c>
      <c r="F7" t="s">
        <v>232</v>
      </c>
      <c r="H7" t="s">
        <v>233</v>
      </c>
    </row>
    <row r="8" spans="1:12" x14ac:dyDescent="0.2">
      <c r="B8" t="s">
        <v>30</v>
      </c>
      <c r="D8" t="s">
        <v>62</v>
      </c>
      <c r="E8" t="s">
        <v>75</v>
      </c>
      <c r="F8" t="s">
        <v>234</v>
      </c>
      <c r="H8" t="s">
        <v>235</v>
      </c>
    </row>
    <row r="9" spans="1:12" x14ac:dyDescent="0.2">
      <c r="B9" t="s">
        <v>32</v>
      </c>
      <c r="D9" t="s">
        <v>63</v>
      </c>
      <c r="E9" t="s">
        <v>76</v>
      </c>
      <c r="F9" t="s">
        <v>236</v>
      </c>
    </row>
    <row r="10" spans="1:12" x14ac:dyDescent="0.2">
      <c r="B10" t="s">
        <v>34</v>
      </c>
      <c r="D10" t="s">
        <v>64</v>
      </c>
      <c r="E10" t="s">
        <v>77</v>
      </c>
      <c r="F10" t="s">
        <v>180</v>
      </c>
    </row>
    <row r="11" spans="1:12" x14ac:dyDescent="0.2">
      <c r="D11" t="s">
        <v>65</v>
      </c>
      <c r="E11" t="s">
        <v>78</v>
      </c>
      <c r="F11" t="s">
        <v>237</v>
      </c>
    </row>
    <row r="12" spans="1:12" x14ac:dyDescent="0.2">
      <c r="D12" t="s">
        <v>66</v>
      </c>
      <c r="E12" t="s">
        <v>79</v>
      </c>
      <c r="F12" t="s">
        <v>238</v>
      </c>
    </row>
    <row r="13" spans="1:12" x14ac:dyDescent="0.2">
      <c r="E13" t="s">
        <v>80</v>
      </c>
      <c r="F13" t="s">
        <v>239</v>
      </c>
    </row>
    <row r="14" spans="1:12" x14ac:dyDescent="0.2">
      <c r="E14" t="s">
        <v>81</v>
      </c>
      <c r="F14" t="s">
        <v>240</v>
      </c>
    </row>
    <row r="15" spans="1:12" x14ac:dyDescent="0.2">
      <c r="E15" t="s">
        <v>82</v>
      </c>
      <c r="F15" t="s">
        <v>241</v>
      </c>
    </row>
    <row r="16" spans="1:12" x14ac:dyDescent="0.2">
      <c r="E16" t="s">
        <v>83</v>
      </c>
      <c r="F16" t="s">
        <v>242</v>
      </c>
    </row>
    <row r="17" spans="5:6" x14ac:dyDescent="0.2">
      <c r="E17" t="s">
        <v>84</v>
      </c>
      <c r="F17" t="s">
        <v>243</v>
      </c>
    </row>
    <row r="18" spans="5:6" x14ac:dyDescent="0.2">
      <c r="E18" t="s">
        <v>85</v>
      </c>
      <c r="F18" t="s">
        <v>244</v>
      </c>
    </row>
    <row r="19" spans="5:6" x14ac:dyDescent="0.2">
      <c r="E19" t="s">
        <v>86</v>
      </c>
      <c r="F19" t="s">
        <v>245</v>
      </c>
    </row>
    <row r="20" spans="5:6" x14ac:dyDescent="0.2">
      <c r="E20" t="s">
        <v>87</v>
      </c>
      <c r="F20" t="s">
        <v>246</v>
      </c>
    </row>
    <row r="21" spans="5:6" x14ac:dyDescent="0.2">
      <c r="E21" t="s">
        <v>88</v>
      </c>
      <c r="F21" t="s">
        <v>247</v>
      </c>
    </row>
    <row r="22" spans="5:6" x14ac:dyDescent="0.2">
      <c r="E22" t="s">
        <v>89</v>
      </c>
      <c r="F22" t="s">
        <v>248</v>
      </c>
    </row>
    <row r="23" spans="5:6" x14ac:dyDescent="0.2">
      <c r="E23" t="s">
        <v>90</v>
      </c>
      <c r="F23" t="s">
        <v>249</v>
      </c>
    </row>
    <row r="24" spans="5:6" x14ac:dyDescent="0.2">
      <c r="E24" t="s">
        <v>91</v>
      </c>
      <c r="F24" t="s">
        <v>250</v>
      </c>
    </row>
    <row r="25" spans="5:6" x14ac:dyDescent="0.2">
      <c r="E25" t="s">
        <v>92</v>
      </c>
      <c r="F25" t="s">
        <v>251</v>
      </c>
    </row>
    <row r="26" spans="5:6" x14ac:dyDescent="0.2">
      <c r="E26" t="s">
        <v>93</v>
      </c>
      <c r="F26" t="s">
        <v>252</v>
      </c>
    </row>
    <row r="27" spans="5:6" x14ac:dyDescent="0.2">
      <c r="E27" t="s">
        <v>94</v>
      </c>
      <c r="F27" t="s">
        <v>253</v>
      </c>
    </row>
    <row r="28" spans="5:6" x14ac:dyDescent="0.2">
      <c r="E28" t="s">
        <v>95</v>
      </c>
      <c r="F28" t="s">
        <v>254</v>
      </c>
    </row>
    <row r="29" spans="5:6" x14ac:dyDescent="0.2">
      <c r="E29" t="s">
        <v>96</v>
      </c>
      <c r="F29" t="s">
        <v>255</v>
      </c>
    </row>
    <row r="30" spans="5:6" x14ac:dyDescent="0.2">
      <c r="E30" t="s">
        <v>97</v>
      </c>
      <c r="F30" t="s">
        <v>256</v>
      </c>
    </row>
    <row r="31" spans="5:6" x14ac:dyDescent="0.2">
      <c r="E31" t="s">
        <v>98</v>
      </c>
      <c r="F31" t="s">
        <v>257</v>
      </c>
    </row>
    <row r="32" spans="5:6" x14ac:dyDescent="0.2">
      <c r="E32" t="s">
        <v>99</v>
      </c>
      <c r="F32" t="s">
        <v>258</v>
      </c>
    </row>
    <row r="33" spans="5:6" x14ac:dyDescent="0.2">
      <c r="E33" t="s">
        <v>100</v>
      </c>
      <c r="F33" t="s">
        <v>172</v>
      </c>
    </row>
    <row r="34" spans="5:6" x14ac:dyDescent="0.2">
      <c r="E34" t="s">
        <v>101</v>
      </c>
      <c r="F34" t="s">
        <v>259</v>
      </c>
    </row>
    <row r="35" spans="5:6" x14ac:dyDescent="0.2">
      <c r="E35" t="s">
        <v>102</v>
      </c>
      <c r="F35" t="s">
        <v>260</v>
      </c>
    </row>
    <row r="36" spans="5:6" x14ac:dyDescent="0.2">
      <c r="E36" t="s">
        <v>103</v>
      </c>
      <c r="F36" t="s">
        <v>261</v>
      </c>
    </row>
    <row r="37" spans="5:6" x14ac:dyDescent="0.2">
      <c r="E37" t="s">
        <v>104</v>
      </c>
      <c r="F37" t="s">
        <v>262</v>
      </c>
    </row>
    <row r="38" spans="5:6" x14ac:dyDescent="0.2">
      <c r="E38" t="s">
        <v>105</v>
      </c>
      <c r="F38" t="s">
        <v>263</v>
      </c>
    </row>
    <row r="39" spans="5:6" x14ac:dyDescent="0.2">
      <c r="E39" t="s">
        <v>106</v>
      </c>
      <c r="F39" t="s">
        <v>264</v>
      </c>
    </row>
    <row r="40" spans="5:6" x14ac:dyDescent="0.2">
      <c r="E40" t="s">
        <v>107</v>
      </c>
      <c r="F40" t="s">
        <v>265</v>
      </c>
    </row>
    <row r="41" spans="5:6" x14ac:dyDescent="0.2">
      <c r="E41" t="s">
        <v>108</v>
      </c>
      <c r="F41" t="s">
        <v>174</v>
      </c>
    </row>
    <row r="42" spans="5:6" x14ac:dyDescent="0.2">
      <c r="E42" t="s">
        <v>109</v>
      </c>
      <c r="F42" t="s">
        <v>266</v>
      </c>
    </row>
    <row r="43" spans="5:6" x14ac:dyDescent="0.2">
      <c r="E43" t="s">
        <v>110</v>
      </c>
      <c r="F43" t="s">
        <v>267</v>
      </c>
    </row>
    <row r="44" spans="5:6" x14ac:dyDescent="0.2">
      <c r="E44" t="s">
        <v>111</v>
      </c>
      <c r="F44" t="s">
        <v>268</v>
      </c>
    </row>
    <row r="45" spans="5:6" x14ac:dyDescent="0.2">
      <c r="E45" t="s">
        <v>112</v>
      </c>
      <c r="F45" t="s">
        <v>269</v>
      </c>
    </row>
    <row r="46" spans="5:6" x14ac:dyDescent="0.2">
      <c r="E46" t="s">
        <v>113</v>
      </c>
      <c r="F46" t="s">
        <v>270</v>
      </c>
    </row>
    <row r="47" spans="5:6" x14ac:dyDescent="0.2">
      <c r="E47" t="s">
        <v>114</v>
      </c>
      <c r="F47" t="s">
        <v>176</v>
      </c>
    </row>
    <row r="48" spans="5:6" x14ac:dyDescent="0.2">
      <c r="E48" t="s">
        <v>115</v>
      </c>
      <c r="F48" t="s">
        <v>271</v>
      </c>
    </row>
    <row r="49" spans="5:6" x14ac:dyDescent="0.2">
      <c r="E49" t="s">
        <v>116</v>
      </c>
      <c r="F49" t="s">
        <v>272</v>
      </c>
    </row>
    <row r="50" spans="5:6" x14ac:dyDescent="0.2">
      <c r="E50" t="s">
        <v>117</v>
      </c>
      <c r="F50" t="s">
        <v>273</v>
      </c>
    </row>
    <row r="51" spans="5:6" x14ac:dyDescent="0.2">
      <c r="E51" t="s">
        <v>118</v>
      </c>
      <c r="F51" t="s">
        <v>274</v>
      </c>
    </row>
    <row r="52" spans="5:6" x14ac:dyDescent="0.2">
      <c r="E52" t="s">
        <v>119</v>
      </c>
      <c r="F52" t="s">
        <v>275</v>
      </c>
    </row>
    <row r="53" spans="5:6" x14ac:dyDescent="0.2">
      <c r="E53" t="s">
        <v>120</v>
      </c>
      <c r="F53" t="s">
        <v>276</v>
      </c>
    </row>
    <row r="54" spans="5:6" x14ac:dyDescent="0.2">
      <c r="E54" t="s">
        <v>121</v>
      </c>
    </row>
    <row r="55" spans="5:6" x14ac:dyDescent="0.2">
      <c r="E55" t="s">
        <v>122</v>
      </c>
    </row>
    <row r="56" spans="5:6" x14ac:dyDescent="0.2">
      <c r="E56" t="s">
        <v>123</v>
      </c>
    </row>
    <row r="57" spans="5:6" x14ac:dyDescent="0.2">
      <c r="E57" t="s">
        <v>124</v>
      </c>
    </row>
    <row r="58" spans="5:6" x14ac:dyDescent="0.2">
      <c r="E58" t="s">
        <v>125</v>
      </c>
    </row>
    <row r="59" spans="5:6" x14ac:dyDescent="0.2">
      <c r="E59" t="s">
        <v>126</v>
      </c>
    </row>
    <row r="60" spans="5:6" x14ac:dyDescent="0.2">
      <c r="E60" t="s">
        <v>127</v>
      </c>
    </row>
    <row r="61" spans="5:6" x14ac:dyDescent="0.2">
      <c r="E61" t="s">
        <v>128</v>
      </c>
    </row>
    <row r="62" spans="5:6" x14ac:dyDescent="0.2">
      <c r="E62" t="s">
        <v>129</v>
      </c>
    </row>
    <row r="63" spans="5:6" x14ac:dyDescent="0.2">
      <c r="E63" t="s">
        <v>130</v>
      </c>
    </row>
    <row r="64" spans="5:6" x14ac:dyDescent="0.2">
      <c r="E64" t="s">
        <v>131</v>
      </c>
    </row>
    <row r="65" spans="5:5" x14ac:dyDescent="0.2">
      <c r="E65" t="s">
        <v>132</v>
      </c>
    </row>
    <row r="66" spans="5:5" x14ac:dyDescent="0.2">
      <c r="E66" t="s">
        <v>133</v>
      </c>
    </row>
    <row r="67" spans="5:5" x14ac:dyDescent="0.2">
      <c r="E67" t="s">
        <v>134</v>
      </c>
    </row>
    <row r="68" spans="5:5" x14ac:dyDescent="0.2">
      <c r="E68" t="s">
        <v>135</v>
      </c>
    </row>
    <row r="69" spans="5:5" x14ac:dyDescent="0.2">
      <c r="E69" t="s">
        <v>136</v>
      </c>
    </row>
    <row r="70" spans="5:5" x14ac:dyDescent="0.2">
      <c r="E70" t="s">
        <v>137</v>
      </c>
    </row>
    <row r="71" spans="5:5" x14ac:dyDescent="0.2">
      <c r="E71" t="s">
        <v>138</v>
      </c>
    </row>
    <row r="72" spans="5:5" x14ac:dyDescent="0.2">
      <c r="E72" t="s">
        <v>139</v>
      </c>
    </row>
    <row r="73" spans="5:5" x14ac:dyDescent="0.2">
      <c r="E73" t="s">
        <v>140</v>
      </c>
    </row>
    <row r="74" spans="5:5" x14ac:dyDescent="0.2">
      <c r="E74" t="s">
        <v>141</v>
      </c>
    </row>
    <row r="75" spans="5:5" x14ac:dyDescent="0.2">
      <c r="E75" t="s">
        <v>142</v>
      </c>
    </row>
    <row r="76" spans="5:5" x14ac:dyDescent="0.2">
      <c r="E76" t="s">
        <v>143</v>
      </c>
    </row>
    <row r="77" spans="5:5" x14ac:dyDescent="0.2">
      <c r="E77" t="s">
        <v>144</v>
      </c>
    </row>
    <row r="78" spans="5:5" x14ac:dyDescent="0.2">
      <c r="E78" t="s">
        <v>145</v>
      </c>
    </row>
    <row r="79" spans="5:5" x14ac:dyDescent="0.2">
      <c r="E79" t="s">
        <v>146</v>
      </c>
    </row>
    <row r="80" spans="5:5" x14ac:dyDescent="0.2">
      <c r="E80" t="s">
        <v>147</v>
      </c>
    </row>
    <row r="81" spans="5:5" x14ac:dyDescent="0.2">
      <c r="E81" t="s">
        <v>148</v>
      </c>
    </row>
    <row r="82" spans="5:5" x14ac:dyDescent="0.2">
      <c r="E82" t="s">
        <v>149</v>
      </c>
    </row>
    <row r="83" spans="5:5" x14ac:dyDescent="0.2">
      <c r="E83" t="s">
        <v>150</v>
      </c>
    </row>
    <row r="84" spans="5:5" x14ac:dyDescent="0.2">
      <c r="E84" t="s">
        <v>151</v>
      </c>
    </row>
    <row r="85" spans="5:5" x14ac:dyDescent="0.2">
      <c r="E85" t="s">
        <v>152</v>
      </c>
    </row>
    <row r="86" spans="5:5" x14ac:dyDescent="0.2">
      <c r="E86" t="s">
        <v>153</v>
      </c>
    </row>
    <row r="87" spans="5:5" x14ac:dyDescent="0.2">
      <c r="E87" t="s">
        <v>154</v>
      </c>
    </row>
    <row r="88" spans="5:5" x14ac:dyDescent="0.2">
      <c r="E88" t="s">
        <v>155</v>
      </c>
    </row>
    <row r="89" spans="5:5" x14ac:dyDescent="0.2">
      <c r="E89" t="s">
        <v>156</v>
      </c>
    </row>
    <row r="90" spans="5:5" x14ac:dyDescent="0.2">
      <c r="E90" t="s">
        <v>157</v>
      </c>
    </row>
    <row r="91" spans="5:5" x14ac:dyDescent="0.2">
      <c r="E91" t="s">
        <v>158</v>
      </c>
    </row>
    <row r="92" spans="5:5" x14ac:dyDescent="0.2">
      <c r="E92" t="s">
        <v>159</v>
      </c>
    </row>
    <row r="93" spans="5:5" x14ac:dyDescent="0.2">
      <c r="E93" t="s">
        <v>160</v>
      </c>
    </row>
    <row r="94" spans="5:5" x14ac:dyDescent="0.2">
      <c r="E94" t="s">
        <v>161</v>
      </c>
    </row>
    <row r="95" spans="5:5" x14ac:dyDescent="0.2">
      <c r="E95" t="s">
        <v>162</v>
      </c>
    </row>
    <row r="96" spans="5:5" x14ac:dyDescent="0.2">
      <c r="E96" t="s">
        <v>163</v>
      </c>
    </row>
    <row r="97" spans="5:5" x14ac:dyDescent="0.2">
      <c r="E97" t="s">
        <v>164</v>
      </c>
    </row>
    <row r="98" spans="5:5" x14ac:dyDescent="0.2">
      <c r="E98" t="s">
        <v>165</v>
      </c>
    </row>
    <row r="99" spans="5:5" x14ac:dyDescent="0.2">
      <c r="E99" t="s">
        <v>166</v>
      </c>
    </row>
    <row r="100" spans="5:5" x14ac:dyDescent="0.2">
      <c r="E100" t="s">
        <v>167</v>
      </c>
    </row>
    <row r="101" spans="5:5" x14ac:dyDescent="0.2">
      <c r="E101" t="s">
        <v>168</v>
      </c>
    </row>
    <row r="102" spans="5:5" x14ac:dyDescent="0.2">
      <c r="E102" t="s">
        <v>169</v>
      </c>
    </row>
    <row r="103" spans="5:5" x14ac:dyDescent="0.2">
      <c r="E103" t="s">
        <v>170</v>
      </c>
    </row>
    <row r="104" spans="5:5" x14ac:dyDescent="0.2">
      <c r="E104" t="s">
        <v>277</v>
      </c>
    </row>
    <row r="105" spans="5:5" x14ac:dyDescent="0.2">
      <c r="E105" t="s">
        <v>278</v>
      </c>
    </row>
    <row r="106" spans="5:5" x14ac:dyDescent="0.2">
      <c r="E106" t="s">
        <v>279</v>
      </c>
    </row>
    <row r="107" spans="5:5" x14ac:dyDescent="0.2">
      <c r="E107" t="s">
        <v>280</v>
      </c>
    </row>
    <row r="108" spans="5:5" x14ac:dyDescent="0.2">
      <c r="E108" t="s">
        <v>281</v>
      </c>
    </row>
    <row r="109" spans="5:5" x14ac:dyDescent="0.2">
      <c r="E109" t="s">
        <v>282</v>
      </c>
    </row>
    <row r="110" spans="5:5" x14ac:dyDescent="0.2">
      <c r="E110" t="s">
        <v>283</v>
      </c>
    </row>
    <row r="111" spans="5:5" x14ac:dyDescent="0.2">
      <c r="E111" t="s">
        <v>284</v>
      </c>
    </row>
    <row r="112" spans="5:5" x14ac:dyDescent="0.2">
      <c r="E112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ColWidth="8.83203125" defaultRowHeight="15" x14ac:dyDescent="0.2"/>
  <cols>
    <col min="1" max="1" width="11" customWidth="1"/>
    <col min="2" max="2" width="16" customWidth="1"/>
    <col min="3" max="3" width="13" customWidth="1"/>
    <col min="4" max="4" width="60" customWidth="1"/>
    <col min="5" max="5" width="27" customWidth="1"/>
    <col min="6" max="6" width="10" customWidth="1"/>
  </cols>
  <sheetData>
    <row r="1" spans="1:6" ht="16" x14ac:dyDescent="0.2">
      <c r="A1" s="1" t="s">
        <v>286</v>
      </c>
      <c r="B1" s="1" t="s">
        <v>287</v>
      </c>
      <c r="C1" s="1" t="s">
        <v>288</v>
      </c>
      <c r="D1" s="1" t="s">
        <v>7</v>
      </c>
      <c r="E1" s="1" t="s">
        <v>289</v>
      </c>
      <c r="F1" s="1" t="s">
        <v>290</v>
      </c>
    </row>
    <row r="2" spans="1:6" x14ac:dyDescent="0.2">
      <c r="A2" t="s">
        <v>217</v>
      </c>
      <c r="B2" t="s">
        <v>291</v>
      </c>
      <c r="C2" t="s">
        <v>292</v>
      </c>
      <c r="D2" t="s">
        <v>293</v>
      </c>
      <c r="E2" t="s">
        <v>294</v>
      </c>
    </row>
    <row r="3" spans="1:6" x14ac:dyDescent="0.2">
      <c r="A3" t="s">
        <v>221</v>
      </c>
      <c r="B3" t="s">
        <v>295</v>
      </c>
      <c r="C3" t="s">
        <v>296</v>
      </c>
      <c r="D3" t="s">
        <v>297</v>
      </c>
      <c r="E3" t="s">
        <v>294</v>
      </c>
    </row>
    <row r="4" spans="1:6" x14ac:dyDescent="0.2">
      <c r="A4" t="s">
        <v>225</v>
      </c>
      <c r="B4" t="s">
        <v>298</v>
      </c>
      <c r="C4" t="s">
        <v>299</v>
      </c>
      <c r="D4" t="s">
        <v>300</v>
      </c>
      <c r="E4" t="s">
        <v>294</v>
      </c>
    </row>
    <row r="5" spans="1:6" x14ac:dyDescent="0.2">
      <c r="A5" t="s">
        <v>229</v>
      </c>
      <c r="B5" t="s">
        <v>301</v>
      </c>
      <c r="C5" t="s">
        <v>302</v>
      </c>
      <c r="D5" t="s">
        <v>303</v>
      </c>
      <c r="E5" t="s">
        <v>294</v>
      </c>
      <c r="F5" t="s">
        <v>304</v>
      </c>
    </row>
    <row r="6" spans="1:6" x14ac:dyDescent="0.2">
      <c r="A6" t="s">
        <v>231</v>
      </c>
      <c r="B6" t="s">
        <v>305</v>
      </c>
      <c r="C6" t="s">
        <v>306</v>
      </c>
      <c r="D6" t="s">
        <v>307</v>
      </c>
      <c r="E6" t="s">
        <v>294</v>
      </c>
      <c r="F6" t="s">
        <v>308</v>
      </c>
    </row>
    <row r="7" spans="1:6" x14ac:dyDescent="0.2">
      <c r="A7" t="s">
        <v>233</v>
      </c>
      <c r="B7" t="s">
        <v>309</v>
      </c>
      <c r="C7" t="s">
        <v>310</v>
      </c>
      <c r="D7" t="s">
        <v>311</v>
      </c>
      <c r="E7" t="s">
        <v>294</v>
      </c>
      <c r="F7" t="s">
        <v>312</v>
      </c>
    </row>
    <row r="8" spans="1:6" x14ac:dyDescent="0.2">
      <c r="A8" t="s">
        <v>235</v>
      </c>
      <c r="B8" t="s">
        <v>313</v>
      </c>
      <c r="C8" t="s">
        <v>314</v>
      </c>
      <c r="D8" t="s">
        <v>315</v>
      </c>
      <c r="E8" t="s">
        <v>294</v>
      </c>
      <c r="F8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ht="16" x14ac:dyDescent="0.2">
      <c r="A1" s="1" t="s">
        <v>317</v>
      </c>
    </row>
    <row r="3" spans="1:1" x14ac:dyDescent="0.2">
      <c r="A3" t="s">
        <v>318</v>
      </c>
    </row>
    <row r="4" spans="1:1" x14ac:dyDescent="0.2">
      <c r="A4" t="s">
        <v>319</v>
      </c>
    </row>
    <row r="5" spans="1:1" x14ac:dyDescent="0.2">
      <c r="A5" t="s">
        <v>320</v>
      </c>
    </row>
    <row r="6" spans="1:1" x14ac:dyDescent="0.2">
      <c r="A6" t="s">
        <v>321</v>
      </c>
    </row>
    <row r="7" spans="1:1" x14ac:dyDescent="0.2">
      <c r="A7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7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2" customWidth="1"/>
    <col min="4" max="4" width="21" customWidth="1"/>
    <col min="5" max="5" width="18" customWidth="1"/>
    <col min="6" max="6" width="14" customWidth="1"/>
    <col min="7" max="8" width="20" customWidth="1"/>
    <col min="9" max="9" width="60" customWidth="1"/>
    <col min="10" max="10" width="10" customWidth="1"/>
    <col min="11" max="11" width="60" customWidth="1"/>
    <col min="12" max="12" width="10" customWidth="1"/>
    <col min="13" max="13" width="18" customWidth="1"/>
    <col min="14" max="14" width="14" customWidth="1"/>
    <col min="15" max="15" width="20" customWidth="1"/>
    <col min="16" max="16" width="11" customWidth="1"/>
    <col min="17" max="17" width="15" customWidth="1"/>
  </cols>
  <sheetData>
    <row r="1" spans="1:17" ht="16" x14ac:dyDescent="0.2">
      <c r="A1" s="1" t="s">
        <v>286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290</v>
      </c>
      <c r="J1" s="1" t="s">
        <v>2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</row>
    <row r="2" spans="1:17" x14ac:dyDescent="0.2">
      <c r="A2" t="s">
        <v>217</v>
      </c>
      <c r="B2" t="s">
        <v>337</v>
      </c>
      <c r="C2" t="s">
        <v>218</v>
      </c>
      <c r="D2" t="s">
        <v>218</v>
      </c>
      <c r="E2" t="s">
        <v>218</v>
      </c>
      <c r="F2" t="s">
        <v>218</v>
      </c>
      <c r="I2" t="s">
        <v>338</v>
      </c>
      <c r="K2" t="s">
        <v>339</v>
      </c>
      <c r="L2">
        <v>1</v>
      </c>
      <c r="N2" t="s">
        <v>292</v>
      </c>
    </row>
    <row r="3" spans="1:17" x14ac:dyDescent="0.2">
      <c r="A3" t="s">
        <v>217</v>
      </c>
      <c r="B3" t="s">
        <v>340</v>
      </c>
      <c r="C3" t="s">
        <v>218</v>
      </c>
      <c r="D3" t="s">
        <v>222</v>
      </c>
      <c r="E3" t="s">
        <v>218</v>
      </c>
      <c r="F3" t="s">
        <v>218</v>
      </c>
      <c r="L3">
        <v>2</v>
      </c>
      <c r="N3" t="s">
        <v>292</v>
      </c>
    </row>
    <row r="4" spans="1:17" x14ac:dyDescent="0.2">
      <c r="A4" t="s">
        <v>217</v>
      </c>
      <c r="B4" t="s">
        <v>341</v>
      </c>
      <c r="C4" t="s">
        <v>218</v>
      </c>
      <c r="D4" t="s">
        <v>222</v>
      </c>
      <c r="E4" t="s">
        <v>218</v>
      </c>
      <c r="F4" t="s">
        <v>218</v>
      </c>
      <c r="L4">
        <v>3</v>
      </c>
      <c r="N4" t="s">
        <v>292</v>
      </c>
    </row>
    <row r="5" spans="1:17" x14ac:dyDescent="0.2">
      <c r="A5" t="s">
        <v>217</v>
      </c>
      <c r="B5" t="s">
        <v>342</v>
      </c>
      <c r="C5" t="s">
        <v>218</v>
      </c>
      <c r="D5" t="s">
        <v>222</v>
      </c>
      <c r="E5" t="s">
        <v>218</v>
      </c>
      <c r="F5" t="s">
        <v>218</v>
      </c>
      <c r="L5">
        <v>4</v>
      </c>
      <c r="N5" t="s">
        <v>292</v>
      </c>
    </row>
    <row r="6" spans="1:17" x14ac:dyDescent="0.2">
      <c r="A6" t="s">
        <v>217</v>
      </c>
      <c r="B6" t="s">
        <v>343</v>
      </c>
      <c r="C6" t="s">
        <v>218</v>
      </c>
      <c r="D6" t="s">
        <v>222</v>
      </c>
      <c r="E6" t="s">
        <v>222</v>
      </c>
      <c r="F6" t="s">
        <v>218</v>
      </c>
      <c r="L6">
        <v>5</v>
      </c>
      <c r="N6" t="s">
        <v>292</v>
      </c>
    </row>
    <row r="7" spans="1:17" x14ac:dyDescent="0.2">
      <c r="A7" t="s">
        <v>217</v>
      </c>
      <c r="B7" t="s">
        <v>344</v>
      </c>
      <c r="C7" t="s">
        <v>218</v>
      </c>
      <c r="D7" t="s">
        <v>222</v>
      </c>
      <c r="E7" t="s">
        <v>218</v>
      </c>
      <c r="F7" t="s">
        <v>218</v>
      </c>
      <c r="L7">
        <v>6</v>
      </c>
      <c r="N7" t="s">
        <v>292</v>
      </c>
    </row>
    <row r="8" spans="1:17" x14ac:dyDescent="0.2">
      <c r="A8" t="s">
        <v>217</v>
      </c>
      <c r="B8" t="s">
        <v>345</v>
      </c>
      <c r="C8" t="s">
        <v>218</v>
      </c>
      <c r="D8" t="s">
        <v>218</v>
      </c>
      <c r="E8" t="s">
        <v>218</v>
      </c>
      <c r="F8" t="s">
        <v>218</v>
      </c>
      <c r="L8">
        <v>7</v>
      </c>
      <c r="N8" t="s">
        <v>292</v>
      </c>
    </row>
    <row r="9" spans="1:17" x14ac:dyDescent="0.2">
      <c r="A9" t="s">
        <v>217</v>
      </c>
      <c r="B9" t="s">
        <v>346</v>
      </c>
      <c r="C9" t="s">
        <v>218</v>
      </c>
      <c r="D9" t="s">
        <v>222</v>
      </c>
      <c r="E9" t="s">
        <v>218</v>
      </c>
      <c r="F9" t="s">
        <v>218</v>
      </c>
      <c r="L9">
        <v>8</v>
      </c>
      <c r="N9" t="s">
        <v>292</v>
      </c>
    </row>
    <row r="10" spans="1:17" x14ac:dyDescent="0.2">
      <c r="A10" t="s">
        <v>217</v>
      </c>
      <c r="B10" t="s">
        <v>347</v>
      </c>
      <c r="C10" t="s">
        <v>218</v>
      </c>
      <c r="D10" t="s">
        <v>222</v>
      </c>
      <c r="E10" t="s">
        <v>218</v>
      </c>
      <c r="F10" t="s">
        <v>218</v>
      </c>
      <c r="L10">
        <v>9</v>
      </c>
      <c r="N10" t="s">
        <v>292</v>
      </c>
    </row>
    <row r="11" spans="1:17" x14ac:dyDescent="0.2">
      <c r="A11" t="s">
        <v>217</v>
      </c>
      <c r="B11" t="s">
        <v>348</v>
      </c>
      <c r="C11" t="s">
        <v>218</v>
      </c>
      <c r="D11" t="s">
        <v>222</v>
      </c>
      <c r="E11" t="s">
        <v>218</v>
      </c>
      <c r="F11" t="s">
        <v>218</v>
      </c>
      <c r="L11">
        <v>10</v>
      </c>
      <c r="N11" t="s">
        <v>292</v>
      </c>
    </row>
    <row r="12" spans="1:17" x14ac:dyDescent="0.2">
      <c r="A12" t="s">
        <v>217</v>
      </c>
      <c r="B12" t="s">
        <v>349</v>
      </c>
      <c r="C12" t="s">
        <v>218</v>
      </c>
      <c r="D12" t="s">
        <v>222</v>
      </c>
      <c r="E12" t="s">
        <v>218</v>
      </c>
      <c r="F12" t="s">
        <v>218</v>
      </c>
      <c r="L12">
        <v>11</v>
      </c>
      <c r="N12" t="s">
        <v>292</v>
      </c>
    </row>
    <row r="13" spans="1:17" x14ac:dyDescent="0.2">
      <c r="A13" t="s">
        <v>217</v>
      </c>
      <c r="B13" t="s">
        <v>350</v>
      </c>
      <c r="C13" t="s">
        <v>218</v>
      </c>
      <c r="D13" t="s">
        <v>222</v>
      </c>
      <c r="E13" t="s">
        <v>218</v>
      </c>
      <c r="F13" t="s">
        <v>218</v>
      </c>
      <c r="L13">
        <v>12</v>
      </c>
      <c r="N13" t="s">
        <v>292</v>
      </c>
    </row>
    <row r="14" spans="1:17" x14ac:dyDescent="0.2">
      <c r="A14" t="s">
        <v>217</v>
      </c>
      <c r="B14" t="s">
        <v>351</v>
      </c>
      <c r="C14" t="s">
        <v>218</v>
      </c>
      <c r="D14" t="s">
        <v>222</v>
      </c>
      <c r="E14" t="s">
        <v>218</v>
      </c>
      <c r="F14" t="s">
        <v>218</v>
      </c>
      <c r="L14">
        <v>13</v>
      </c>
      <c r="N14" t="s">
        <v>292</v>
      </c>
    </row>
    <row r="15" spans="1:17" x14ac:dyDescent="0.2">
      <c r="A15" t="s">
        <v>217</v>
      </c>
      <c r="B15" t="s">
        <v>352</v>
      </c>
      <c r="C15" t="s">
        <v>218</v>
      </c>
      <c r="D15" t="s">
        <v>222</v>
      </c>
      <c r="E15" t="s">
        <v>218</v>
      </c>
      <c r="F15" t="s">
        <v>218</v>
      </c>
      <c r="L15">
        <v>14</v>
      </c>
      <c r="N15" t="s">
        <v>292</v>
      </c>
    </row>
    <row r="16" spans="1:17" x14ac:dyDescent="0.2">
      <c r="A16" t="s">
        <v>217</v>
      </c>
      <c r="B16" t="s">
        <v>353</v>
      </c>
      <c r="C16" t="s">
        <v>218</v>
      </c>
      <c r="D16" t="s">
        <v>218</v>
      </c>
      <c r="E16" t="s">
        <v>218</v>
      </c>
      <c r="F16" t="s">
        <v>218</v>
      </c>
      <c r="L16">
        <v>15</v>
      </c>
      <c r="N16" t="s">
        <v>292</v>
      </c>
    </row>
    <row r="17" spans="1:14" x14ac:dyDescent="0.2">
      <c r="A17" t="s">
        <v>217</v>
      </c>
      <c r="B17" t="s">
        <v>354</v>
      </c>
      <c r="C17" t="s">
        <v>218</v>
      </c>
      <c r="D17" t="s">
        <v>222</v>
      </c>
      <c r="E17" t="s">
        <v>218</v>
      </c>
      <c r="F17" t="s">
        <v>218</v>
      </c>
      <c r="L17">
        <v>16</v>
      </c>
      <c r="N17" t="s">
        <v>292</v>
      </c>
    </row>
    <row r="18" spans="1:14" x14ac:dyDescent="0.2">
      <c r="A18" t="s">
        <v>217</v>
      </c>
      <c r="B18" t="s">
        <v>355</v>
      </c>
      <c r="C18" t="s">
        <v>218</v>
      </c>
      <c r="D18" t="s">
        <v>222</v>
      </c>
      <c r="E18" t="s">
        <v>218</v>
      </c>
      <c r="F18" t="s">
        <v>218</v>
      </c>
      <c r="L18">
        <v>17</v>
      </c>
      <c r="N18" t="s">
        <v>292</v>
      </c>
    </row>
    <row r="19" spans="1:14" x14ac:dyDescent="0.2">
      <c r="A19" t="s">
        <v>217</v>
      </c>
      <c r="B19" t="s">
        <v>356</v>
      </c>
      <c r="C19" t="s">
        <v>218</v>
      </c>
      <c r="D19" t="s">
        <v>222</v>
      </c>
      <c r="E19" t="s">
        <v>218</v>
      </c>
      <c r="F19" t="s">
        <v>218</v>
      </c>
      <c r="L19">
        <v>18</v>
      </c>
      <c r="N19" t="s">
        <v>292</v>
      </c>
    </row>
    <row r="20" spans="1:14" x14ac:dyDescent="0.2">
      <c r="A20" t="s">
        <v>217</v>
      </c>
      <c r="B20" t="s">
        <v>357</v>
      </c>
      <c r="C20" t="s">
        <v>218</v>
      </c>
      <c r="D20" t="s">
        <v>222</v>
      </c>
      <c r="E20" t="s">
        <v>222</v>
      </c>
      <c r="F20" t="s">
        <v>218</v>
      </c>
      <c r="L20">
        <v>19</v>
      </c>
      <c r="N20" t="s">
        <v>292</v>
      </c>
    </row>
    <row r="21" spans="1:14" x14ac:dyDescent="0.2">
      <c r="A21" t="s">
        <v>217</v>
      </c>
      <c r="B21" t="s">
        <v>358</v>
      </c>
      <c r="C21" t="s">
        <v>218</v>
      </c>
      <c r="D21" t="s">
        <v>222</v>
      </c>
      <c r="E21" t="s">
        <v>218</v>
      </c>
      <c r="F21" t="s">
        <v>218</v>
      </c>
      <c r="L21">
        <v>20</v>
      </c>
      <c r="N21" t="s">
        <v>292</v>
      </c>
    </row>
    <row r="22" spans="1:14" x14ac:dyDescent="0.2">
      <c r="A22" t="s">
        <v>217</v>
      </c>
      <c r="B22" t="s">
        <v>359</v>
      </c>
      <c r="C22" t="s">
        <v>218</v>
      </c>
      <c r="D22" t="s">
        <v>218</v>
      </c>
      <c r="E22" t="s">
        <v>218</v>
      </c>
      <c r="F22" t="s">
        <v>218</v>
      </c>
      <c r="L22">
        <v>21</v>
      </c>
      <c r="N22" t="s">
        <v>292</v>
      </c>
    </row>
    <row r="23" spans="1:14" x14ac:dyDescent="0.2">
      <c r="A23" t="s">
        <v>217</v>
      </c>
      <c r="B23" t="s">
        <v>360</v>
      </c>
      <c r="C23" t="s">
        <v>218</v>
      </c>
      <c r="D23" t="s">
        <v>222</v>
      </c>
      <c r="E23" t="s">
        <v>218</v>
      </c>
      <c r="F23" t="s">
        <v>218</v>
      </c>
      <c r="L23">
        <v>22</v>
      </c>
      <c r="N23" t="s">
        <v>292</v>
      </c>
    </row>
    <row r="24" spans="1:14" x14ac:dyDescent="0.2">
      <c r="A24" t="s">
        <v>217</v>
      </c>
      <c r="B24" t="s">
        <v>361</v>
      </c>
      <c r="C24" t="s">
        <v>218</v>
      </c>
      <c r="D24" t="s">
        <v>222</v>
      </c>
      <c r="E24" t="s">
        <v>218</v>
      </c>
      <c r="F24" t="s">
        <v>218</v>
      </c>
      <c r="L24">
        <v>23</v>
      </c>
      <c r="N24" t="s">
        <v>292</v>
      </c>
    </row>
    <row r="25" spans="1:14" x14ac:dyDescent="0.2">
      <c r="A25" t="s">
        <v>217</v>
      </c>
      <c r="B25" t="s">
        <v>362</v>
      </c>
      <c r="C25" t="s">
        <v>218</v>
      </c>
      <c r="D25" t="s">
        <v>222</v>
      </c>
      <c r="E25" t="s">
        <v>218</v>
      </c>
      <c r="F25" t="s">
        <v>218</v>
      </c>
      <c r="L25">
        <v>24</v>
      </c>
      <c r="N25" t="s">
        <v>292</v>
      </c>
    </row>
    <row r="26" spans="1:14" x14ac:dyDescent="0.2">
      <c r="A26" t="s">
        <v>217</v>
      </c>
      <c r="B26" t="s">
        <v>363</v>
      </c>
      <c r="C26" t="s">
        <v>218</v>
      </c>
      <c r="D26" t="s">
        <v>218</v>
      </c>
      <c r="E26" t="s">
        <v>218</v>
      </c>
      <c r="F26" t="s">
        <v>218</v>
      </c>
      <c r="L26">
        <v>25</v>
      </c>
      <c r="N26" t="s">
        <v>292</v>
      </c>
    </row>
    <row r="27" spans="1:14" x14ac:dyDescent="0.2">
      <c r="A27" t="s">
        <v>217</v>
      </c>
      <c r="B27" t="s">
        <v>364</v>
      </c>
      <c r="C27" t="s">
        <v>218</v>
      </c>
      <c r="D27" t="s">
        <v>222</v>
      </c>
      <c r="E27" t="s">
        <v>218</v>
      </c>
      <c r="F27" t="s">
        <v>218</v>
      </c>
      <c r="L27">
        <v>26</v>
      </c>
      <c r="N27" t="s">
        <v>292</v>
      </c>
    </row>
    <row r="28" spans="1:14" x14ac:dyDescent="0.2">
      <c r="A28" t="s">
        <v>217</v>
      </c>
      <c r="B28" t="s">
        <v>365</v>
      </c>
      <c r="C28" t="s">
        <v>218</v>
      </c>
      <c r="D28" t="s">
        <v>222</v>
      </c>
      <c r="E28" t="s">
        <v>218</v>
      </c>
      <c r="F28" t="s">
        <v>218</v>
      </c>
      <c r="L28">
        <v>27</v>
      </c>
      <c r="N28" t="s">
        <v>292</v>
      </c>
    </row>
    <row r="29" spans="1:14" x14ac:dyDescent="0.2">
      <c r="A29" t="s">
        <v>217</v>
      </c>
      <c r="B29" t="s">
        <v>366</v>
      </c>
      <c r="C29" t="s">
        <v>218</v>
      </c>
      <c r="D29" t="s">
        <v>218</v>
      </c>
      <c r="E29" t="s">
        <v>218</v>
      </c>
      <c r="F29" t="s">
        <v>218</v>
      </c>
      <c r="L29">
        <v>28</v>
      </c>
      <c r="N29" t="s">
        <v>292</v>
      </c>
    </row>
    <row r="30" spans="1:14" x14ac:dyDescent="0.2">
      <c r="A30" t="s">
        <v>217</v>
      </c>
      <c r="B30" t="s">
        <v>367</v>
      </c>
      <c r="C30" t="s">
        <v>218</v>
      </c>
      <c r="D30" t="s">
        <v>222</v>
      </c>
      <c r="E30" t="s">
        <v>218</v>
      </c>
      <c r="F30" t="s">
        <v>218</v>
      </c>
      <c r="L30">
        <v>29</v>
      </c>
      <c r="N30" t="s">
        <v>292</v>
      </c>
    </row>
    <row r="31" spans="1:14" x14ac:dyDescent="0.2">
      <c r="A31" t="s">
        <v>217</v>
      </c>
      <c r="B31" t="s">
        <v>368</v>
      </c>
      <c r="C31" t="s">
        <v>218</v>
      </c>
      <c r="D31" t="s">
        <v>222</v>
      </c>
      <c r="E31" t="s">
        <v>218</v>
      </c>
      <c r="F31" t="s">
        <v>218</v>
      </c>
      <c r="L31">
        <v>30</v>
      </c>
      <c r="N31" t="s">
        <v>292</v>
      </c>
    </row>
    <row r="32" spans="1:14" x14ac:dyDescent="0.2">
      <c r="A32" t="s">
        <v>217</v>
      </c>
      <c r="B32" t="s">
        <v>369</v>
      </c>
      <c r="C32" t="s">
        <v>218</v>
      </c>
      <c r="D32" t="s">
        <v>218</v>
      </c>
      <c r="E32" t="s">
        <v>218</v>
      </c>
      <c r="F32" t="s">
        <v>218</v>
      </c>
      <c r="L32">
        <v>31</v>
      </c>
      <c r="N32" t="s">
        <v>292</v>
      </c>
    </row>
    <row r="33" spans="1:14" x14ac:dyDescent="0.2">
      <c r="A33" t="s">
        <v>217</v>
      </c>
      <c r="B33" t="s">
        <v>370</v>
      </c>
      <c r="C33" t="s">
        <v>218</v>
      </c>
      <c r="D33" t="s">
        <v>222</v>
      </c>
      <c r="E33" t="s">
        <v>218</v>
      </c>
      <c r="F33" t="s">
        <v>218</v>
      </c>
      <c r="L33">
        <v>32</v>
      </c>
      <c r="N33" t="s">
        <v>292</v>
      </c>
    </row>
    <row r="34" spans="1:14" x14ac:dyDescent="0.2">
      <c r="A34" t="s">
        <v>217</v>
      </c>
      <c r="B34" t="s">
        <v>371</v>
      </c>
      <c r="C34" t="s">
        <v>218</v>
      </c>
      <c r="D34" t="s">
        <v>222</v>
      </c>
      <c r="E34" t="s">
        <v>218</v>
      </c>
      <c r="F34" t="s">
        <v>218</v>
      </c>
      <c r="L34">
        <v>33</v>
      </c>
      <c r="N34" t="s">
        <v>292</v>
      </c>
    </row>
    <row r="35" spans="1:14" x14ac:dyDescent="0.2">
      <c r="A35" t="s">
        <v>217</v>
      </c>
      <c r="B35" t="s">
        <v>372</v>
      </c>
      <c r="C35" t="s">
        <v>218</v>
      </c>
      <c r="D35" t="s">
        <v>222</v>
      </c>
      <c r="E35" t="s">
        <v>218</v>
      </c>
      <c r="F35" t="s">
        <v>218</v>
      </c>
      <c r="L35">
        <v>34</v>
      </c>
      <c r="N35" t="s">
        <v>292</v>
      </c>
    </row>
    <row r="36" spans="1:14" x14ac:dyDescent="0.2">
      <c r="A36" t="s">
        <v>217</v>
      </c>
      <c r="B36" t="s">
        <v>373</v>
      </c>
      <c r="C36" t="s">
        <v>218</v>
      </c>
      <c r="D36" t="s">
        <v>222</v>
      </c>
      <c r="E36" t="s">
        <v>218</v>
      </c>
      <c r="F36" t="s">
        <v>218</v>
      </c>
      <c r="L36">
        <v>35</v>
      </c>
      <c r="N36" t="s">
        <v>292</v>
      </c>
    </row>
    <row r="37" spans="1:14" x14ac:dyDescent="0.2">
      <c r="A37" t="s">
        <v>217</v>
      </c>
      <c r="B37" t="s">
        <v>374</v>
      </c>
      <c r="C37" t="s">
        <v>218</v>
      </c>
      <c r="D37" t="s">
        <v>218</v>
      </c>
      <c r="E37" t="s">
        <v>218</v>
      </c>
      <c r="F37" t="s">
        <v>218</v>
      </c>
      <c r="L37">
        <v>36</v>
      </c>
      <c r="N37" t="s">
        <v>292</v>
      </c>
    </row>
    <row r="38" spans="1:14" x14ac:dyDescent="0.2">
      <c r="A38" t="s">
        <v>217</v>
      </c>
      <c r="B38" t="s">
        <v>375</v>
      </c>
      <c r="C38" t="s">
        <v>218</v>
      </c>
      <c r="D38" t="s">
        <v>222</v>
      </c>
      <c r="E38" t="s">
        <v>218</v>
      </c>
      <c r="F38" t="s">
        <v>218</v>
      </c>
      <c r="L38">
        <v>37</v>
      </c>
      <c r="N38" t="s">
        <v>292</v>
      </c>
    </row>
    <row r="39" spans="1:14" x14ac:dyDescent="0.2">
      <c r="A39" t="s">
        <v>217</v>
      </c>
      <c r="B39" t="s">
        <v>376</v>
      </c>
      <c r="C39" t="s">
        <v>218</v>
      </c>
      <c r="D39" t="s">
        <v>222</v>
      </c>
      <c r="E39" t="s">
        <v>218</v>
      </c>
      <c r="F39" t="s">
        <v>218</v>
      </c>
      <c r="L39">
        <v>38</v>
      </c>
      <c r="N39" t="s">
        <v>292</v>
      </c>
    </row>
    <row r="40" spans="1:14" x14ac:dyDescent="0.2">
      <c r="A40" t="s">
        <v>217</v>
      </c>
      <c r="B40" t="s">
        <v>377</v>
      </c>
      <c r="C40" t="s">
        <v>218</v>
      </c>
      <c r="D40" t="s">
        <v>222</v>
      </c>
      <c r="E40" t="s">
        <v>222</v>
      </c>
      <c r="F40" t="s">
        <v>218</v>
      </c>
      <c r="L40">
        <v>39</v>
      </c>
      <c r="N40" t="s">
        <v>292</v>
      </c>
    </row>
    <row r="41" spans="1:14" x14ac:dyDescent="0.2">
      <c r="A41" t="s">
        <v>221</v>
      </c>
      <c r="B41" t="s">
        <v>378</v>
      </c>
      <c r="C41" t="s">
        <v>218</v>
      </c>
      <c r="D41" t="s">
        <v>218</v>
      </c>
      <c r="E41" t="s">
        <v>218</v>
      </c>
      <c r="F41" t="s">
        <v>218</v>
      </c>
      <c r="L41">
        <v>1</v>
      </c>
      <c r="N41" t="s">
        <v>296</v>
      </c>
    </row>
    <row r="42" spans="1:14" x14ac:dyDescent="0.2">
      <c r="A42" t="s">
        <v>221</v>
      </c>
      <c r="B42" t="s">
        <v>379</v>
      </c>
      <c r="C42" t="s">
        <v>218</v>
      </c>
      <c r="D42" t="s">
        <v>222</v>
      </c>
      <c r="E42" t="s">
        <v>218</v>
      </c>
      <c r="F42" t="s">
        <v>218</v>
      </c>
      <c r="L42">
        <v>2</v>
      </c>
      <c r="N42" t="s">
        <v>296</v>
      </c>
    </row>
    <row r="43" spans="1:14" x14ac:dyDescent="0.2">
      <c r="A43" t="s">
        <v>221</v>
      </c>
      <c r="B43" t="s">
        <v>380</v>
      </c>
      <c r="C43" t="s">
        <v>218</v>
      </c>
      <c r="D43" t="s">
        <v>222</v>
      </c>
      <c r="E43" t="s">
        <v>218</v>
      </c>
      <c r="F43" t="s">
        <v>218</v>
      </c>
      <c r="L43">
        <v>3</v>
      </c>
      <c r="N43" t="s">
        <v>296</v>
      </c>
    </row>
    <row r="44" spans="1:14" x14ac:dyDescent="0.2">
      <c r="A44" t="s">
        <v>221</v>
      </c>
      <c r="B44" t="s">
        <v>381</v>
      </c>
      <c r="C44" t="s">
        <v>218</v>
      </c>
      <c r="D44" t="s">
        <v>222</v>
      </c>
      <c r="E44" t="s">
        <v>222</v>
      </c>
      <c r="F44" t="s">
        <v>218</v>
      </c>
      <c r="L44">
        <v>4</v>
      </c>
      <c r="N44" t="s">
        <v>296</v>
      </c>
    </row>
    <row r="45" spans="1:14" x14ac:dyDescent="0.2">
      <c r="A45" t="s">
        <v>221</v>
      </c>
      <c r="B45" t="s">
        <v>382</v>
      </c>
      <c r="C45" t="s">
        <v>218</v>
      </c>
      <c r="D45" t="s">
        <v>218</v>
      </c>
      <c r="E45" t="s">
        <v>218</v>
      </c>
      <c r="F45" t="s">
        <v>218</v>
      </c>
      <c r="L45">
        <v>5</v>
      </c>
      <c r="N45" t="s">
        <v>296</v>
      </c>
    </row>
    <row r="46" spans="1:14" x14ac:dyDescent="0.2">
      <c r="A46" t="s">
        <v>221</v>
      </c>
      <c r="B46" t="s">
        <v>383</v>
      </c>
      <c r="C46" t="s">
        <v>218</v>
      </c>
      <c r="D46" t="s">
        <v>222</v>
      </c>
      <c r="E46" t="s">
        <v>218</v>
      </c>
      <c r="F46" t="s">
        <v>218</v>
      </c>
      <c r="L46">
        <v>6</v>
      </c>
      <c r="N46" t="s">
        <v>296</v>
      </c>
    </row>
    <row r="47" spans="1:14" x14ac:dyDescent="0.2">
      <c r="A47" t="s">
        <v>221</v>
      </c>
      <c r="B47" t="s">
        <v>384</v>
      </c>
      <c r="C47" t="s">
        <v>218</v>
      </c>
      <c r="D47" t="s">
        <v>222</v>
      </c>
      <c r="E47" t="s">
        <v>218</v>
      </c>
      <c r="F47" t="s">
        <v>218</v>
      </c>
      <c r="L47">
        <v>7</v>
      </c>
      <c r="N47" t="s">
        <v>296</v>
      </c>
    </row>
    <row r="48" spans="1:14" x14ac:dyDescent="0.2">
      <c r="A48" t="s">
        <v>221</v>
      </c>
      <c r="B48" t="s">
        <v>385</v>
      </c>
      <c r="C48" t="s">
        <v>218</v>
      </c>
      <c r="D48" t="s">
        <v>222</v>
      </c>
      <c r="E48" t="s">
        <v>222</v>
      </c>
      <c r="F48" t="s">
        <v>218</v>
      </c>
      <c r="L48">
        <v>8</v>
      </c>
      <c r="N48" t="s">
        <v>296</v>
      </c>
    </row>
    <row r="49" spans="1:14" x14ac:dyDescent="0.2">
      <c r="A49" t="s">
        <v>221</v>
      </c>
      <c r="B49" t="s">
        <v>386</v>
      </c>
      <c r="C49" t="s">
        <v>218</v>
      </c>
      <c r="D49" t="s">
        <v>218</v>
      </c>
      <c r="E49" t="s">
        <v>218</v>
      </c>
      <c r="F49" t="s">
        <v>218</v>
      </c>
      <c r="L49">
        <v>9</v>
      </c>
      <c r="N49" t="s">
        <v>296</v>
      </c>
    </row>
    <row r="50" spans="1:14" x14ac:dyDescent="0.2">
      <c r="A50" t="s">
        <v>221</v>
      </c>
      <c r="B50" t="s">
        <v>387</v>
      </c>
      <c r="C50" t="s">
        <v>218</v>
      </c>
      <c r="D50" t="s">
        <v>222</v>
      </c>
      <c r="E50" t="s">
        <v>218</v>
      </c>
      <c r="F50" t="s">
        <v>218</v>
      </c>
      <c r="L50">
        <v>10</v>
      </c>
      <c r="N50" t="s">
        <v>296</v>
      </c>
    </row>
    <row r="51" spans="1:14" x14ac:dyDescent="0.2">
      <c r="A51" t="s">
        <v>221</v>
      </c>
      <c r="B51" t="s">
        <v>388</v>
      </c>
      <c r="C51" t="s">
        <v>218</v>
      </c>
      <c r="D51" t="s">
        <v>222</v>
      </c>
      <c r="E51" t="s">
        <v>218</v>
      </c>
      <c r="F51" t="s">
        <v>218</v>
      </c>
      <c r="L51">
        <v>11</v>
      </c>
      <c r="N51" t="s">
        <v>296</v>
      </c>
    </row>
    <row r="52" spans="1:14" x14ac:dyDescent="0.2">
      <c r="A52" t="s">
        <v>221</v>
      </c>
      <c r="B52" t="s">
        <v>389</v>
      </c>
      <c r="C52" t="s">
        <v>218</v>
      </c>
      <c r="D52" t="s">
        <v>222</v>
      </c>
      <c r="E52" t="s">
        <v>222</v>
      </c>
      <c r="F52" t="s">
        <v>218</v>
      </c>
      <c r="L52">
        <v>12</v>
      </c>
      <c r="N52" t="s">
        <v>296</v>
      </c>
    </row>
    <row r="53" spans="1:14" x14ac:dyDescent="0.2">
      <c r="A53" t="s">
        <v>221</v>
      </c>
      <c r="B53" t="s">
        <v>390</v>
      </c>
      <c r="C53" t="s">
        <v>218</v>
      </c>
      <c r="D53" t="s">
        <v>218</v>
      </c>
      <c r="E53" t="s">
        <v>218</v>
      </c>
      <c r="F53" t="s">
        <v>218</v>
      </c>
      <c r="L53">
        <v>13</v>
      </c>
      <c r="N53" t="s">
        <v>296</v>
      </c>
    </row>
    <row r="54" spans="1:14" x14ac:dyDescent="0.2">
      <c r="A54" t="s">
        <v>221</v>
      </c>
      <c r="B54" t="s">
        <v>391</v>
      </c>
      <c r="C54" t="s">
        <v>218</v>
      </c>
      <c r="D54" t="s">
        <v>222</v>
      </c>
      <c r="E54" t="s">
        <v>218</v>
      </c>
      <c r="F54" t="s">
        <v>218</v>
      </c>
      <c r="L54">
        <v>14</v>
      </c>
      <c r="N54" t="s">
        <v>296</v>
      </c>
    </row>
    <row r="55" spans="1:14" x14ac:dyDescent="0.2">
      <c r="A55" t="s">
        <v>221</v>
      </c>
      <c r="B55" t="s">
        <v>392</v>
      </c>
      <c r="C55" t="s">
        <v>218</v>
      </c>
      <c r="D55" t="s">
        <v>222</v>
      </c>
      <c r="E55" t="s">
        <v>218</v>
      </c>
      <c r="F55" t="s">
        <v>218</v>
      </c>
      <c r="L55">
        <v>15</v>
      </c>
      <c r="N55" t="s">
        <v>296</v>
      </c>
    </row>
    <row r="56" spans="1:14" x14ac:dyDescent="0.2">
      <c r="A56" t="s">
        <v>221</v>
      </c>
      <c r="B56" t="s">
        <v>393</v>
      </c>
      <c r="C56" t="s">
        <v>218</v>
      </c>
      <c r="D56" t="s">
        <v>222</v>
      </c>
      <c r="E56" t="s">
        <v>222</v>
      </c>
      <c r="F56" t="s">
        <v>218</v>
      </c>
      <c r="L56">
        <v>16</v>
      </c>
      <c r="N56" t="s">
        <v>296</v>
      </c>
    </row>
    <row r="57" spans="1:14" x14ac:dyDescent="0.2">
      <c r="A57" t="s">
        <v>221</v>
      </c>
      <c r="B57" t="s">
        <v>394</v>
      </c>
      <c r="C57" t="s">
        <v>218</v>
      </c>
      <c r="D57" t="s">
        <v>218</v>
      </c>
      <c r="E57" t="s">
        <v>218</v>
      </c>
      <c r="F57" t="s">
        <v>218</v>
      </c>
      <c r="L57">
        <v>17</v>
      </c>
      <c r="N57" t="s">
        <v>296</v>
      </c>
    </row>
    <row r="58" spans="1:14" x14ac:dyDescent="0.2">
      <c r="A58" t="s">
        <v>221</v>
      </c>
      <c r="B58" t="s">
        <v>395</v>
      </c>
      <c r="C58" t="s">
        <v>218</v>
      </c>
      <c r="D58" t="s">
        <v>222</v>
      </c>
      <c r="E58" t="s">
        <v>218</v>
      </c>
      <c r="F58" t="s">
        <v>218</v>
      </c>
      <c r="L58">
        <v>18</v>
      </c>
      <c r="N58" t="s">
        <v>296</v>
      </c>
    </row>
    <row r="59" spans="1:14" x14ac:dyDescent="0.2">
      <c r="A59" t="s">
        <v>221</v>
      </c>
      <c r="B59" t="s">
        <v>396</v>
      </c>
      <c r="C59" t="s">
        <v>218</v>
      </c>
      <c r="D59" t="s">
        <v>222</v>
      </c>
      <c r="E59" t="s">
        <v>218</v>
      </c>
      <c r="F59" t="s">
        <v>218</v>
      </c>
      <c r="L59">
        <v>19</v>
      </c>
      <c r="N59" t="s">
        <v>296</v>
      </c>
    </row>
    <row r="60" spans="1:14" x14ac:dyDescent="0.2">
      <c r="A60" t="s">
        <v>221</v>
      </c>
      <c r="B60" t="s">
        <v>397</v>
      </c>
      <c r="C60" t="s">
        <v>218</v>
      </c>
      <c r="D60" t="s">
        <v>218</v>
      </c>
      <c r="E60" t="s">
        <v>218</v>
      </c>
      <c r="F60" t="s">
        <v>218</v>
      </c>
      <c r="L60">
        <v>20</v>
      </c>
      <c r="N60" t="s">
        <v>296</v>
      </c>
    </row>
    <row r="61" spans="1:14" x14ac:dyDescent="0.2">
      <c r="A61" t="s">
        <v>221</v>
      </c>
      <c r="B61" t="s">
        <v>398</v>
      </c>
      <c r="C61" t="s">
        <v>218</v>
      </c>
      <c r="D61" t="s">
        <v>222</v>
      </c>
      <c r="E61" t="s">
        <v>218</v>
      </c>
      <c r="F61" t="s">
        <v>218</v>
      </c>
      <c r="L61">
        <v>21</v>
      </c>
      <c r="N61" t="s">
        <v>296</v>
      </c>
    </row>
    <row r="62" spans="1:14" x14ac:dyDescent="0.2">
      <c r="A62" t="s">
        <v>221</v>
      </c>
      <c r="B62" t="s">
        <v>399</v>
      </c>
      <c r="C62" t="s">
        <v>218</v>
      </c>
      <c r="D62" t="s">
        <v>222</v>
      </c>
      <c r="E62" t="s">
        <v>218</v>
      </c>
      <c r="F62" t="s">
        <v>218</v>
      </c>
      <c r="L62">
        <v>22</v>
      </c>
      <c r="N62" t="s">
        <v>296</v>
      </c>
    </row>
    <row r="63" spans="1:14" x14ac:dyDescent="0.2">
      <c r="A63" t="s">
        <v>221</v>
      </c>
      <c r="B63" t="s">
        <v>400</v>
      </c>
      <c r="C63" t="s">
        <v>218</v>
      </c>
      <c r="D63" t="s">
        <v>218</v>
      </c>
      <c r="E63" t="s">
        <v>218</v>
      </c>
      <c r="F63" t="s">
        <v>218</v>
      </c>
      <c r="L63">
        <v>23</v>
      </c>
      <c r="N63" t="s">
        <v>296</v>
      </c>
    </row>
    <row r="64" spans="1:14" x14ac:dyDescent="0.2">
      <c r="A64" t="s">
        <v>221</v>
      </c>
      <c r="B64" t="s">
        <v>401</v>
      </c>
      <c r="C64" t="s">
        <v>218</v>
      </c>
      <c r="D64" t="s">
        <v>222</v>
      </c>
      <c r="E64" t="s">
        <v>218</v>
      </c>
      <c r="F64" t="s">
        <v>218</v>
      </c>
      <c r="L64">
        <v>24</v>
      </c>
      <c r="N64" t="s">
        <v>296</v>
      </c>
    </row>
    <row r="65" spans="1:14" x14ac:dyDescent="0.2">
      <c r="A65" t="s">
        <v>221</v>
      </c>
      <c r="B65" t="s">
        <v>402</v>
      </c>
      <c r="C65" t="s">
        <v>218</v>
      </c>
      <c r="D65" t="s">
        <v>222</v>
      </c>
      <c r="E65" t="s">
        <v>218</v>
      </c>
      <c r="F65" t="s">
        <v>218</v>
      </c>
      <c r="L65">
        <v>25</v>
      </c>
      <c r="N65" t="s">
        <v>296</v>
      </c>
    </row>
    <row r="66" spans="1:14" x14ac:dyDescent="0.2">
      <c r="A66" t="s">
        <v>221</v>
      </c>
      <c r="B66" t="s">
        <v>403</v>
      </c>
      <c r="C66" t="s">
        <v>218</v>
      </c>
      <c r="D66" t="s">
        <v>222</v>
      </c>
      <c r="E66" t="s">
        <v>222</v>
      </c>
      <c r="F66" t="s">
        <v>218</v>
      </c>
      <c r="L66">
        <v>26</v>
      </c>
      <c r="N66" t="s">
        <v>296</v>
      </c>
    </row>
    <row r="67" spans="1:14" x14ac:dyDescent="0.2">
      <c r="A67" t="s">
        <v>221</v>
      </c>
      <c r="B67" t="s">
        <v>404</v>
      </c>
      <c r="C67" t="s">
        <v>218</v>
      </c>
      <c r="D67" t="s">
        <v>218</v>
      </c>
      <c r="E67" t="s">
        <v>218</v>
      </c>
      <c r="F67" t="s">
        <v>218</v>
      </c>
      <c r="L67">
        <v>27</v>
      </c>
      <c r="N67" t="s">
        <v>296</v>
      </c>
    </row>
    <row r="68" spans="1:14" x14ac:dyDescent="0.2">
      <c r="A68" t="s">
        <v>221</v>
      </c>
      <c r="B68" t="s">
        <v>405</v>
      </c>
      <c r="C68" t="s">
        <v>218</v>
      </c>
      <c r="D68" t="s">
        <v>222</v>
      </c>
      <c r="E68" t="s">
        <v>218</v>
      </c>
      <c r="F68" t="s">
        <v>218</v>
      </c>
      <c r="L68">
        <v>28</v>
      </c>
      <c r="N68" t="s">
        <v>296</v>
      </c>
    </row>
    <row r="69" spans="1:14" x14ac:dyDescent="0.2">
      <c r="A69" t="s">
        <v>221</v>
      </c>
      <c r="B69" t="s">
        <v>406</v>
      </c>
      <c r="C69" t="s">
        <v>218</v>
      </c>
      <c r="D69" t="s">
        <v>222</v>
      </c>
      <c r="E69" t="s">
        <v>222</v>
      </c>
      <c r="F69" t="s">
        <v>218</v>
      </c>
      <c r="L69">
        <v>29</v>
      </c>
      <c r="N69" t="s">
        <v>296</v>
      </c>
    </row>
    <row r="70" spans="1:14" x14ac:dyDescent="0.2">
      <c r="A70" t="s">
        <v>225</v>
      </c>
      <c r="B70" t="s">
        <v>407</v>
      </c>
      <c r="C70" t="s">
        <v>218</v>
      </c>
      <c r="D70" t="s">
        <v>218</v>
      </c>
      <c r="E70" t="s">
        <v>218</v>
      </c>
      <c r="F70" t="s">
        <v>218</v>
      </c>
      <c r="L70">
        <v>1</v>
      </c>
      <c r="N70" t="s">
        <v>299</v>
      </c>
    </row>
    <row r="71" spans="1:14" x14ac:dyDescent="0.2">
      <c r="A71" t="s">
        <v>225</v>
      </c>
      <c r="B71" t="s">
        <v>408</v>
      </c>
      <c r="C71" t="s">
        <v>218</v>
      </c>
      <c r="D71" t="s">
        <v>222</v>
      </c>
      <c r="E71" t="s">
        <v>218</v>
      </c>
      <c r="F71" t="s">
        <v>218</v>
      </c>
      <c r="L71">
        <v>2</v>
      </c>
      <c r="N71" t="s">
        <v>299</v>
      </c>
    </row>
    <row r="72" spans="1:14" x14ac:dyDescent="0.2">
      <c r="A72" t="s">
        <v>225</v>
      </c>
      <c r="B72" t="s">
        <v>409</v>
      </c>
      <c r="C72" t="s">
        <v>218</v>
      </c>
      <c r="D72" t="s">
        <v>222</v>
      </c>
      <c r="E72" t="s">
        <v>218</v>
      </c>
      <c r="F72" t="s">
        <v>218</v>
      </c>
      <c r="L72">
        <v>3</v>
      </c>
      <c r="N72" t="s">
        <v>299</v>
      </c>
    </row>
    <row r="73" spans="1:14" x14ac:dyDescent="0.2">
      <c r="A73" t="s">
        <v>225</v>
      </c>
      <c r="B73" t="s">
        <v>410</v>
      </c>
      <c r="C73" t="s">
        <v>218</v>
      </c>
      <c r="D73" t="s">
        <v>218</v>
      </c>
      <c r="E73" t="s">
        <v>218</v>
      </c>
      <c r="F73" t="s">
        <v>218</v>
      </c>
      <c r="L73">
        <v>4</v>
      </c>
      <c r="N73" t="s">
        <v>299</v>
      </c>
    </row>
    <row r="74" spans="1:14" x14ac:dyDescent="0.2">
      <c r="A74" t="s">
        <v>225</v>
      </c>
      <c r="B74" t="s">
        <v>411</v>
      </c>
      <c r="C74" t="s">
        <v>218</v>
      </c>
      <c r="D74" t="s">
        <v>222</v>
      </c>
      <c r="E74" t="s">
        <v>218</v>
      </c>
      <c r="F74" t="s">
        <v>218</v>
      </c>
      <c r="L74">
        <v>5</v>
      </c>
      <c r="N74" t="s">
        <v>299</v>
      </c>
    </row>
    <row r="75" spans="1:14" x14ac:dyDescent="0.2">
      <c r="A75" t="s">
        <v>225</v>
      </c>
      <c r="B75" t="s">
        <v>412</v>
      </c>
      <c r="C75" t="s">
        <v>218</v>
      </c>
      <c r="D75" t="s">
        <v>222</v>
      </c>
      <c r="E75" t="s">
        <v>218</v>
      </c>
      <c r="F75" t="s">
        <v>218</v>
      </c>
      <c r="L75">
        <v>6</v>
      </c>
      <c r="N75" t="s">
        <v>299</v>
      </c>
    </row>
    <row r="76" spans="1:14" x14ac:dyDescent="0.2">
      <c r="A76" t="s">
        <v>225</v>
      </c>
      <c r="B76" t="s">
        <v>413</v>
      </c>
      <c r="C76" t="s">
        <v>218</v>
      </c>
      <c r="D76" t="s">
        <v>218</v>
      </c>
      <c r="E76" t="s">
        <v>218</v>
      </c>
      <c r="F76" t="s">
        <v>218</v>
      </c>
      <c r="L76">
        <v>7</v>
      </c>
      <c r="N76" t="s">
        <v>299</v>
      </c>
    </row>
    <row r="77" spans="1:14" x14ac:dyDescent="0.2">
      <c r="A77" t="s">
        <v>225</v>
      </c>
      <c r="B77" t="s">
        <v>414</v>
      </c>
      <c r="C77" t="s">
        <v>218</v>
      </c>
      <c r="D77" t="s">
        <v>222</v>
      </c>
      <c r="E77" t="s">
        <v>218</v>
      </c>
      <c r="F77" t="s">
        <v>218</v>
      </c>
      <c r="L77">
        <v>8</v>
      </c>
      <c r="N77" t="s">
        <v>299</v>
      </c>
    </row>
    <row r="78" spans="1:14" x14ac:dyDescent="0.2">
      <c r="A78" t="s">
        <v>225</v>
      </c>
      <c r="B78" t="s">
        <v>415</v>
      </c>
      <c r="C78" t="s">
        <v>218</v>
      </c>
      <c r="D78" t="s">
        <v>222</v>
      </c>
      <c r="E78" t="s">
        <v>218</v>
      </c>
      <c r="F78" t="s">
        <v>218</v>
      </c>
      <c r="L78">
        <v>9</v>
      </c>
      <c r="N78" t="s">
        <v>299</v>
      </c>
    </row>
    <row r="79" spans="1:14" x14ac:dyDescent="0.2">
      <c r="A79" t="s">
        <v>225</v>
      </c>
      <c r="B79" t="s">
        <v>416</v>
      </c>
      <c r="C79" t="s">
        <v>218</v>
      </c>
      <c r="D79" t="s">
        <v>218</v>
      </c>
      <c r="E79" t="s">
        <v>218</v>
      </c>
      <c r="F79" t="s">
        <v>218</v>
      </c>
      <c r="L79">
        <v>10</v>
      </c>
      <c r="N79" t="s">
        <v>299</v>
      </c>
    </row>
    <row r="80" spans="1:14" x14ac:dyDescent="0.2">
      <c r="A80" t="s">
        <v>225</v>
      </c>
      <c r="B80" t="s">
        <v>417</v>
      </c>
      <c r="C80" t="s">
        <v>218</v>
      </c>
      <c r="D80" t="s">
        <v>222</v>
      </c>
      <c r="E80" t="s">
        <v>218</v>
      </c>
      <c r="F80" t="s">
        <v>218</v>
      </c>
      <c r="L80">
        <v>11</v>
      </c>
      <c r="N80" t="s">
        <v>299</v>
      </c>
    </row>
    <row r="81" spans="1:14" x14ac:dyDescent="0.2">
      <c r="A81" t="s">
        <v>225</v>
      </c>
      <c r="B81" t="s">
        <v>418</v>
      </c>
      <c r="C81" t="s">
        <v>218</v>
      </c>
      <c r="D81" t="s">
        <v>222</v>
      </c>
      <c r="E81" t="s">
        <v>218</v>
      </c>
      <c r="F81" t="s">
        <v>218</v>
      </c>
      <c r="L81">
        <v>12</v>
      </c>
      <c r="N81" t="s">
        <v>299</v>
      </c>
    </row>
    <row r="82" spans="1:14" x14ac:dyDescent="0.2">
      <c r="A82" t="s">
        <v>225</v>
      </c>
      <c r="B82" t="s">
        <v>419</v>
      </c>
      <c r="C82" t="s">
        <v>218</v>
      </c>
      <c r="D82" t="s">
        <v>218</v>
      </c>
      <c r="E82" t="s">
        <v>218</v>
      </c>
      <c r="F82" t="s">
        <v>218</v>
      </c>
      <c r="L82">
        <v>13</v>
      </c>
      <c r="N82" t="s">
        <v>299</v>
      </c>
    </row>
    <row r="83" spans="1:14" x14ac:dyDescent="0.2">
      <c r="A83" t="s">
        <v>225</v>
      </c>
      <c r="B83" t="s">
        <v>420</v>
      </c>
      <c r="C83" t="s">
        <v>218</v>
      </c>
      <c r="D83" t="s">
        <v>222</v>
      </c>
      <c r="E83" t="s">
        <v>218</v>
      </c>
      <c r="F83" t="s">
        <v>218</v>
      </c>
      <c r="L83">
        <v>14</v>
      </c>
      <c r="N83" t="s">
        <v>299</v>
      </c>
    </row>
    <row r="84" spans="1:14" x14ac:dyDescent="0.2">
      <c r="A84" t="s">
        <v>225</v>
      </c>
      <c r="B84" t="s">
        <v>421</v>
      </c>
      <c r="C84" t="s">
        <v>218</v>
      </c>
      <c r="D84" t="s">
        <v>222</v>
      </c>
      <c r="E84" t="s">
        <v>218</v>
      </c>
      <c r="F84" t="s">
        <v>218</v>
      </c>
      <c r="L84">
        <v>15</v>
      </c>
      <c r="N84" t="s">
        <v>299</v>
      </c>
    </row>
    <row r="85" spans="1:14" x14ac:dyDescent="0.2">
      <c r="A85" t="s">
        <v>225</v>
      </c>
      <c r="B85" t="s">
        <v>422</v>
      </c>
      <c r="C85" t="s">
        <v>218</v>
      </c>
      <c r="D85" t="s">
        <v>218</v>
      </c>
      <c r="E85" t="s">
        <v>218</v>
      </c>
      <c r="F85" t="s">
        <v>218</v>
      </c>
      <c r="L85">
        <v>16</v>
      </c>
      <c r="N85" t="s">
        <v>299</v>
      </c>
    </row>
    <row r="86" spans="1:14" x14ac:dyDescent="0.2">
      <c r="A86" t="s">
        <v>225</v>
      </c>
      <c r="B86" t="s">
        <v>423</v>
      </c>
      <c r="C86" t="s">
        <v>218</v>
      </c>
      <c r="D86" t="s">
        <v>222</v>
      </c>
      <c r="E86" t="s">
        <v>218</v>
      </c>
      <c r="F86" t="s">
        <v>218</v>
      </c>
      <c r="L86">
        <v>17</v>
      </c>
      <c r="N86" t="s">
        <v>299</v>
      </c>
    </row>
    <row r="87" spans="1:14" x14ac:dyDescent="0.2">
      <c r="A87" t="s">
        <v>225</v>
      </c>
      <c r="B87" t="s">
        <v>424</v>
      </c>
      <c r="C87" t="s">
        <v>218</v>
      </c>
      <c r="D87" t="s">
        <v>222</v>
      </c>
      <c r="E87" t="s">
        <v>218</v>
      </c>
      <c r="F87" t="s">
        <v>218</v>
      </c>
      <c r="L87">
        <v>18</v>
      </c>
      <c r="N87" t="s">
        <v>299</v>
      </c>
    </row>
    <row r="88" spans="1:14" x14ac:dyDescent="0.2">
      <c r="A88" t="s">
        <v>225</v>
      </c>
      <c r="B88" t="s">
        <v>425</v>
      </c>
      <c r="C88" t="s">
        <v>218</v>
      </c>
      <c r="D88" t="s">
        <v>218</v>
      </c>
      <c r="E88" t="s">
        <v>218</v>
      </c>
      <c r="F88" t="s">
        <v>218</v>
      </c>
      <c r="L88">
        <v>19</v>
      </c>
      <c r="N88" t="s">
        <v>299</v>
      </c>
    </row>
    <row r="89" spans="1:14" x14ac:dyDescent="0.2">
      <c r="A89" t="s">
        <v>225</v>
      </c>
      <c r="B89" t="s">
        <v>426</v>
      </c>
      <c r="C89" t="s">
        <v>218</v>
      </c>
      <c r="D89" t="s">
        <v>222</v>
      </c>
      <c r="E89" t="s">
        <v>218</v>
      </c>
      <c r="F89" t="s">
        <v>218</v>
      </c>
      <c r="L89">
        <v>20</v>
      </c>
      <c r="N89" t="s">
        <v>299</v>
      </c>
    </row>
    <row r="90" spans="1:14" x14ac:dyDescent="0.2">
      <c r="A90" t="s">
        <v>225</v>
      </c>
      <c r="B90" t="s">
        <v>427</v>
      </c>
      <c r="C90" t="s">
        <v>218</v>
      </c>
      <c r="D90" t="s">
        <v>222</v>
      </c>
      <c r="E90" t="s">
        <v>222</v>
      </c>
      <c r="F90" t="s">
        <v>218</v>
      </c>
      <c r="L90">
        <v>21</v>
      </c>
      <c r="N90" t="s">
        <v>299</v>
      </c>
    </row>
    <row r="91" spans="1:14" x14ac:dyDescent="0.2">
      <c r="A91" t="s">
        <v>225</v>
      </c>
      <c r="B91" t="s">
        <v>428</v>
      </c>
      <c r="C91" t="s">
        <v>218</v>
      </c>
      <c r="D91" t="s">
        <v>218</v>
      </c>
      <c r="E91" t="s">
        <v>218</v>
      </c>
      <c r="F91" t="s">
        <v>218</v>
      </c>
      <c r="L91">
        <v>22</v>
      </c>
      <c r="N91" t="s">
        <v>299</v>
      </c>
    </row>
    <row r="92" spans="1:14" x14ac:dyDescent="0.2">
      <c r="A92" t="s">
        <v>225</v>
      </c>
      <c r="B92" t="s">
        <v>429</v>
      </c>
      <c r="C92" t="s">
        <v>218</v>
      </c>
      <c r="D92" t="s">
        <v>222</v>
      </c>
      <c r="E92" t="s">
        <v>218</v>
      </c>
      <c r="F92" t="s">
        <v>218</v>
      </c>
      <c r="L92">
        <v>23</v>
      </c>
      <c r="N92" t="s">
        <v>299</v>
      </c>
    </row>
    <row r="93" spans="1:14" x14ac:dyDescent="0.2">
      <c r="A93" t="s">
        <v>225</v>
      </c>
      <c r="B93" t="s">
        <v>430</v>
      </c>
      <c r="C93" t="s">
        <v>218</v>
      </c>
      <c r="D93" t="s">
        <v>222</v>
      </c>
      <c r="E93" t="s">
        <v>222</v>
      </c>
      <c r="F93" t="s">
        <v>218</v>
      </c>
      <c r="L93">
        <v>24</v>
      </c>
      <c r="N93" t="s">
        <v>299</v>
      </c>
    </row>
    <row r="94" spans="1:14" x14ac:dyDescent="0.2">
      <c r="A94" t="s">
        <v>225</v>
      </c>
      <c r="B94" t="s">
        <v>431</v>
      </c>
      <c r="C94" t="s">
        <v>218</v>
      </c>
      <c r="D94" t="s">
        <v>218</v>
      </c>
      <c r="E94" t="s">
        <v>218</v>
      </c>
      <c r="F94" t="s">
        <v>218</v>
      </c>
      <c r="L94">
        <v>25</v>
      </c>
      <c r="N94" t="s">
        <v>299</v>
      </c>
    </row>
    <row r="95" spans="1:14" x14ac:dyDescent="0.2">
      <c r="A95" t="s">
        <v>225</v>
      </c>
      <c r="B95" t="s">
        <v>432</v>
      </c>
      <c r="C95" t="s">
        <v>218</v>
      </c>
      <c r="D95" t="s">
        <v>222</v>
      </c>
      <c r="E95" t="s">
        <v>218</v>
      </c>
      <c r="F95" t="s">
        <v>218</v>
      </c>
      <c r="L95">
        <v>26</v>
      </c>
      <c r="N95" t="s">
        <v>299</v>
      </c>
    </row>
    <row r="96" spans="1:14" x14ac:dyDescent="0.2">
      <c r="A96" t="s">
        <v>225</v>
      </c>
      <c r="B96" t="s">
        <v>433</v>
      </c>
      <c r="C96" t="s">
        <v>218</v>
      </c>
      <c r="D96" t="s">
        <v>222</v>
      </c>
      <c r="E96" t="s">
        <v>222</v>
      </c>
      <c r="F96" t="s">
        <v>218</v>
      </c>
      <c r="L96">
        <v>27</v>
      </c>
      <c r="N96" t="s">
        <v>299</v>
      </c>
    </row>
    <row r="97" spans="1:14" x14ac:dyDescent="0.2">
      <c r="A97" t="s">
        <v>229</v>
      </c>
      <c r="B97" t="s">
        <v>434</v>
      </c>
      <c r="C97" t="s">
        <v>218</v>
      </c>
      <c r="D97" t="s">
        <v>218</v>
      </c>
      <c r="E97" t="s">
        <v>218</v>
      </c>
      <c r="F97" t="s">
        <v>218</v>
      </c>
      <c r="L97">
        <v>1</v>
      </c>
      <c r="N97" t="s">
        <v>435</v>
      </c>
    </row>
    <row r="98" spans="1:14" x14ac:dyDescent="0.2">
      <c r="A98" t="s">
        <v>229</v>
      </c>
      <c r="B98" t="s">
        <v>436</v>
      </c>
      <c r="C98" t="s">
        <v>218</v>
      </c>
      <c r="D98" t="s">
        <v>222</v>
      </c>
      <c r="E98" t="s">
        <v>218</v>
      </c>
      <c r="F98" t="s">
        <v>218</v>
      </c>
      <c r="L98">
        <v>2</v>
      </c>
      <c r="N98" t="s">
        <v>435</v>
      </c>
    </row>
    <row r="99" spans="1:14" x14ac:dyDescent="0.2">
      <c r="A99" t="s">
        <v>229</v>
      </c>
      <c r="B99" t="s">
        <v>437</v>
      </c>
      <c r="C99" t="s">
        <v>218</v>
      </c>
      <c r="D99" t="s">
        <v>222</v>
      </c>
      <c r="E99" t="s">
        <v>218</v>
      </c>
      <c r="F99" t="s">
        <v>218</v>
      </c>
      <c r="L99">
        <v>3</v>
      </c>
      <c r="N99" t="s">
        <v>435</v>
      </c>
    </row>
    <row r="100" spans="1:14" x14ac:dyDescent="0.2">
      <c r="A100" t="s">
        <v>229</v>
      </c>
      <c r="B100" t="s">
        <v>438</v>
      </c>
      <c r="C100" t="s">
        <v>218</v>
      </c>
      <c r="D100" t="s">
        <v>218</v>
      </c>
      <c r="E100" t="s">
        <v>218</v>
      </c>
      <c r="F100" t="s">
        <v>218</v>
      </c>
      <c r="L100">
        <v>4</v>
      </c>
      <c r="N100" t="s">
        <v>435</v>
      </c>
    </row>
    <row r="101" spans="1:14" x14ac:dyDescent="0.2">
      <c r="A101" t="s">
        <v>229</v>
      </c>
      <c r="B101" t="s">
        <v>439</v>
      </c>
      <c r="C101" t="s">
        <v>218</v>
      </c>
      <c r="D101" t="s">
        <v>222</v>
      </c>
      <c r="E101" t="s">
        <v>218</v>
      </c>
      <c r="F101" t="s">
        <v>218</v>
      </c>
      <c r="L101">
        <v>5</v>
      </c>
      <c r="N101" t="s">
        <v>435</v>
      </c>
    </row>
    <row r="102" spans="1:14" x14ac:dyDescent="0.2">
      <c r="A102" t="s">
        <v>229</v>
      </c>
      <c r="B102" t="s">
        <v>440</v>
      </c>
      <c r="C102" t="s">
        <v>218</v>
      </c>
      <c r="D102" t="s">
        <v>222</v>
      </c>
      <c r="E102" t="s">
        <v>218</v>
      </c>
      <c r="F102" t="s">
        <v>218</v>
      </c>
      <c r="L102">
        <v>6</v>
      </c>
      <c r="N102" t="s">
        <v>435</v>
      </c>
    </row>
    <row r="103" spans="1:14" x14ac:dyDescent="0.2">
      <c r="A103" t="s">
        <v>229</v>
      </c>
      <c r="B103" t="s">
        <v>441</v>
      </c>
      <c r="C103" t="s">
        <v>218</v>
      </c>
      <c r="D103" t="s">
        <v>218</v>
      </c>
      <c r="E103" t="s">
        <v>218</v>
      </c>
      <c r="F103" t="s">
        <v>218</v>
      </c>
      <c r="L103">
        <v>7</v>
      </c>
      <c r="N103" t="s">
        <v>435</v>
      </c>
    </row>
    <row r="104" spans="1:14" x14ac:dyDescent="0.2">
      <c r="A104" t="s">
        <v>229</v>
      </c>
      <c r="B104" t="s">
        <v>442</v>
      </c>
      <c r="C104" t="s">
        <v>218</v>
      </c>
      <c r="D104" t="s">
        <v>222</v>
      </c>
      <c r="E104" t="s">
        <v>218</v>
      </c>
      <c r="F104" t="s">
        <v>218</v>
      </c>
      <c r="L104">
        <v>8</v>
      </c>
      <c r="N104" t="s">
        <v>435</v>
      </c>
    </row>
    <row r="105" spans="1:14" x14ac:dyDescent="0.2">
      <c r="A105" t="s">
        <v>229</v>
      </c>
      <c r="B105" t="s">
        <v>443</v>
      </c>
      <c r="C105" t="s">
        <v>218</v>
      </c>
      <c r="D105" t="s">
        <v>218</v>
      </c>
      <c r="E105" t="s">
        <v>218</v>
      </c>
      <c r="F105" t="s">
        <v>218</v>
      </c>
      <c r="L105">
        <v>9</v>
      </c>
      <c r="N105" t="s">
        <v>435</v>
      </c>
    </row>
    <row r="106" spans="1:14" x14ac:dyDescent="0.2">
      <c r="A106" t="s">
        <v>229</v>
      </c>
      <c r="B106" t="s">
        <v>444</v>
      </c>
      <c r="C106" t="s">
        <v>218</v>
      </c>
      <c r="D106" t="s">
        <v>222</v>
      </c>
      <c r="E106" t="s">
        <v>218</v>
      </c>
      <c r="F106" t="s">
        <v>218</v>
      </c>
      <c r="L106">
        <v>10</v>
      </c>
      <c r="N106" t="s">
        <v>435</v>
      </c>
    </row>
    <row r="107" spans="1:14" x14ac:dyDescent="0.2">
      <c r="A107" t="s">
        <v>229</v>
      </c>
      <c r="B107" t="s">
        <v>445</v>
      </c>
      <c r="C107" t="s">
        <v>218</v>
      </c>
      <c r="D107" t="s">
        <v>218</v>
      </c>
      <c r="E107" t="s">
        <v>218</v>
      </c>
      <c r="F107" t="s">
        <v>218</v>
      </c>
      <c r="L107">
        <v>11</v>
      </c>
      <c r="N107" t="s">
        <v>435</v>
      </c>
    </row>
    <row r="108" spans="1:14" x14ac:dyDescent="0.2">
      <c r="A108" t="s">
        <v>229</v>
      </c>
      <c r="B108" t="s">
        <v>446</v>
      </c>
      <c r="C108" t="s">
        <v>218</v>
      </c>
      <c r="D108" t="s">
        <v>222</v>
      </c>
      <c r="E108" t="s">
        <v>218</v>
      </c>
      <c r="F108" t="s">
        <v>218</v>
      </c>
      <c r="L108">
        <v>12</v>
      </c>
      <c r="N108" t="s">
        <v>435</v>
      </c>
    </row>
    <row r="109" spans="1:14" x14ac:dyDescent="0.2">
      <c r="A109" t="s">
        <v>229</v>
      </c>
      <c r="B109" t="s">
        <v>447</v>
      </c>
      <c r="C109" t="s">
        <v>218</v>
      </c>
      <c r="D109" t="s">
        <v>218</v>
      </c>
      <c r="E109" t="s">
        <v>218</v>
      </c>
      <c r="F109" t="s">
        <v>218</v>
      </c>
      <c r="L109">
        <v>13</v>
      </c>
      <c r="N109" t="s">
        <v>435</v>
      </c>
    </row>
    <row r="110" spans="1:14" x14ac:dyDescent="0.2">
      <c r="A110" t="s">
        <v>229</v>
      </c>
      <c r="B110" t="s">
        <v>448</v>
      </c>
      <c r="C110" t="s">
        <v>218</v>
      </c>
      <c r="D110" t="s">
        <v>222</v>
      </c>
      <c r="E110" t="s">
        <v>218</v>
      </c>
      <c r="F110" t="s">
        <v>218</v>
      </c>
      <c r="L110">
        <v>14</v>
      </c>
      <c r="N110" t="s">
        <v>435</v>
      </c>
    </row>
    <row r="111" spans="1:14" x14ac:dyDescent="0.2">
      <c r="A111" t="s">
        <v>229</v>
      </c>
      <c r="B111" t="s">
        <v>449</v>
      </c>
      <c r="C111" t="s">
        <v>218</v>
      </c>
      <c r="D111" t="s">
        <v>222</v>
      </c>
      <c r="E111" t="s">
        <v>218</v>
      </c>
      <c r="F111" t="s">
        <v>218</v>
      </c>
      <c r="L111">
        <v>15</v>
      </c>
      <c r="N111" t="s">
        <v>435</v>
      </c>
    </row>
    <row r="112" spans="1:14" x14ac:dyDescent="0.2">
      <c r="A112" t="s">
        <v>229</v>
      </c>
      <c r="B112" t="s">
        <v>450</v>
      </c>
      <c r="C112" t="s">
        <v>218</v>
      </c>
      <c r="D112" t="s">
        <v>222</v>
      </c>
      <c r="E112" t="s">
        <v>218</v>
      </c>
      <c r="F112" t="s">
        <v>218</v>
      </c>
      <c r="L112">
        <v>16</v>
      </c>
      <c r="N112" t="s">
        <v>435</v>
      </c>
    </row>
    <row r="113" spans="1:14" x14ac:dyDescent="0.2">
      <c r="A113" t="s">
        <v>229</v>
      </c>
      <c r="B113" t="s">
        <v>451</v>
      </c>
      <c r="C113" t="s">
        <v>218</v>
      </c>
      <c r="D113" t="s">
        <v>222</v>
      </c>
      <c r="E113" t="s">
        <v>218</v>
      </c>
      <c r="F113" t="s">
        <v>218</v>
      </c>
      <c r="L113">
        <v>17</v>
      </c>
      <c r="N113" t="s">
        <v>435</v>
      </c>
    </row>
    <row r="114" spans="1:14" x14ac:dyDescent="0.2">
      <c r="A114" t="s">
        <v>229</v>
      </c>
      <c r="B114" t="s">
        <v>452</v>
      </c>
      <c r="C114" t="s">
        <v>218</v>
      </c>
      <c r="D114" t="s">
        <v>222</v>
      </c>
      <c r="E114" t="s">
        <v>222</v>
      </c>
      <c r="F114" t="s">
        <v>218</v>
      </c>
      <c r="L114">
        <v>18</v>
      </c>
      <c r="N114" t="s">
        <v>435</v>
      </c>
    </row>
    <row r="115" spans="1:14" x14ac:dyDescent="0.2">
      <c r="A115" t="s">
        <v>231</v>
      </c>
      <c r="B115" t="s">
        <v>453</v>
      </c>
      <c r="C115" t="s">
        <v>218</v>
      </c>
      <c r="D115" t="s">
        <v>218</v>
      </c>
      <c r="E115" t="s">
        <v>218</v>
      </c>
      <c r="F115" t="s">
        <v>218</v>
      </c>
      <c r="L115">
        <v>1</v>
      </c>
      <c r="N115" t="s">
        <v>454</v>
      </c>
    </row>
    <row r="116" spans="1:14" x14ac:dyDescent="0.2">
      <c r="A116" t="s">
        <v>231</v>
      </c>
      <c r="B116" t="s">
        <v>455</v>
      </c>
      <c r="C116" t="s">
        <v>218</v>
      </c>
      <c r="D116" t="s">
        <v>222</v>
      </c>
      <c r="E116" t="s">
        <v>218</v>
      </c>
      <c r="F116" t="s">
        <v>218</v>
      </c>
      <c r="L116">
        <v>2</v>
      </c>
      <c r="N116" t="s">
        <v>454</v>
      </c>
    </row>
    <row r="117" spans="1:14" x14ac:dyDescent="0.2">
      <c r="A117" t="s">
        <v>231</v>
      </c>
      <c r="B117" t="s">
        <v>456</v>
      </c>
      <c r="C117" t="s">
        <v>218</v>
      </c>
      <c r="D117" t="s">
        <v>222</v>
      </c>
      <c r="E117" t="s">
        <v>218</v>
      </c>
      <c r="F117" t="s">
        <v>218</v>
      </c>
      <c r="L117">
        <v>3</v>
      </c>
      <c r="N117" t="s">
        <v>454</v>
      </c>
    </row>
    <row r="118" spans="1:14" x14ac:dyDescent="0.2">
      <c r="A118" t="s">
        <v>231</v>
      </c>
      <c r="B118" t="s">
        <v>457</v>
      </c>
      <c r="C118" t="s">
        <v>218</v>
      </c>
      <c r="D118" t="s">
        <v>218</v>
      </c>
      <c r="E118" t="s">
        <v>218</v>
      </c>
      <c r="F118" t="s">
        <v>218</v>
      </c>
      <c r="L118">
        <v>4</v>
      </c>
      <c r="N118" t="s">
        <v>454</v>
      </c>
    </row>
    <row r="119" spans="1:14" x14ac:dyDescent="0.2">
      <c r="A119" t="s">
        <v>231</v>
      </c>
      <c r="B119" t="s">
        <v>458</v>
      </c>
      <c r="C119" t="s">
        <v>218</v>
      </c>
      <c r="D119" t="s">
        <v>222</v>
      </c>
      <c r="E119" t="s">
        <v>218</v>
      </c>
      <c r="F119" t="s">
        <v>218</v>
      </c>
      <c r="L119">
        <v>5</v>
      </c>
      <c r="N119" t="s">
        <v>454</v>
      </c>
    </row>
    <row r="120" spans="1:14" x14ac:dyDescent="0.2">
      <c r="A120" t="s">
        <v>231</v>
      </c>
      <c r="B120" t="s">
        <v>459</v>
      </c>
      <c r="C120" t="s">
        <v>218</v>
      </c>
      <c r="D120" t="s">
        <v>218</v>
      </c>
      <c r="E120" t="s">
        <v>218</v>
      </c>
      <c r="F120" t="s">
        <v>218</v>
      </c>
      <c r="L120">
        <v>6</v>
      </c>
      <c r="N120" t="s">
        <v>454</v>
      </c>
    </row>
    <row r="121" spans="1:14" x14ac:dyDescent="0.2">
      <c r="A121" t="s">
        <v>231</v>
      </c>
      <c r="B121" t="s">
        <v>460</v>
      </c>
      <c r="C121" t="s">
        <v>218</v>
      </c>
      <c r="D121" t="s">
        <v>222</v>
      </c>
      <c r="E121" t="s">
        <v>218</v>
      </c>
      <c r="F121" t="s">
        <v>218</v>
      </c>
      <c r="L121">
        <v>7</v>
      </c>
      <c r="N121" t="s">
        <v>454</v>
      </c>
    </row>
    <row r="122" spans="1:14" x14ac:dyDescent="0.2">
      <c r="A122" t="s">
        <v>231</v>
      </c>
      <c r="B122" t="s">
        <v>461</v>
      </c>
      <c r="C122" t="s">
        <v>218</v>
      </c>
      <c r="D122" t="s">
        <v>222</v>
      </c>
      <c r="E122" t="s">
        <v>218</v>
      </c>
      <c r="F122" t="s">
        <v>218</v>
      </c>
      <c r="L122">
        <v>8</v>
      </c>
      <c r="N122" t="s">
        <v>454</v>
      </c>
    </row>
    <row r="123" spans="1:14" x14ac:dyDescent="0.2">
      <c r="A123" t="s">
        <v>231</v>
      </c>
      <c r="B123" t="s">
        <v>462</v>
      </c>
      <c r="C123" t="s">
        <v>218</v>
      </c>
      <c r="D123" t="s">
        <v>218</v>
      </c>
      <c r="E123" t="s">
        <v>218</v>
      </c>
      <c r="F123" t="s">
        <v>218</v>
      </c>
      <c r="L123">
        <v>9</v>
      </c>
      <c r="N123" t="s">
        <v>454</v>
      </c>
    </row>
    <row r="124" spans="1:14" x14ac:dyDescent="0.2">
      <c r="A124" t="s">
        <v>231</v>
      </c>
      <c r="B124" t="s">
        <v>463</v>
      </c>
      <c r="C124" t="s">
        <v>218</v>
      </c>
      <c r="D124" t="s">
        <v>222</v>
      </c>
      <c r="E124" t="s">
        <v>218</v>
      </c>
      <c r="F124" t="s">
        <v>218</v>
      </c>
      <c r="L124">
        <v>10</v>
      </c>
      <c r="N124" t="s">
        <v>454</v>
      </c>
    </row>
    <row r="125" spans="1:14" x14ac:dyDescent="0.2">
      <c r="A125" t="s">
        <v>231</v>
      </c>
      <c r="B125" t="s">
        <v>464</v>
      </c>
      <c r="C125" t="s">
        <v>218</v>
      </c>
      <c r="D125" t="s">
        <v>218</v>
      </c>
      <c r="E125" t="s">
        <v>218</v>
      </c>
      <c r="F125" t="s">
        <v>218</v>
      </c>
      <c r="L125">
        <v>11</v>
      </c>
      <c r="N125" t="s">
        <v>454</v>
      </c>
    </row>
    <row r="126" spans="1:14" x14ac:dyDescent="0.2">
      <c r="A126" t="s">
        <v>231</v>
      </c>
      <c r="B126" t="s">
        <v>465</v>
      </c>
      <c r="C126" t="s">
        <v>218</v>
      </c>
      <c r="D126" t="s">
        <v>222</v>
      </c>
      <c r="E126" t="s">
        <v>218</v>
      </c>
      <c r="F126" t="s">
        <v>218</v>
      </c>
      <c r="L126">
        <v>12</v>
      </c>
      <c r="N126" t="s">
        <v>454</v>
      </c>
    </row>
    <row r="127" spans="1:14" x14ac:dyDescent="0.2">
      <c r="A127" t="s">
        <v>231</v>
      </c>
      <c r="B127" t="s">
        <v>466</v>
      </c>
      <c r="C127" t="s">
        <v>218</v>
      </c>
      <c r="D127" t="s">
        <v>222</v>
      </c>
      <c r="E127" t="s">
        <v>218</v>
      </c>
      <c r="F127" t="s">
        <v>218</v>
      </c>
      <c r="L127">
        <v>13</v>
      </c>
      <c r="N127" t="s">
        <v>454</v>
      </c>
    </row>
    <row r="128" spans="1:14" x14ac:dyDescent="0.2">
      <c r="A128" t="s">
        <v>231</v>
      </c>
      <c r="B128" t="s">
        <v>467</v>
      </c>
      <c r="C128" t="s">
        <v>218</v>
      </c>
      <c r="D128" t="s">
        <v>222</v>
      </c>
      <c r="E128" t="s">
        <v>218</v>
      </c>
      <c r="F128" t="s">
        <v>218</v>
      </c>
      <c r="L128">
        <v>14</v>
      </c>
      <c r="N128" t="s">
        <v>454</v>
      </c>
    </row>
    <row r="129" spans="1:14" x14ac:dyDescent="0.2">
      <c r="A129" t="s">
        <v>231</v>
      </c>
      <c r="B129" t="s">
        <v>468</v>
      </c>
      <c r="C129" t="s">
        <v>218</v>
      </c>
      <c r="D129" t="s">
        <v>222</v>
      </c>
      <c r="E129" t="s">
        <v>222</v>
      </c>
      <c r="F129" t="s">
        <v>218</v>
      </c>
      <c r="L129">
        <v>15</v>
      </c>
      <c r="N129" t="s">
        <v>454</v>
      </c>
    </row>
    <row r="130" spans="1:14" x14ac:dyDescent="0.2">
      <c r="A130" t="s">
        <v>233</v>
      </c>
      <c r="B130" t="s">
        <v>469</v>
      </c>
      <c r="C130" t="s">
        <v>218</v>
      </c>
      <c r="D130" t="s">
        <v>218</v>
      </c>
      <c r="E130" t="s">
        <v>218</v>
      </c>
      <c r="F130" t="s">
        <v>218</v>
      </c>
      <c r="L130">
        <v>1</v>
      </c>
      <c r="N130" t="s">
        <v>470</v>
      </c>
    </row>
    <row r="131" spans="1:14" x14ac:dyDescent="0.2">
      <c r="A131" t="s">
        <v>233</v>
      </c>
      <c r="B131" t="s">
        <v>471</v>
      </c>
      <c r="C131" t="s">
        <v>218</v>
      </c>
      <c r="D131" t="s">
        <v>222</v>
      </c>
      <c r="E131" t="s">
        <v>218</v>
      </c>
      <c r="F131" t="s">
        <v>218</v>
      </c>
      <c r="L131">
        <v>2</v>
      </c>
      <c r="N131" t="s">
        <v>470</v>
      </c>
    </row>
    <row r="132" spans="1:14" x14ac:dyDescent="0.2">
      <c r="A132" t="s">
        <v>233</v>
      </c>
      <c r="B132" t="s">
        <v>472</v>
      </c>
      <c r="C132" t="s">
        <v>218</v>
      </c>
      <c r="D132" t="s">
        <v>222</v>
      </c>
      <c r="E132" t="s">
        <v>218</v>
      </c>
      <c r="F132" t="s">
        <v>218</v>
      </c>
      <c r="L132">
        <v>3</v>
      </c>
      <c r="N132" t="s">
        <v>470</v>
      </c>
    </row>
    <row r="133" spans="1:14" x14ac:dyDescent="0.2">
      <c r="A133" t="s">
        <v>233</v>
      </c>
      <c r="B133" t="s">
        <v>473</v>
      </c>
      <c r="C133" t="s">
        <v>218</v>
      </c>
      <c r="D133" t="s">
        <v>218</v>
      </c>
      <c r="E133" t="s">
        <v>218</v>
      </c>
      <c r="F133" t="s">
        <v>218</v>
      </c>
      <c r="L133">
        <v>4</v>
      </c>
      <c r="N133" t="s">
        <v>470</v>
      </c>
    </row>
    <row r="134" spans="1:14" x14ac:dyDescent="0.2">
      <c r="A134" t="s">
        <v>233</v>
      </c>
      <c r="B134" t="s">
        <v>474</v>
      </c>
      <c r="C134" t="s">
        <v>218</v>
      </c>
      <c r="D134" t="s">
        <v>222</v>
      </c>
      <c r="E134" t="s">
        <v>218</v>
      </c>
      <c r="F134" t="s">
        <v>218</v>
      </c>
      <c r="L134">
        <v>5</v>
      </c>
      <c r="N134" t="s">
        <v>470</v>
      </c>
    </row>
    <row r="135" spans="1:14" x14ac:dyDescent="0.2">
      <c r="A135" t="s">
        <v>233</v>
      </c>
      <c r="B135" t="s">
        <v>475</v>
      </c>
      <c r="C135" t="s">
        <v>218</v>
      </c>
      <c r="D135" t="s">
        <v>218</v>
      </c>
      <c r="E135" t="s">
        <v>218</v>
      </c>
      <c r="F135" t="s">
        <v>218</v>
      </c>
      <c r="L135">
        <v>6</v>
      </c>
      <c r="N135" t="s">
        <v>470</v>
      </c>
    </row>
    <row r="136" spans="1:14" x14ac:dyDescent="0.2">
      <c r="A136" t="s">
        <v>233</v>
      </c>
      <c r="B136" t="s">
        <v>476</v>
      </c>
      <c r="C136" t="s">
        <v>218</v>
      </c>
      <c r="D136" t="s">
        <v>222</v>
      </c>
      <c r="E136" t="s">
        <v>218</v>
      </c>
      <c r="F136" t="s">
        <v>218</v>
      </c>
      <c r="L136">
        <v>7</v>
      </c>
      <c r="N136" t="s">
        <v>470</v>
      </c>
    </row>
    <row r="137" spans="1:14" x14ac:dyDescent="0.2">
      <c r="A137" t="s">
        <v>233</v>
      </c>
      <c r="B137" t="s">
        <v>477</v>
      </c>
      <c r="C137" t="s">
        <v>218</v>
      </c>
      <c r="D137" t="s">
        <v>222</v>
      </c>
      <c r="E137" t="s">
        <v>218</v>
      </c>
      <c r="F137" t="s">
        <v>218</v>
      </c>
      <c r="L137">
        <v>8</v>
      </c>
      <c r="N137" t="s">
        <v>470</v>
      </c>
    </row>
    <row r="138" spans="1:14" x14ac:dyDescent="0.2">
      <c r="A138" t="s">
        <v>233</v>
      </c>
      <c r="B138" t="s">
        <v>478</v>
      </c>
      <c r="C138" t="s">
        <v>218</v>
      </c>
      <c r="D138" t="s">
        <v>218</v>
      </c>
      <c r="E138" t="s">
        <v>218</v>
      </c>
      <c r="F138" t="s">
        <v>218</v>
      </c>
      <c r="L138">
        <v>9</v>
      </c>
      <c r="N138" t="s">
        <v>470</v>
      </c>
    </row>
    <row r="139" spans="1:14" x14ac:dyDescent="0.2">
      <c r="A139" t="s">
        <v>233</v>
      </c>
      <c r="B139" t="s">
        <v>479</v>
      </c>
      <c r="C139" t="s">
        <v>218</v>
      </c>
      <c r="D139" t="s">
        <v>222</v>
      </c>
      <c r="E139" t="s">
        <v>218</v>
      </c>
      <c r="F139" t="s">
        <v>218</v>
      </c>
      <c r="L139">
        <v>10</v>
      </c>
      <c r="N139" t="s">
        <v>470</v>
      </c>
    </row>
    <row r="140" spans="1:14" x14ac:dyDescent="0.2">
      <c r="A140" t="s">
        <v>233</v>
      </c>
      <c r="B140" t="s">
        <v>480</v>
      </c>
      <c r="C140" t="s">
        <v>218</v>
      </c>
      <c r="D140" t="s">
        <v>218</v>
      </c>
      <c r="E140" t="s">
        <v>218</v>
      </c>
      <c r="F140" t="s">
        <v>218</v>
      </c>
      <c r="L140">
        <v>11</v>
      </c>
      <c r="N140" t="s">
        <v>470</v>
      </c>
    </row>
    <row r="141" spans="1:14" x14ac:dyDescent="0.2">
      <c r="A141" t="s">
        <v>233</v>
      </c>
      <c r="B141" t="s">
        <v>481</v>
      </c>
      <c r="C141" t="s">
        <v>218</v>
      </c>
      <c r="D141" t="s">
        <v>222</v>
      </c>
      <c r="E141" t="s">
        <v>218</v>
      </c>
      <c r="F141" t="s">
        <v>218</v>
      </c>
      <c r="L141">
        <v>12</v>
      </c>
      <c r="N141" t="s">
        <v>470</v>
      </c>
    </row>
    <row r="142" spans="1:14" x14ac:dyDescent="0.2">
      <c r="A142" t="s">
        <v>233</v>
      </c>
      <c r="B142" t="s">
        <v>482</v>
      </c>
      <c r="C142" t="s">
        <v>218</v>
      </c>
      <c r="D142" t="s">
        <v>218</v>
      </c>
      <c r="E142" t="s">
        <v>218</v>
      </c>
      <c r="F142" t="s">
        <v>218</v>
      </c>
      <c r="L142">
        <v>13</v>
      </c>
      <c r="N142" t="s">
        <v>470</v>
      </c>
    </row>
    <row r="143" spans="1:14" x14ac:dyDescent="0.2">
      <c r="A143" t="s">
        <v>233</v>
      </c>
      <c r="B143" t="s">
        <v>483</v>
      </c>
      <c r="C143" t="s">
        <v>218</v>
      </c>
      <c r="D143" t="s">
        <v>222</v>
      </c>
      <c r="E143" t="s">
        <v>218</v>
      </c>
      <c r="F143" t="s">
        <v>218</v>
      </c>
      <c r="L143">
        <v>14</v>
      </c>
      <c r="N143" t="s">
        <v>470</v>
      </c>
    </row>
    <row r="144" spans="1:14" x14ac:dyDescent="0.2">
      <c r="A144" t="s">
        <v>233</v>
      </c>
      <c r="B144" t="s">
        <v>484</v>
      </c>
      <c r="C144" t="s">
        <v>218</v>
      </c>
      <c r="D144" t="s">
        <v>222</v>
      </c>
      <c r="E144" t="s">
        <v>218</v>
      </c>
      <c r="F144" t="s">
        <v>218</v>
      </c>
      <c r="L144">
        <v>15</v>
      </c>
      <c r="N144" t="s">
        <v>470</v>
      </c>
    </row>
    <row r="145" spans="1:14" x14ac:dyDescent="0.2">
      <c r="A145" t="s">
        <v>233</v>
      </c>
      <c r="B145" t="s">
        <v>485</v>
      </c>
      <c r="C145" t="s">
        <v>218</v>
      </c>
      <c r="D145" t="s">
        <v>222</v>
      </c>
      <c r="E145" t="s">
        <v>218</v>
      </c>
      <c r="F145" t="s">
        <v>218</v>
      </c>
      <c r="L145">
        <v>16</v>
      </c>
      <c r="N145" t="s">
        <v>470</v>
      </c>
    </row>
    <row r="146" spans="1:14" x14ac:dyDescent="0.2">
      <c r="A146" t="s">
        <v>233</v>
      </c>
      <c r="B146" t="s">
        <v>486</v>
      </c>
      <c r="C146" t="s">
        <v>218</v>
      </c>
      <c r="D146" t="s">
        <v>222</v>
      </c>
      <c r="E146" t="s">
        <v>222</v>
      </c>
      <c r="F146" t="s">
        <v>218</v>
      </c>
      <c r="L146">
        <v>17</v>
      </c>
      <c r="N146" t="s">
        <v>470</v>
      </c>
    </row>
    <row r="147" spans="1:14" x14ac:dyDescent="0.2">
      <c r="A147" t="s">
        <v>233</v>
      </c>
      <c r="B147" t="s">
        <v>487</v>
      </c>
      <c r="C147" t="s">
        <v>218</v>
      </c>
      <c r="D147" t="s">
        <v>222</v>
      </c>
      <c r="E147" t="s">
        <v>222</v>
      </c>
      <c r="F147" t="s">
        <v>218</v>
      </c>
      <c r="L147">
        <v>18</v>
      </c>
      <c r="N147" t="s">
        <v>470</v>
      </c>
    </row>
    <row r="148" spans="1:14" x14ac:dyDescent="0.2">
      <c r="A148" t="s">
        <v>235</v>
      </c>
      <c r="B148" t="s">
        <v>488</v>
      </c>
      <c r="C148" t="s">
        <v>222</v>
      </c>
      <c r="D148" t="s">
        <v>218</v>
      </c>
      <c r="E148" t="s">
        <v>218</v>
      </c>
      <c r="F148" t="s">
        <v>218</v>
      </c>
      <c r="L148">
        <v>1</v>
      </c>
      <c r="N148" t="s">
        <v>489</v>
      </c>
    </row>
    <row r="149" spans="1:14" x14ac:dyDescent="0.2">
      <c r="A149" t="s">
        <v>235</v>
      </c>
      <c r="B149" t="s">
        <v>490</v>
      </c>
      <c r="C149" t="s">
        <v>222</v>
      </c>
      <c r="D149" t="s">
        <v>218</v>
      </c>
      <c r="E149" t="s">
        <v>218</v>
      </c>
      <c r="F149" t="s">
        <v>218</v>
      </c>
      <c r="L149">
        <v>2</v>
      </c>
      <c r="N149" t="s">
        <v>489</v>
      </c>
    </row>
    <row r="150" spans="1:14" x14ac:dyDescent="0.2">
      <c r="A150" t="s">
        <v>235</v>
      </c>
      <c r="B150" t="s">
        <v>491</v>
      </c>
      <c r="C150" t="s">
        <v>222</v>
      </c>
      <c r="D150" t="s">
        <v>218</v>
      </c>
      <c r="E150" t="s">
        <v>218</v>
      </c>
      <c r="F150" t="s">
        <v>218</v>
      </c>
      <c r="L150">
        <v>3</v>
      </c>
      <c r="N150" t="s">
        <v>489</v>
      </c>
    </row>
    <row r="151" spans="1:14" x14ac:dyDescent="0.2">
      <c r="A151" t="s">
        <v>235</v>
      </c>
      <c r="B151" t="s">
        <v>492</v>
      </c>
      <c r="C151" t="s">
        <v>222</v>
      </c>
      <c r="D151" t="s">
        <v>222</v>
      </c>
      <c r="E151" t="s">
        <v>218</v>
      </c>
      <c r="F151" t="s">
        <v>218</v>
      </c>
      <c r="L151">
        <v>4</v>
      </c>
      <c r="N151" t="s">
        <v>489</v>
      </c>
    </row>
    <row r="152" spans="1:14" x14ac:dyDescent="0.2">
      <c r="A152" t="s">
        <v>235</v>
      </c>
      <c r="B152" t="s">
        <v>493</v>
      </c>
      <c r="C152" t="s">
        <v>222</v>
      </c>
      <c r="D152" t="s">
        <v>222</v>
      </c>
      <c r="E152" t="s">
        <v>218</v>
      </c>
      <c r="F152" t="s">
        <v>218</v>
      </c>
      <c r="L152">
        <v>5</v>
      </c>
      <c r="N152" t="s">
        <v>489</v>
      </c>
    </row>
    <row r="153" spans="1:14" x14ac:dyDescent="0.2">
      <c r="A153" t="s">
        <v>235</v>
      </c>
      <c r="B153" t="s">
        <v>494</v>
      </c>
      <c r="C153" t="s">
        <v>222</v>
      </c>
      <c r="D153" t="s">
        <v>218</v>
      </c>
      <c r="E153" t="s">
        <v>218</v>
      </c>
      <c r="F153" t="s">
        <v>218</v>
      </c>
      <c r="L153">
        <v>6</v>
      </c>
      <c r="N153" t="s">
        <v>489</v>
      </c>
    </row>
    <row r="154" spans="1:14" x14ac:dyDescent="0.2">
      <c r="A154" t="s">
        <v>235</v>
      </c>
      <c r="B154" t="s">
        <v>495</v>
      </c>
      <c r="C154" t="s">
        <v>222</v>
      </c>
      <c r="D154" t="s">
        <v>222</v>
      </c>
      <c r="E154" t="s">
        <v>218</v>
      </c>
      <c r="F154" t="s">
        <v>218</v>
      </c>
      <c r="L154">
        <v>7</v>
      </c>
      <c r="N154" t="s">
        <v>489</v>
      </c>
    </row>
    <row r="155" spans="1:14" x14ac:dyDescent="0.2">
      <c r="A155" t="s">
        <v>235</v>
      </c>
      <c r="B155" t="s">
        <v>496</v>
      </c>
      <c r="C155" t="s">
        <v>222</v>
      </c>
      <c r="D155" t="s">
        <v>222</v>
      </c>
      <c r="E155" t="s">
        <v>218</v>
      </c>
      <c r="F155" t="s">
        <v>218</v>
      </c>
      <c r="L155">
        <v>8</v>
      </c>
      <c r="N155" t="s">
        <v>489</v>
      </c>
    </row>
    <row r="156" spans="1:14" x14ac:dyDescent="0.2">
      <c r="A156" t="s">
        <v>235</v>
      </c>
      <c r="B156" t="s">
        <v>497</v>
      </c>
      <c r="C156" t="s">
        <v>222</v>
      </c>
      <c r="D156" t="s">
        <v>222</v>
      </c>
      <c r="E156" t="s">
        <v>218</v>
      </c>
      <c r="F156" t="s">
        <v>218</v>
      </c>
      <c r="L156">
        <v>9</v>
      </c>
      <c r="N156" t="s">
        <v>489</v>
      </c>
    </row>
    <row r="157" spans="1:14" x14ac:dyDescent="0.2">
      <c r="A157" t="s">
        <v>235</v>
      </c>
      <c r="B157" t="s">
        <v>498</v>
      </c>
      <c r="C157" t="s">
        <v>222</v>
      </c>
      <c r="D157" t="s">
        <v>222</v>
      </c>
      <c r="E157" t="s">
        <v>222</v>
      </c>
      <c r="F157" t="s">
        <v>218</v>
      </c>
      <c r="L157">
        <v>10</v>
      </c>
      <c r="N157" t="s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71"/>
  <sheetViews>
    <sheetView tabSelected="1" topLeftCell="A88" workbookViewId="0">
      <selection activeCell="C16" sqref="C16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28.1640625" bestFit="1" customWidth="1"/>
    <col min="4" max="4" width="26.1640625" bestFit="1" customWidth="1"/>
    <col min="5" max="5" width="46.33203125" bestFit="1" customWidth="1"/>
    <col min="6" max="6" width="5.33203125" style="4" bestFit="1" customWidth="1"/>
    <col min="7" max="7" width="4.1640625" style="4" bestFit="1" customWidth="1"/>
    <col min="8" max="8" width="5.33203125" style="4" bestFit="1" customWidth="1"/>
    <col min="9" max="9" width="4.1640625" style="4" bestFit="1" customWidth="1"/>
    <col min="10" max="11" width="60" customWidth="1"/>
    <col min="12" max="12" width="18" customWidth="1"/>
    <col min="13" max="14" width="10" style="6" customWidth="1"/>
    <col min="15" max="15" width="10" customWidth="1"/>
    <col min="16" max="16" width="13" customWidth="1"/>
    <col min="17" max="17" width="15" customWidth="1"/>
    <col min="18" max="20" width="13" customWidth="1"/>
    <col min="21" max="21" width="10" style="6" customWidth="1"/>
  </cols>
  <sheetData>
    <row r="1" spans="1:23" ht="16" x14ac:dyDescent="0.2">
      <c r="A1" s="1" t="s">
        <v>323</v>
      </c>
      <c r="B1" s="1" t="s">
        <v>499</v>
      </c>
      <c r="C1" s="2" t="s">
        <v>516</v>
      </c>
      <c r="D1" s="2" t="s">
        <v>517</v>
      </c>
      <c r="E1" s="2" t="s">
        <v>518</v>
      </c>
      <c r="F1" s="3" t="s">
        <v>501</v>
      </c>
      <c r="G1" s="3" t="s">
        <v>502</v>
      </c>
      <c r="H1" s="3" t="s">
        <v>503</v>
      </c>
      <c r="I1" s="3" t="s">
        <v>504</v>
      </c>
      <c r="J1" s="1" t="s">
        <v>505</v>
      </c>
      <c r="K1" s="1" t="s">
        <v>330</v>
      </c>
      <c r="L1" s="1" t="s">
        <v>43</v>
      </c>
      <c r="M1" s="5" t="s">
        <v>507</v>
      </c>
      <c r="N1" s="5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5" t="s">
        <v>515</v>
      </c>
      <c r="V1" t="s">
        <v>519</v>
      </c>
      <c r="W1" t="s">
        <v>520</v>
      </c>
    </row>
    <row r="2" spans="1:23" x14ac:dyDescent="0.2">
      <c r="A2" t="s">
        <v>337</v>
      </c>
      <c r="B2" t="s">
        <v>37</v>
      </c>
      <c r="C2" t="s">
        <v>521</v>
      </c>
      <c r="D2" t="s">
        <v>525</v>
      </c>
      <c r="E2" t="s">
        <v>526</v>
      </c>
      <c r="F2" s="4" t="s">
        <v>18</v>
      </c>
      <c r="G2" s="4">
        <v>1</v>
      </c>
      <c r="H2" s="4" t="s">
        <v>522</v>
      </c>
      <c r="J2" t="s">
        <v>523</v>
      </c>
      <c r="K2" t="s">
        <v>524</v>
      </c>
      <c r="L2" t="s">
        <v>44</v>
      </c>
      <c r="M2" s="6">
        <v>1</v>
      </c>
      <c r="P2" t="s">
        <v>219</v>
      </c>
      <c r="Q2">
        <v>2</v>
      </c>
      <c r="R2" t="s">
        <v>340</v>
      </c>
      <c r="S2" t="s">
        <v>341</v>
      </c>
      <c r="V2">
        <v>0.95</v>
      </c>
      <c r="W2" t="s">
        <v>527</v>
      </c>
    </row>
    <row r="3" spans="1:23" x14ac:dyDescent="0.2">
      <c r="A3" t="s">
        <v>340</v>
      </c>
      <c r="B3" t="s">
        <v>39</v>
      </c>
      <c r="C3" t="s">
        <v>530</v>
      </c>
      <c r="D3" t="s">
        <v>531</v>
      </c>
      <c r="E3" t="s">
        <v>532</v>
      </c>
      <c r="F3" s="4" t="s">
        <v>20</v>
      </c>
      <c r="G3" s="4">
        <v>1</v>
      </c>
      <c r="H3" s="4" t="s">
        <v>522</v>
      </c>
      <c r="J3" t="s">
        <v>528</v>
      </c>
      <c r="K3" t="s">
        <v>529</v>
      </c>
      <c r="L3" t="s">
        <v>48</v>
      </c>
      <c r="M3" s="6">
        <v>1</v>
      </c>
      <c r="P3" t="s">
        <v>223</v>
      </c>
      <c r="T3" t="s">
        <v>341</v>
      </c>
      <c r="V3">
        <v>0.95</v>
      </c>
      <c r="W3" t="s">
        <v>527</v>
      </c>
    </row>
    <row r="4" spans="1:23" x14ac:dyDescent="0.2">
      <c r="A4" t="s">
        <v>341</v>
      </c>
      <c r="B4" t="s">
        <v>39</v>
      </c>
      <c r="C4" t="s">
        <v>521</v>
      </c>
      <c r="D4" t="s">
        <v>535</v>
      </c>
      <c r="E4" t="s">
        <v>536</v>
      </c>
      <c r="F4" s="4" t="s">
        <v>18</v>
      </c>
      <c r="G4" s="4">
        <v>0.6</v>
      </c>
      <c r="H4" s="4" t="s">
        <v>20</v>
      </c>
      <c r="I4" s="4">
        <v>0.4</v>
      </c>
      <c r="J4" t="s">
        <v>533</v>
      </c>
      <c r="K4" t="s">
        <v>534</v>
      </c>
      <c r="L4" t="s">
        <v>44</v>
      </c>
      <c r="M4" s="6">
        <v>1</v>
      </c>
      <c r="P4" t="s">
        <v>226</v>
      </c>
      <c r="T4" t="s">
        <v>342</v>
      </c>
      <c r="V4">
        <v>0.13200000000000001</v>
      </c>
      <c r="W4" t="s">
        <v>537</v>
      </c>
    </row>
    <row r="5" spans="1:23" x14ac:dyDescent="0.2">
      <c r="A5" t="s">
        <v>342</v>
      </c>
      <c r="B5" t="s">
        <v>39</v>
      </c>
      <c r="C5" t="s">
        <v>521</v>
      </c>
      <c r="D5" t="s">
        <v>535</v>
      </c>
      <c r="E5" t="s">
        <v>540</v>
      </c>
      <c r="F5" s="4" t="s">
        <v>18</v>
      </c>
      <c r="G5" s="4">
        <v>0.5</v>
      </c>
      <c r="H5" s="4" t="s">
        <v>20</v>
      </c>
      <c r="I5" s="4">
        <v>0.5</v>
      </c>
      <c r="J5" t="s">
        <v>538</v>
      </c>
      <c r="K5" t="s">
        <v>539</v>
      </c>
      <c r="L5" t="s">
        <v>44</v>
      </c>
      <c r="M5" s="6">
        <v>1</v>
      </c>
      <c r="P5" t="s">
        <v>226</v>
      </c>
      <c r="T5" t="s">
        <v>343</v>
      </c>
      <c r="V5">
        <v>0.95</v>
      </c>
      <c r="W5" t="s">
        <v>527</v>
      </c>
    </row>
    <row r="6" spans="1:23" x14ac:dyDescent="0.2">
      <c r="A6" t="s">
        <v>343</v>
      </c>
      <c r="B6" t="s">
        <v>41</v>
      </c>
      <c r="C6" t="s">
        <v>521</v>
      </c>
      <c r="D6" t="s">
        <v>525</v>
      </c>
      <c r="E6" t="s">
        <v>543</v>
      </c>
      <c r="F6" s="4" t="s">
        <v>18</v>
      </c>
      <c r="G6" s="4">
        <v>1</v>
      </c>
      <c r="H6" s="4" t="s">
        <v>522</v>
      </c>
      <c r="J6" t="s">
        <v>541</v>
      </c>
      <c r="K6" t="s">
        <v>542</v>
      </c>
      <c r="L6" t="s">
        <v>44</v>
      </c>
      <c r="M6" s="6">
        <v>1</v>
      </c>
      <c r="P6" t="s">
        <v>226</v>
      </c>
      <c r="T6" t="s">
        <v>344</v>
      </c>
      <c r="V6">
        <v>0.95</v>
      </c>
      <c r="W6" t="s">
        <v>527</v>
      </c>
    </row>
    <row r="7" spans="1:23" x14ac:dyDescent="0.2">
      <c r="A7" t="s">
        <v>344</v>
      </c>
      <c r="B7" t="s">
        <v>39</v>
      </c>
      <c r="C7" t="s">
        <v>521</v>
      </c>
      <c r="D7" t="s">
        <v>525</v>
      </c>
      <c r="E7" t="s">
        <v>546</v>
      </c>
      <c r="F7" s="4" t="s">
        <v>18</v>
      </c>
      <c r="G7" s="4">
        <v>1</v>
      </c>
      <c r="H7" s="4" t="s">
        <v>522</v>
      </c>
      <c r="J7" t="s">
        <v>544</v>
      </c>
      <c r="K7" t="s">
        <v>545</v>
      </c>
      <c r="L7" t="s">
        <v>44</v>
      </c>
      <c r="M7" s="6">
        <v>1</v>
      </c>
      <c r="P7" t="s">
        <v>226</v>
      </c>
      <c r="T7" t="s">
        <v>345</v>
      </c>
      <c r="V7">
        <v>0.95</v>
      </c>
      <c r="W7" t="s">
        <v>527</v>
      </c>
    </row>
    <row r="8" spans="1:23" x14ac:dyDescent="0.2">
      <c r="A8" t="s">
        <v>345</v>
      </c>
      <c r="B8" t="s">
        <v>37</v>
      </c>
      <c r="C8" t="s">
        <v>550</v>
      </c>
      <c r="D8" t="s">
        <v>551</v>
      </c>
      <c r="E8" t="s">
        <v>552</v>
      </c>
      <c r="F8" s="4" t="s">
        <v>28</v>
      </c>
      <c r="G8" s="4">
        <v>1</v>
      </c>
      <c r="H8" s="4" t="s">
        <v>522</v>
      </c>
      <c r="J8" t="s">
        <v>548</v>
      </c>
      <c r="K8" t="s">
        <v>549</v>
      </c>
      <c r="L8" t="s">
        <v>46</v>
      </c>
      <c r="M8" s="6">
        <v>1</v>
      </c>
      <c r="P8" t="s">
        <v>219</v>
      </c>
      <c r="Q8">
        <v>2</v>
      </c>
      <c r="R8" t="s">
        <v>346</v>
      </c>
      <c r="S8" t="s">
        <v>347</v>
      </c>
      <c r="V8">
        <v>0.95</v>
      </c>
      <c r="W8" t="s">
        <v>527</v>
      </c>
    </row>
    <row r="9" spans="1:23" x14ac:dyDescent="0.2">
      <c r="A9" t="s">
        <v>346</v>
      </c>
      <c r="B9" t="s">
        <v>39</v>
      </c>
      <c r="C9" t="s">
        <v>521</v>
      </c>
      <c r="D9" t="s">
        <v>525</v>
      </c>
      <c r="E9" t="s">
        <v>526</v>
      </c>
      <c r="F9" s="4" t="s">
        <v>28</v>
      </c>
      <c r="G9" s="4">
        <v>1</v>
      </c>
      <c r="H9" s="4" t="s">
        <v>522</v>
      </c>
      <c r="J9" t="s">
        <v>553</v>
      </c>
      <c r="K9" t="s">
        <v>554</v>
      </c>
      <c r="L9" t="s">
        <v>46</v>
      </c>
      <c r="M9" s="6">
        <v>1</v>
      </c>
      <c r="P9" t="s">
        <v>223</v>
      </c>
      <c r="T9" t="s">
        <v>347</v>
      </c>
      <c r="V9">
        <v>2.5999999999999999E-2</v>
      </c>
      <c r="W9" t="s">
        <v>537</v>
      </c>
    </row>
    <row r="10" spans="1:23" x14ac:dyDescent="0.2">
      <c r="A10" t="s">
        <v>347</v>
      </c>
      <c r="B10" t="s">
        <v>39</v>
      </c>
      <c r="C10" t="s">
        <v>550</v>
      </c>
      <c r="D10" t="s">
        <v>551</v>
      </c>
      <c r="E10" t="s">
        <v>552</v>
      </c>
      <c r="F10" s="4" t="s">
        <v>28</v>
      </c>
      <c r="G10" s="4">
        <v>0.7</v>
      </c>
      <c r="H10" s="4" t="s">
        <v>20</v>
      </c>
      <c r="I10" s="4">
        <v>0.3</v>
      </c>
      <c r="J10" t="s">
        <v>555</v>
      </c>
      <c r="K10" t="s">
        <v>556</v>
      </c>
      <c r="L10" t="s">
        <v>46</v>
      </c>
      <c r="M10" s="6">
        <v>1</v>
      </c>
      <c r="P10" t="s">
        <v>226</v>
      </c>
      <c r="T10" t="s">
        <v>348</v>
      </c>
      <c r="V10">
        <v>0.95</v>
      </c>
      <c r="W10" t="s">
        <v>527</v>
      </c>
    </row>
    <row r="11" spans="1:23" x14ac:dyDescent="0.2">
      <c r="A11" t="s">
        <v>348</v>
      </c>
      <c r="B11" t="s">
        <v>39</v>
      </c>
      <c r="C11" t="s">
        <v>550</v>
      </c>
      <c r="D11" t="s">
        <v>551</v>
      </c>
      <c r="E11" t="s">
        <v>552</v>
      </c>
      <c r="F11" s="4" t="s">
        <v>28</v>
      </c>
      <c r="G11" s="4">
        <v>0.6</v>
      </c>
      <c r="H11" s="4" t="s">
        <v>30</v>
      </c>
      <c r="I11" s="4">
        <v>0.4</v>
      </c>
      <c r="J11" t="s">
        <v>557</v>
      </c>
      <c r="K11" t="s">
        <v>558</v>
      </c>
      <c r="L11" t="s">
        <v>46</v>
      </c>
      <c r="M11" s="6">
        <v>1</v>
      </c>
      <c r="P11" t="s">
        <v>219</v>
      </c>
      <c r="Q11">
        <v>2</v>
      </c>
      <c r="R11" t="s">
        <v>349</v>
      </c>
      <c r="S11" t="s">
        <v>350</v>
      </c>
      <c r="V11">
        <v>0.95</v>
      </c>
      <c r="W11" t="s">
        <v>527</v>
      </c>
    </row>
    <row r="12" spans="1:23" x14ac:dyDescent="0.2">
      <c r="A12" t="s">
        <v>349</v>
      </c>
      <c r="B12" t="s">
        <v>39</v>
      </c>
      <c r="C12" t="s">
        <v>561</v>
      </c>
      <c r="D12" t="s">
        <v>562</v>
      </c>
      <c r="E12" t="s">
        <v>563</v>
      </c>
      <c r="F12" s="4" t="s">
        <v>28</v>
      </c>
      <c r="G12" s="4">
        <v>0.5</v>
      </c>
      <c r="H12" s="4" t="s">
        <v>30</v>
      </c>
      <c r="I12" s="4">
        <v>0.5</v>
      </c>
      <c r="J12" t="s">
        <v>559</v>
      </c>
      <c r="K12" t="s">
        <v>560</v>
      </c>
      <c r="L12" t="s">
        <v>46</v>
      </c>
      <c r="M12" s="6">
        <v>1</v>
      </c>
      <c r="P12" t="s">
        <v>223</v>
      </c>
      <c r="T12" t="s">
        <v>350</v>
      </c>
      <c r="V12">
        <v>9.5000000000000001E-2</v>
      </c>
      <c r="W12" t="s">
        <v>537</v>
      </c>
    </row>
    <row r="13" spans="1:23" x14ac:dyDescent="0.2">
      <c r="A13" t="s">
        <v>350</v>
      </c>
      <c r="B13" t="s">
        <v>39</v>
      </c>
      <c r="C13" t="s">
        <v>521</v>
      </c>
      <c r="D13" t="s">
        <v>566</v>
      </c>
      <c r="E13" t="s">
        <v>567</v>
      </c>
      <c r="F13" s="4" t="s">
        <v>34</v>
      </c>
      <c r="G13" s="4">
        <v>1</v>
      </c>
      <c r="H13" s="4" t="s">
        <v>522</v>
      </c>
      <c r="J13" t="s">
        <v>564</v>
      </c>
      <c r="K13" t="s">
        <v>565</v>
      </c>
      <c r="L13" t="s">
        <v>48</v>
      </c>
      <c r="M13" s="6">
        <v>1</v>
      </c>
      <c r="P13" t="s">
        <v>219</v>
      </c>
      <c r="Q13">
        <v>2</v>
      </c>
      <c r="R13" t="s">
        <v>351</v>
      </c>
      <c r="S13" t="s">
        <v>353</v>
      </c>
      <c r="V13">
        <v>0.16700000000000001</v>
      </c>
      <c r="W13" t="s">
        <v>537</v>
      </c>
    </row>
    <row r="14" spans="1:23" x14ac:dyDescent="0.2">
      <c r="A14" t="s">
        <v>351</v>
      </c>
      <c r="B14" t="s">
        <v>39</v>
      </c>
      <c r="C14" t="s">
        <v>570</v>
      </c>
      <c r="D14" t="s">
        <v>571</v>
      </c>
      <c r="E14" t="s">
        <v>572</v>
      </c>
      <c r="F14" s="4" t="s">
        <v>34</v>
      </c>
      <c r="G14" s="4">
        <v>1</v>
      </c>
      <c r="H14" s="4" t="s">
        <v>522</v>
      </c>
      <c r="J14" t="s">
        <v>568</v>
      </c>
      <c r="K14" t="s">
        <v>569</v>
      </c>
      <c r="L14" t="s">
        <v>48</v>
      </c>
      <c r="M14" s="6">
        <v>1</v>
      </c>
      <c r="P14" t="s">
        <v>223</v>
      </c>
      <c r="T14" t="s">
        <v>353</v>
      </c>
      <c r="V14">
        <v>0.14599999999999999</v>
      </c>
      <c r="W14" t="s">
        <v>537</v>
      </c>
    </row>
    <row r="15" spans="1:23" x14ac:dyDescent="0.2">
      <c r="A15" t="s">
        <v>352</v>
      </c>
      <c r="B15" t="s">
        <v>39</v>
      </c>
      <c r="C15" t="s">
        <v>530</v>
      </c>
      <c r="D15" t="s">
        <v>531</v>
      </c>
      <c r="E15" t="s">
        <v>532</v>
      </c>
      <c r="F15" s="4" t="s">
        <v>28</v>
      </c>
      <c r="G15" s="4">
        <v>0.6</v>
      </c>
      <c r="H15" s="4" t="s">
        <v>18</v>
      </c>
      <c r="I15" s="4">
        <v>0.4</v>
      </c>
      <c r="J15" t="s">
        <v>573</v>
      </c>
      <c r="K15" t="s">
        <v>574</v>
      </c>
      <c r="L15" t="s">
        <v>46</v>
      </c>
      <c r="M15" s="6">
        <v>1</v>
      </c>
      <c r="P15" t="s">
        <v>226</v>
      </c>
      <c r="T15" t="s">
        <v>353</v>
      </c>
      <c r="V15">
        <v>0.95</v>
      </c>
      <c r="W15" t="s">
        <v>527</v>
      </c>
    </row>
    <row r="16" spans="1:23" x14ac:dyDescent="0.2">
      <c r="A16" t="s">
        <v>353</v>
      </c>
      <c r="B16" t="s">
        <v>37</v>
      </c>
      <c r="C16" t="s">
        <v>521</v>
      </c>
      <c r="D16" t="s">
        <v>525</v>
      </c>
      <c r="E16" t="s">
        <v>578</v>
      </c>
      <c r="F16" s="4" t="s">
        <v>24</v>
      </c>
      <c r="G16" s="4">
        <v>0.8</v>
      </c>
      <c r="H16" s="4" t="s">
        <v>18</v>
      </c>
      <c r="I16" s="4">
        <v>0.2</v>
      </c>
      <c r="J16" t="s">
        <v>576</v>
      </c>
      <c r="K16" t="s">
        <v>577</v>
      </c>
      <c r="L16" t="s">
        <v>52</v>
      </c>
      <c r="M16" s="6">
        <v>1</v>
      </c>
      <c r="P16" t="s">
        <v>219</v>
      </c>
      <c r="Q16">
        <v>2</v>
      </c>
      <c r="R16" t="s">
        <v>354</v>
      </c>
      <c r="S16" t="s">
        <v>355</v>
      </c>
      <c r="V16">
        <v>0.95</v>
      </c>
      <c r="W16" t="s">
        <v>527</v>
      </c>
    </row>
    <row r="17" spans="1:23" x14ac:dyDescent="0.2">
      <c r="A17" t="s">
        <v>354</v>
      </c>
      <c r="B17" t="s">
        <v>39</v>
      </c>
      <c r="C17" t="s">
        <v>530</v>
      </c>
      <c r="D17" t="s">
        <v>581</v>
      </c>
      <c r="E17" t="s">
        <v>582</v>
      </c>
      <c r="F17" s="4" t="s">
        <v>24</v>
      </c>
      <c r="G17" s="4">
        <v>0.5</v>
      </c>
      <c r="H17" s="4" t="s">
        <v>26</v>
      </c>
      <c r="I17" s="4">
        <v>0.5</v>
      </c>
      <c r="J17" t="s">
        <v>579</v>
      </c>
      <c r="K17" t="s">
        <v>580</v>
      </c>
      <c r="L17" t="s">
        <v>52</v>
      </c>
      <c r="M17" s="6">
        <v>1</v>
      </c>
      <c r="P17" t="s">
        <v>223</v>
      </c>
      <c r="T17" t="s">
        <v>355</v>
      </c>
      <c r="V17">
        <v>0.13200000000000001</v>
      </c>
      <c r="W17" t="s">
        <v>537</v>
      </c>
    </row>
    <row r="18" spans="1:23" x14ac:dyDescent="0.2">
      <c r="A18" t="s">
        <v>355</v>
      </c>
      <c r="B18" t="s">
        <v>39</v>
      </c>
      <c r="C18" t="s">
        <v>530</v>
      </c>
      <c r="D18" t="s">
        <v>531</v>
      </c>
      <c r="E18" t="s">
        <v>532</v>
      </c>
      <c r="F18" s="4" t="s">
        <v>24</v>
      </c>
      <c r="G18" s="4">
        <v>0.5</v>
      </c>
      <c r="H18" s="4" t="s">
        <v>26</v>
      </c>
      <c r="I18" s="4">
        <v>0.5</v>
      </c>
      <c r="J18" t="s">
        <v>583</v>
      </c>
      <c r="K18" t="s">
        <v>584</v>
      </c>
      <c r="L18" t="s">
        <v>52</v>
      </c>
      <c r="M18" s="6">
        <v>1</v>
      </c>
      <c r="P18" t="s">
        <v>226</v>
      </c>
      <c r="T18" t="s">
        <v>356</v>
      </c>
      <c r="V18">
        <v>0.95</v>
      </c>
      <c r="W18" t="s">
        <v>527</v>
      </c>
    </row>
    <row r="19" spans="1:23" x14ac:dyDescent="0.2">
      <c r="A19" t="s">
        <v>356</v>
      </c>
      <c r="B19" t="s">
        <v>39</v>
      </c>
      <c r="C19" t="s">
        <v>561</v>
      </c>
      <c r="D19" t="s">
        <v>587</v>
      </c>
      <c r="E19" t="s">
        <v>588</v>
      </c>
      <c r="F19" s="4" t="s">
        <v>24</v>
      </c>
      <c r="G19" s="4">
        <v>0.7</v>
      </c>
      <c r="H19" s="4" t="s">
        <v>26</v>
      </c>
      <c r="I19" s="4">
        <v>0.3</v>
      </c>
      <c r="J19" t="s">
        <v>585</v>
      </c>
      <c r="K19" t="s">
        <v>586</v>
      </c>
      <c r="L19" t="s">
        <v>52</v>
      </c>
      <c r="M19" s="6">
        <v>1</v>
      </c>
      <c r="P19" t="s">
        <v>226</v>
      </c>
      <c r="T19" t="s">
        <v>357</v>
      </c>
      <c r="V19">
        <v>8.7999999999999995E-2</v>
      </c>
      <c r="W19" t="s">
        <v>537</v>
      </c>
    </row>
    <row r="20" spans="1:23" x14ac:dyDescent="0.2">
      <c r="A20" t="s">
        <v>357</v>
      </c>
      <c r="B20" t="s">
        <v>41</v>
      </c>
      <c r="C20" t="s">
        <v>561</v>
      </c>
      <c r="D20" t="s">
        <v>587</v>
      </c>
      <c r="E20" t="s">
        <v>591</v>
      </c>
      <c r="F20" s="4" t="s">
        <v>24</v>
      </c>
      <c r="G20" s="4">
        <v>0.5</v>
      </c>
      <c r="H20" s="4" t="s">
        <v>30</v>
      </c>
      <c r="I20" s="4">
        <v>0.5</v>
      </c>
      <c r="J20" t="s">
        <v>589</v>
      </c>
      <c r="K20" t="s">
        <v>590</v>
      </c>
      <c r="L20" t="s">
        <v>52</v>
      </c>
      <c r="M20" s="6">
        <v>1</v>
      </c>
      <c r="P20" t="s">
        <v>226</v>
      </c>
      <c r="T20" t="s">
        <v>358</v>
      </c>
      <c r="V20">
        <v>0.11600000000000001</v>
      </c>
      <c r="W20" t="s">
        <v>537</v>
      </c>
    </row>
    <row r="21" spans="1:23" x14ac:dyDescent="0.2">
      <c r="A21" t="s">
        <v>358</v>
      </c>
      <c r="B21" t="s">
        <v>39</v>
      </c>
      <c r="C21" t="s">
        <v>570</v>
      </c>
      <c r="D21" t="s">
        <v>594</v>
      </c>
      <c r="E21" t="s">
        <v>595</v>
      </c>
      <c r="F21" s="4" t="s">
        <v>24</v>
      </c>
      <c r="G21" s="4">
        <v>1</v>
      </c>
      <c r="H21" s="4" t="s">
        <v>522</v>
      </c>
      <c r="J21" t="s">
        <v>592</v>
      </c>
      <c r="K21" t="s">
        <v>593</v>
      </c>
      <c r="L21" t="s">
        <v>52</v>
      </c>
      <c r="M21" s="6">
        <v>1</v>
      </c>
      <c r="P21" t="s">
        <v>226</v>
      </c>
      <c r="T21" t="s">
        <v>359</v>
      </c>
      <c r="V21">
        <v>0.95</v>
      </c>
      <c r="W21" t="s">
        <v>527</v>
      </c>
    </row>
    <row r="22" spans="1:23" x14ac:dyDescent="0.2">
      <c r="A22" t="s">
        <v>359</v>
      </c>
      <c r="B22" t="s">
        <v>37</v>
      </c>
      <c r="C22" t="s">
        <v>599</v>
      </c>
      <c r="D22" t="s">
        <v>600</v>
      </c>
      <c r="E22" t="s">
        <v>601</v>
      </c>
      <c r="F22" s="4" t="s">
        <v>26</v>
      </c>
      <c r="G22" s="4">
        <v>1</v>
      </c>
      <c r="H22" s="4" t="s">
        <v>522</v>
      </c>
      <c r="J22" t="s">
        <v>597</v>
      </c>
      <c r="K22" t="s">
        <v>598</v>
      </c>
      <c r="L22" t="s">
        <v>50</v>
      </c>
      <c r="M22" s="6">
        <v>1</v>
      </c>
      <c r="P22" t="s">
        <v>219</v>
      </c>
      <c r="Q22">
        <v>2</v>
      </c>
      <c r="R22" t="s">
        <v>360</v>
      </c>
      <c r="S22" t="s">
        <v>361</v>
      </c>
      <c r="V22">
        <v>0.95</v>
      </c>
      <c r="W22" t="s">
        <v>527</v>
      </c>
    </row>
    <row r="23" spans="1:23" x14ac:dyDescent="0.2">
      <c r="A23" t="s">
        <v>360</v>
      </c>
      <c r="B23" t="s">
        <v>39</v>
      </c>
      <c r="C23" t="s">
        <v>570</v>
      </c>
      <c r="D23" t="s">
        <v>571</v>
      </c>
      <c r="E23" t="s">
        <v>604</v>
      </c>
      <c r="F23" s="4" t="s">
        <v>26</v>
      </c>
      <c r="G23" s="4">
        <v>0.5</v>
      </c>
      <c r="H23" s="4" t="s">
        <v>24</v>
      </c>
      <c r="I23" s="4">
        <v>0.5</v>
      </c>
      <c r="J23" t="s">
        <v>602</v>
      </c>
      <c r="K23" t="s">
        <v>603</v>
      </c>
      <c r="L23" t="s">
        <v>50</v>
      </c>
      <c r="M23" s="6">
        <v>1</v>
      </c>
      <c r="P23" t="s">
        <v>223</v>
      </c>
      <c r="T23" t="s">
        <v>361</v>
      </c>
      <c r="V23">
        <v>0.95</v>
      </c>
      <c r="W23" t="s">
        <v>527</v>
      </c>
    </row>
    <row r="24" spans="1:23" x14ac:dyDescent="0.2">
      <c r="A24" t="s">
        <v>361</v>
      </c>
      <c r="B24" t="s">
        <v>39</v>
      </c>
      <c r="C24" t="s">
        <v>570</v>
      </c>
      <c r="D24" t="s">
        <v>607</v>
      </c>
      <c r="E24" t="s">
        <v>608</v>
      </c>
      <c r="F24" s="4" t="s">
        <v>26</v>
      </c>
      <c r="G24" s="4">
        <v>0.5</v>
      </c>
      <c r="H24" s="4" t="s">
        <v>20</v>
      </c>
      <c r="I24" s="4">
        <v>0.5</v>
      </c>
      <c r="J24" t="s">
        <v>605</v>
      </c>
      <c r="K24" t="s">
        <v>606</v>
      </c>
      <c r="L24" t="s">
        <v>50</v>
      </c>
      <c r="M24" s="6">
        <v>1</v>
      </c>
      <c r="P24" t="s">
        <v>226</v>
      </c>
      <c r="T24" t="s">
        <v>362</v>
      </c>
      <c r="V24">
        <v>9.0999999999999998E-2</v>
      </c>
      <c r="W24" t="s">
        <v>537</v>
      </c>
    </row>
    <row r="25" spans="1:23" x14ac:dyDescent="0.2">
      <c r="A25" t="s">
        <v>362</v>
      </c>
      <c r="B25" t="s">
        <v>39</v>
      </c>
      <c r="C25" t="s">
        <v>599</v>
      </c>
      <c r="D25" t="s">
        <v>600</v>
      </c>
      <c r="E25" t="s">
        <v>601</v>
      </c>
      <c r="F25" s="4" t="s">
        <v>26</v>
      </c>
      <c r="G25" s="4">
        <v>1</v>
      </c>
      <c r="H25" s="4" t="s">
        <v>522</v>
      </c>
      <c r="J25" t="s">
        <v>609</v>
      </c>
      <c r="K25" t="s">
        <v>610</v>
      </c>
      <c r="L25" t="s">
        <v>50</v>
      </c>
      <c r="M25" s="6">
        <v>1</v>
      </c>
      <c r="P25" t="s">
        <v>226</v>
      </c>
      <c r="T25" t="s">
        <v>363</v>
      </c>
      <c r="V25">
        <v>0.95</v>
      </c>
      <c r="W25" t="s">
        <v>527</v>
      </c>
    </row>
    <row r="26" spans="1:23" x14ac:dyDescent="0.2">
      <c r="A26" t="s">
        <v>363</v>
      </c>
      <c r="B26" t="s">
        <v>37</v>
      </c>
      <c r="C26" t="s">
        <v>614</v>
      </c>
      <c r="D26" t="s">
        <v>615</v>
      </c>
      <c r="E26" t="s">
        <v>616</v>
      </c>
      <c r="F26" s="4" t="s">
        <v>32</v>
      </c>
      <c r="G26" s="4">
        <v>0.7</v>
      </c>
      <c r="H26" s="4" t="s">
        <v>20</v>
      </c>
      <c r="I26" s="4">
        <v>0.3</v>
      </c>
      <c r="J26" t="s">
        <v>612</v>
      </c>
      <c r="K26" t="s">
        <v>613</v>
      </c>
      <c r="L26" t="s">
        <v>48</v>
      </c>
      <c r="M26" s="6">
        <v>1</v>
      </c>
      <c r="P26" t="s">
        <v>219</v>
      </c>
      <c r="Q26">
        <v>2</v>
      </c>
      <c r="R26" t="s">
        <v>364</v>
      </c>
      <c r="S26" t="s">
        <v>365</v>
      </c>
      <c r="V26">
        <v>0.13</v>
      </c>
      <c r="W26" t="s">
        <v>537</v>
      </c>
    </row>
    <row r="27" spans="1:23" x14ac:dyDescent="0.2">
      <c r="A27" t="s">
        <v>364</v>
      </c>
      <c r="B27" t="s">
        <v>39</v>
      </c>
      <c r="C27" t="s">
        <v>550</v>
      </c>
      <c r="D27" t="s">
        <v>551</v>
      </c>
      <c r="E27" t="s">
        <v>619</v>
      </c>
      <c r="F27" s="4" t="s">
        <v>32</v>
      </c>
      <c r="G27" s="4">
        <v>0.6</v>
      </c>
      <c r="H27" s="4" t="s">
        <v>28</v>
      </c>
      <c r="I27" s="4">
        <v>0.4</v>
      </c>
      <c r="J27" t="s">
        <v>617</v>
      </c>
      <c r="K27" t="s">
        <v>618</v>
      </c>
      <c r="L27" t="s">
        <v>48</v>
      </c>
      <c r="M27" s="6">
        <v>1</v>
      </c>
      <c r="P27" t="s">
        <v>223</v>
      </c>
      <c r="T27" t="s">
        <v>365</v>
      </c>
      <c r="V27">
        <v>0.95</v>
      </c>
      <c r="W27" t="s">
        <v>527</v>
      </c>
    </row>
    <row r="28" spans="1:23" x14ac:dyDescent="0.2">
      <c r="A28" t="s">
        <v>365</v>
      </c>
      <c r="B28" t="s">
        <v>39</v>
      </c>
      <c r="C28" t="s">
        <v>530</v>
      </c>
      <c r="D28" t="s">
        <v>581</v>
      </c>
      <c r="E28" t="s">
        <v>582</v>
      </c>
      <c r="F28" s="4" t="s">
        <v>32</v>
      </c>
      <c r="G28" s="4">
        <v>0.5</v>
      </c>
      <c r="H28" s="4" t="s">
        <v>28</v>
      </c>
      <c r="I28" s="4">
        <v>0.5</v>
      </c>
      <c r="J28" t="s">
        <v>620</v>
      </c>
      <c r="K28" t="s">
        <v>621</v>
      </c>
      <c r="L28" t="s">
        <v>48</v>
      </c>
      <c r="M28" s="6">
        <v>1</v>
      </c>
      <c r="P28" t="s">
        <v>226</v>
      </c>
      <c r="T28" t="s">
        <v>366</v>
      </c>
      <c r="V28">
        <v>9.2999999999999999E-2</v>
      </c>
      <c r="W28" t="s">
        <v>537</v>
      </c>
    </row>
    <row r="29" spans="1:23" x14ac:dyDescent="0.2">
      <c r="A29" t="s">
        <v>366</v>
      </c>
      <c r="B29" t="s">
        <v>37</v>
      </c>
      <c r="C29" t="s">
        <v>625</v>
      </c>
      <c r="D29" t="s">
        <v>626</v>
      </c>
      <c r="E29" t="s">
        <v>627</v>
      </c>
      <c r="F29" s="4" t="s">
        <v>22</v>
      </c>
      <c r="G29" s="4">
        <v>0.6</v>
      </c>
      <c r="H29" s="4" t="s">
        <v>28</v>
      </c>
      <c r="I29" s="4">
        <v>0.4</v>
      </c>
      <c r="J29" t="s">
        <v>623</v>
      </c>
      <c r="K29" t="s">
        <v>624</v>
      </c>
      <c r="L29" t="s">
        <v>48</v>
      </c>
      <c r="M29" s="6">
        <v>1</v>
      </c>
      <c r="P29" t="s">
        <v>219</v>
      </c>
      <c r="Q29">
        <v>2</v>
      </c>
      <c r="R29" t="s">
        <v>367</v>
      </c>
      <c r="S29" t="s">
        <v>368</v>
      </c>
      <c r="V29">
        <v>0.125</v>
      </c>
      <c r="W29" t="s">
        <v>537</v>
      </c>
    </row>
    <row r="30" spans="1:23" x14ac:dyDescent="0.2">
      <c r="A30" t="s">
        <v>367</v>
      </c>
      <c r="B30" t="s">
        <v>39</v>
      </c>
      <c r="C30" t="s">
        <v>614</v>
      </c>
      <c r="D30" t="s">
        <v>615</v>
      </c>
      <c r="E30" t="s">
        <v>616</v>
      </c>
      <c r="F30" s="4" t="s">
        <v>20</v>
      </c>
      <c r="G30" s="4">
        <v>1</v>
      </c>
      <c r="H30" s="4" t="s">
        <v>522</v>
      </c>
      <c r="J30" t="s">
        <v>628</v>
      </c>
      <c r="K30" t="s">
        <v>629</v>
      </c>
      <c r="L30" t="s">
        <v>48</v>
      </c>
      <c r="M30" s="6">
        <v>1</v>
      </c>
      <c r="P30" t="s">
        <v>223</v>
      </c>
      <c r="T30" t="s">
        <v>368</v>
      </c>
      <c r="V30">
        <v>0.95</v>
      </c>
      <c r="W30" t="s">
        <v>527</v>
      </c>
    </row>
    <row r="31" spans="1:23" x14ac:dyDescent="0.2">
      <c r="A31" t="s">
        <v>368</v>
      </c>
      <c r="B31" t="s">
        <v>39</v>
      </c>
      <c r="C31" t="s">
        <v>530</v>
      </c>
      <c r="D31" t="s">
        <v>581</v>
      </c>
      <c r="E31" t="s">
        <v>582</v>
      </c>
      <c r="F31" s="4" t="s">
        <v>24</v>
      </c>
      <c r="G31" s="4">
        <v>0.5</v>
      </c>
      <c r="H31" s="4" t="s">
        <v>18</v>
      </c>
      <c r="I31" s="4">
        <v>0.5</v>
      </c>
      <c r="J31" t="s">
        <v>630</v>
      </c>
      <c r="K31" t="s">
        <v>631</v>
      </c>
      <c r="L31" t="s">
        <v>52</v>
      </c>
      <c r="M31" s="6">
        <v>1</v>
      </c>
      <c r="P31" t="s">
        <v>226</v>
      </c>
      <c r="T31" t="s">
        <v>369</v>
      </c>
      <c r="V31">
        <v>0.20399999999999999</v>
      </c>
      <c r="W31" t="s">
        <v>537</v>
      </c>
    </row>
    <row r="32" spans="1:23" x14ac:dyDescent="0.2">
      <c r="A32" t="s">
        <v>369</v>
      </c>
      <c r="B32" t="s">
        <v>37</v>
      </c>
      <c r="C32" t="s">
        <v>614</v>
      </c>
      <c r="D32" t="s">
        <v>615</v>
      </c>
      <c r="E32" t="s">
        <v>635</v>
      </c>
      <c r="F32" s="4" t="s">
        <v>30</v>
      </c>
      <c r="G32" s="4">
        <v>0.6</v>
      </c>
      <c r="H32" s="4" t="s">
        <v>18</v>
      </c>
      <c r="I32" s="4">
        <v>0.4</v>
      </c>
      <c r="J32" t="s">
        <v>633</v>
      </c>
      <c r="K32" t="s">
        <v>634</v>
      </c>
      <c r="L32" t="s">
        <v>48</v>
      </c>
      <c r="M32" s="6">
        <v>1</v>
      </c>
      <c r="P32" t="s">
        <v>219</v>
      </c>
      <c r="Q32">
        <v>2</v>
      </c>
      <c r="R32" t="s">
        <v>370</v>
      </c>
      <c r="S32" t="s">
        <v>371</v>
      </c>
      <c r="V32">
        <v>0.13600000000000001</v>
      </c>
      <c r="W32" t="s">
        <v>537</v>
      </c>
    </row>
    <row r="33" spans="1:23" x14ac:dyDescent="0.2">
      <c r="A33" t="s">
        <v>370</v>
      </c>
      <c r="B33" t="s">
        <v>39</v>
      </c>
      <c r="C33" t="s">
        <v>614</v>
      </c>
      <c r="D33" t="s">
        <v>615</v>
      </c>
      <c r="E33" t="s">
        <v>616</v>
      </c>
      <c r="F33" s="4" t="s">
        <v>20</v>
      </c>
      <c r="G33" s="4">
        <v>1</v>
      </c>
      <c r="H33" s="4" t="s">
        <v>522</v>
      </c>
      <c r="J33" t="s">
        <v>636</v>
      </c>
      <c r="K33" t="s">
        <v>637</v>
      </c>
      <c r="L33" t="s">
        <v>48</v>
      </c>
      <c r="M33" s="6">
        <v>1</v>
      </c>
      <c r="P33" t="s">
        <v>223</v>
      </c>
      <c r="T33" t="s">
        <v>371</v>
      </c>
      <c r="V33">
        <v>0.95</v>
      </c>
      <c r="W33" t="s">
        <v>527</v>
      </c>
    </row>
    <row r="34" spans="1:23" x14ac:dyDescent="0.2">
      <c r="A34" t="s">
        <v>371</v>
      </c>
      <c r="B34" t="s">
        <v>39</v>
      </c>
      <c r="C34" t="s">
        <v>599</v>
      </c>
      <c r="D34" t="s">
        <v>640</v>
      </c>
      <c r="E34" t="s">
        <v>641</v>
      </c>
      <c r="F34" s="4" t="s">
        <v>30</v>
      </c>
      <c r="G34" s="4">
        <v>0.7</v>
      </c>
      <c r="H34" s="4" t="s">
        <v>20</v>
      </c>
      <c r="I34" s="4">
        <v>0.3</v>
      </c>
      <c r="J34" t="s">
        <v>638</v>
      </c>
      <c r="K34" t="s">
        <v>639</v>
      </c>
      <c r="L34" t="s">
        <v>48</v>
      </c>
      <c r="M34" s="6">
        <v>1</v>
      </c>
      <c r="P34" t="s">
        <v>226</v>
      </c>
      <c r="T34" t="s">
        <v>372</v>
      </c>
      <c r="V34">
        <v>0.95</v>
      </c>
      <c r="W34" t="s">
        <v>527</v>
      </c>
    </row>
    <row r="35" spans="1:23" x14ac:dyDescent="0.2">
      <c r="A35" t="s">
        <v>372</v>
      </c>
      <c r="B35" t="s">
        <v>39</v>
      </c>
      <c r="C35" t="s">
        <v>561</v>
      </c>
      <c r="D35" t="s">
        <v>562</v>
      </c>
      <c r="E35" t="s">
        <v>644</v>
      </c>
      <c r="F35" s="4" t="s">
        <v>24</v>
      </c>
      <c r="G35" s="4">
        <v>0.5</v>
      </c>
      <c r="H35" s="4" t="s">
        <v>30</v>
      </c>
      <c r="I35" s="4">
        <v>0.5</v>
      </c>
      <c r="J35" t="s">
        <v>642</v>
      </c>
      <c r="K35" t="s">
        <v>643</v>
      </c>
      <c r="L35" t="s">
        <v>52</v>
      </c>
      <c r="M35" s="6">
        <v>1</v>
      </c>
      <c r="P35" t="s">
        <v>226</v>
      </c>
      <c r="T35" t="s">
        <v>373</v>
      </c>
      <c r="V35">
        <v>0.95</v>
      </c>
      <c r="W35" t="s">
        <v>527</v>
      </c>
    </row>
    <row r="36" spans="1:23" x14ac:dyDescent="0.2">
      <c r="A36" t="s">
        <v>373</v>
      </c>
      <c r="B36" t="s">
        <v>39</v>
      </c>
      <c r="C36" t="s">
        <v>599</v>
      </c>
      <c r="D36" t="s">
        <v>647</v>
      </c>
      <c r="E36" t="s">
        <v>648</v>
      </c>
      <c r="F36" s="4" t="s">
        <v>26</v>
      </c>
      <c r="G36" s="4">
        <v>0.5</v>
      </c>
      <c r="H36" s="4" t="s">
        <v>30</v>
      </c>
      <c r="I36" s="4">
        <v>0.5</v>
      </c>
      <c r="J36" t="s">
        <v>645</v>
      </c>
      <c r="K36" t="s">
        <v>646</v>
      </c>
      <c r="L36" t="s">
        <v>50</v>
      </c>
      <c r="M36" s="6">
        <v>1</v>
      </c>
      <c r="P36" t="s">
        <v>226</v>
      </c>
      <c r="T36" t="s">
        <v>374</v>
      </c>
      <c r="V36">
        <v>0.95</v>
      </c>
      <c r="W36" t="s">
        <v>527</v>
      </c>
    </row>
    <row r="37" spans="1:23" x14ac:dyDescent="0.2">
      <c r="A37" t="s">
        <v>374</v>
      </c>
      <c r="B37" t="s">
        <v>37</v>
      </c>
      <c r="C37" t="s">
        <v>625</v>
      </c>
      <c r="D37" t="s">
        <v>626</v>
      </c>
      <c r="E37" t="s">
        <v>627</v>
      </c>
      <c r="F37" s="4" t="s">
        <v>18</v>
      </c>
      <c r="G37" s="4">
        <v>0.6</v>
      </c>
      <c r="H37" s="4" t="s">
        <v>30</v>
      </c>
      <c r="I37" s="4">
        <v>0.4</v>
      </c>
      <c r="J37" t="s">
        <v>650</v>
      </c>
      <c r="K37" t="s">
        <v>651</v>
      </c>
      <c r="L37" t="s">
        <v>44</v>
      </c>
      <c r="M37" s="6">
        <v>1</v>
      </c>
      <c r="P37" t="s">
        <v>219</v>
      </c>
      <c r="Q37">
        <v>2</v>
      </c>
      <c r="R37" t="s">
        <v>375</v>
      </c>
      <c r="S37" t="s">
        <v>376</v>
      </c>
      <c r="V37">
        <v>0.13</v>
      </c>
      <c r="W37" t="s">
        <v>537</v>
      </c>
    </row>
    <row r="38" spans="1:23" x14ac:dyDescent="0.2">
      <c r="A38" t="s">
        <v>375</v>
      </c>
      <c r="B38" t="s">
        <v>39</v>
      </c>
      <c r="C38" t="s">
        <v>570</v>
      </c>
      <c r="D38" t="s">
        <v>571</v>
      </c>
      <c r="E38" t="s">
        <v>604</v>
      </c>
      <c r="F38" s="4" t="s">
        <v>20</v>
      </c>
      <c r="G38" s="4">
        <v>1</v>
      </c>
      <c r="H38" s="4" t="s">
        <v>522</v>
      </c>
      <c r="J38" t="s">
        <v>652</v>
      </c>
      <c r="K38" t="s">
        <v>653</v>
      </c>
      <c r="L38" t="s">
        <v>48</v>
      </c>
      <c r="M38" s="6">
        <v>1</v>
      </c>
      <c r="P38" t="s">
        <v>223</v>
      </c>
      <c r="T38" t="s">
        <v>376</v>
      </c>
      <c r="V38">
        <v>8.7999999999999995E-2</v>
      </c>
      <c r="W38" t="s">
        <v>537</v>
      </c>
    </row>
    <row r="39" spans="1:23" x14ac:dyDescent="0.2">
      <c r="A39" t="s">
        <v>376</v>
      </c>
      <c r="B39" t="s">
        <v>39</v>
      </c>
      <c r="C39" t="s">
        <v>521</v>
      </c>
      <c r="D39" t="s">
        <v>525</v>
      </c>
      <c r="E39" t="s">
        <v>578</v>
      </c>
      <c r="F39" s="4" t="s">
        <v>18</v>
      </c>
      <c r="G39" s="4">
        <v>0.5</v>
      </c>
      <c r="H39" s="4" t="s">
        <v>30</v>
      </c>
      <c r="I39" s="4">
        <v>0.5</v>
      </c>
      <c r="J39" t="s">
        <v>654</v>
      </c>
      <c r="K39" t="s">
        <v>655</v>
      </c>
      <c r="L39" t="s">
        <v>44</v>
      </c>
      <c r="M39" s="6">
        <v>1</v>
      </c>
      <c r="P39" t="s">
        <v>226</v>
      </c>
      <c r="T39" t="s">
        <v>377</v>
      </c>
      <c r="V39">
        <v>0.23699999999999999</v>
      </c>
      <c r="W39" t="s">
        <v>537</v>
      </c>
    </row>
    <row r="40" spans="1:23" x14ac:dyDescent="0.2">
      <c r="A40" t="s">
        <v>377</v>
      </c>
      <c r="B40" t="s">
        <v>41</v>
      </c>
      <c r="C40" t="s">
        <v>570</v>
      </c>
      <c r="D40" t="s">
        <v>571</v>
      </c>
      <c r="E40" t="s">
        <v>604</v>
      </c>
      <c r="F40" s="4" t="s">
        <v>18</v>
      </c>
      <c r="G40" s="4">
        <v>0.5</v>
      </c>
      <c r="H40" s="4" t="s">
        <v>30</v>
      </c>
      <c r="I40" s="4">
        <v>0.5</v>
      </c>
      <c r="J40" t="s">
        <v>656</v>
      </c>
      <c r="K40" t="s">
        <v>657</v>
      </c>
      <c r="L40" t="s">
        <v>44</v>
      </c>
      <c r="M40" s="6">
        <v>1</v>
      </c>
      <c r="P40" t="s">
        <v>230</v>
      </c>
      <c r="U40" s="6" t="s">
        <v>218</v>
      </c>
      <c r="V40">
        <v>0.16200000000000001</v>
      </c>
      <c r="W40" t="s">
        <v>537</v>
      </c>
    </row>
    <row r="41" spans="1:23" x14ac:dyDescent="0.2">
      <c r="A41" t="s">
        <v>378</v>
      </c>
      <c r="B41" t="s">
        <v>37</v>
      </c>
      <c r="C41" t="s">
        <v>521</v>
      </c>
      <c r="D41" t="s">
        <v>525</v>
      </c>
      <c r="E41" t="s">
        <v>526</v>
      </c>
      <c r="F41" s="4" t="s">
        <v>18</v>
      </c>
      <c r="G41" s="4">
        <v>0.5</v>
      </c>
      <c r="H41" s="4" t="s">
        <v>20</v>
      </c>
      <c r="I41" s="4">
        <v>0.5</v>
      </c>
      <c r="J41" t="s">
        <v>659</v>
      </c>
      <c r="K41" t="s">
        <v>660</v>
      </c>
      <c r="L41" t="s">
        <v>44</v>
      </c>
      <c r="M41" s="6">
        <v>1</v>
      </c>
      <c r="P41" t="s">
        <v>219</v>
      </c>
      <c r="Q41">
        <v>2</v>
      </c>
      <c r="R41" t="s">
        <v>379</v>
      </c>
      <c r="S41" t="s">
        <v>380</v>
      </c>
      <c r="V41">
        <v>0.95</v>
      </c>
      <c r="W41" t="s">
        <v>527</v>
      </c>
    </row>
    <row r="42" spans="1:23" x14ac:dyDescent="0.2">
      <c r="A42" t="s">
        <v>379</v>
      </c>
      <c r="B42" t="s">
        <v>39</v>
      </c>
      <c r="C42" t="s">
        <v>530</v>
      </c>
      <c r="D42" t="s">
        <v>581</v>
      </c>
      <c r="E42" t="s">
        <v>582</v>
      </c>
      <c r="F42" s="4" t="s">
        <v>20</v>
      </c>
      <c r="G42" s="4">
        <v>1</v>
      </c>
      <c r="H42" s="4" t="s">
        <v>522</v>
      </c>
      <c r="J42" t="s">
        <v>661</v>
      </c>
      <c r="K42" t="s">
        <v>662</v>
      </c>
      <c r="L42" t="s">
        <v>48</v>
      </c>
      <c r="M42" s="6">
        <v>1</v>
      </c>
      <c r="P42" t="s">
        <v>223</v>
      </c>
      <c r="T42" t="s">
        <v>382</v>
      </c>
      <c r="V42">
        <v>0.122</v>
      </c>
      <c r="W42" t="s">
        <v>537</v>
      </c>
    </row>
    <row r="43" spans="1:23" x14ac:dyDescent="0.2">
      <c r="A43" t="s">
        <v>380</v>
      </c>
      <c r="B43" t="s">
        <v>39</v>
      </c>
      <c r="C43" t="s">
        <v>521</v>
      </c>
      <c r="D43" t="s">
        <v>535</v>
      </c>
      <c r="E43" t="s">
        <v>536</v>
      </c>
      <c r="F43" s="4" t="s">
        <v>18</v>
      </c>
      <c r="G43" s="4">
        <v>1</v>
      </c>
      <c r="H43" s="4" t="s">
        <v>522</v>
      </c>
      <c r="J43" t="s">
        <v>663</v>
      </c>
      <c r="K43" t="s">
        <v>664</v>
      </c>
      <c r="L43" t="s">
        <v>44</v>
      </c>
      <c r="M43" s="6">
        <v>1</v>
      </c>
      <c r="P43" t="s">
        <v>226</v>
      </c>
      <c r="V43">
        <v>0.95</v>
      </c>
      <c r="W43" t="s">
        <v>527</v>
      </c>
    </row>
    <row r="44" spans="1:23" x14ac:dyDescent="0.2">
      <c r="A44" t="s">
        <v>381</v>
      </c>
      <c r="B44" t="s">
        <v>41</v>
      </c>
      <c r="C44" t="s">
        <v>521</v>
      </c>
      <c r="D44" t="s">
        <v>535</v>
      </c>
      <c r="E44" t="s">
        <v>536</v>
      </c>
      <c r="F44" s="4" t="s">
        <v>30</v>
      </c>
      <c r="G44" s="4">
        <v>0.5</v>
      </c>
      <c r="H44" s="4" t="s">
        <v>24</v>
      </c>
      <c r="I44" s="4">
        <v>0.5</v>
      </c>
      <c r="J44" t="s">
        <v>665</v>
      </c>
      <c r="K44" t="s">
        <v>666</v>
      </c>
      <c r="L44" t="s">
        <v>52</v>
      </c>
      <c r="M44" s="6">
        <v>1</v>
      </c>
      <c r="P44" t="s">
        <v>667</v>
      </c>
      <c r="V44">
        <v>0.95</v>
      </c>
      <c r="W44" t="s">
        <v>527</v>
      </c>
    </row>
    <row r="45" spans="1:23" x14ac:dyDescent="0.2">
      <c r="A45" t="s">
        <v>382</v>
      </c>
      <c r="B45" t="s">
        <v>37</v>
      </c>
      <c r="C45" t="s">
        <v>570</v>
      </c>
      <c r="D45" t="s">
        <v>571</v>
      </c>
      <c r="E45" t="s">
        <v>604</v>
      </c>
      <c r="F45" s="4" t="s">
        <v>26</v>
      </c>
      <c r="G45" s="4">
        <v>0.6</v>
      </c>
      <c r="H45" s="4" t="s">
        <v>24</v>
      </c>
      <c r="I45" s="4">
        <v>0.4</v>
      </c>
      <c r="J45" t="s">
        <v>669</v>
      </c>
      <c r="K45" t="s">
        <v>670</v>
      </c>
      <c r="L45" t="s">
        <v>52</v>
      </c>
      <c r="M45" s="6">
        <v>1</v>
      </c>
      <c r="P45" t="s">
        <v>219</v>
      </c>
      <c r="Q45">
        <v>2</v>
      </c>
      <c r="R45" t="s">
        <v>383</v>
      </c>
      <c r="S45" t="s">
        <v>384</v>
      </c>
      <c r="V45">
        <v>0.95</v>
      </c>
      <c r="W45" t="s">
        <v>527</v>
      </c>
    </row>
    <row r="46" spans="1:23" x14ac:dyDescent="0.2">
      <c r="A46" t="s">
        <v>383</v>
      </c>
      <c r="B46" t="s">
        <v>39</v>
      </c>
      <c r="C46" t="s">
        <v>599</v>
      </c>
      <c r="D46" t="s">
        <v>600</v>
      </c>
      <c r="E46" t="s">
        <v>673</v>
      </c>
      <c r="F46" s="4" t="s">
        <v>26</v>
      </c>
      <c r="G46" s="4">
        <v>1</v>
      </c>
      <c r="H46" s="4" t="s">
        <v>522</v>
      </c>
      <c r="J46" t="s">
        <v>671</v>
      </c>
      <c r="K46" t="s">
        <v>672</v>
      </c>
      <c r="L46" t="s">
        <v>50</v>
      </c>
      <c r="M46" s="6">
        <v>1.5</v>
      </c>
      <c r="N46" s="6">
        <v>0.5</v>
      </c>
      <c r="P46" t="s">
        <v>223</v>
      </c>
      <c r="T46" t="s">
        <v>386</v>
      </c>
      <c r="V46">
        <v>8.1000000000000003E-2</v>
      </c>
      <c r="W46" t="s">
        <v>537</v>
      </c>
    </row>
    <row r="47" spans="1:23" x14ac:dyDescent="0.2">
      <c r="A47" t="s">
        <v>384</v>
      </c>
      <c r="B47" t="s">
        <v>39</v>
      </c>
      <c r="C47" t="s">
        <v>530</v>
      </c>
      <c r="D47" t="s">
        <v>676</v>
      </c>
      <c r="E47" t="s">
        <v>677</v>
      </c>
      <c r="F47" s="4" t="s">
        <v>24</v>
      </c>
      <c r="G47" s="4">
        <v>0.5</v>
      </c>
      <c r="H47" s="4" t="s">
        <v>26</v>
      </c>
      <c r="I47" s="4">
        <v>0.5</v>
      </c>
      <c r="J47" t="s">
        <v>674</v>
      </c>
      <c r="K47" t="s">
        <v>675</v>
      </c>
      <c r="L47" t="s">
        <v>52</v>
      </c>
      <c r="M47" s="6">
        <v>1.5</v>
      </c>
      <c r="N47" s="6">
        <v>0.5</v>
      </c>
      <c r="P47" t="s">
        <v>226</v>
      </c>
      <c r="V47">
        <v>0.16200000000000001</v>
      </c>
      <c r="W47" t="s">
        <v>537</v>
      </c>
    </row>
    <row r="48" spans="1:23" x14ac:dyDescent="0.2">
      <c r="A48" t="s">
        <v>385</v>
      </c>
      <c r="B48" t="s">
        <v>41</v>
      </c>
      <c r="C48" t="s">
        <v>561</v>
      </c>
      <c r="D48" t="s">
        <v>587</v>
      </c>
      <c r="E48" t="s">
        <v>591</v>
      </c>
      <c r="F48" s="4" t="s">
        <v>20</v>
      </c>
      <c r="G48" s="4">
        <v>1</v>
      </c>
      <c r="H48" s="4" t="s">
        <v>522</v>
      </c>
      <c r="J48" t="s">
        <v>678</v>
      </c>
      <c r="K48" t="s">
        <v>679</v>
      </c>
      <c r="L48" t="s">
        <v>48</v>
      </c>
      <c r="M48" s="6">
        <v>1</v>
      </c>
      <c r="P48" t="s">
        <v>667</v>
      </c>
      <c r="V48">
        <v>8.3000000000000004E-2</v>
      </c>
      <c r="W48" t="s">
        <v>537</v>
      </c>
    </row>
    <row r="49" spans="1:23" x14ac:dyDescent="0.2">
      <c r="A49" t="s">
        <v>386</v>
      </c>
      <c r="B49" t="s">
        <v>37</v>
      </c>
      <c r="C49" t="s">
        <v>550</v>
      </c>
      <c r="D49" t="s">
        <v>683</v>
      </c>
      <c r="E49" t="s">
        <v>684</v>
      </c>
      <c r="F49" s="4" t="s">
        <v>26</v>
      </c>
      <c r="G49" s="4">
        <v>0.5</v>
      </c>
      <c r="H49" s="4" t="s">
        <v>20</v>
      </c>
      <c r="I49" s="4">
        <v>0.5</v>
      </c>
      <c r="J49" t="s">
        <v>681</v>
      </c>
      <c r="K49" t="s">
        <v>682</v>
      </c>
      <c r="L49" t="s">
        <v>50</v>
      </c>
      <c r="M49" s="6">
        <v>1</v>
      </c>
      <c r="P49" t="s">
        <v>219</v>
      </c>
      <c r="Q49">
        <v>2</v>
      </c>
      <c r="R49" t="s">
        <v>387</v>
      </c>
      <c r="S49" t="s">
        <v>388</v>
      </c>
      <c r="V49">
        <v>7.6999999999999999E-2</v>
      </c>
      <c r="W49" t="s">
        <v>537</v>
      </c>
    </row>
    <row r="50" spans="1:23" x14ac:dyDescent="0.2">
      <c r="A50" t="s">
        <v>387</v>
      </c>
      <c r="B50" t="s">
        <v>39</v>
      </c>
      <c r="C50" t="s">
        <v>570</v>
      </c>
      <c r="D50" t="s">
        <v>607</v>
      </c>
      <c r="E50" t="s">
        <v>687</v>
      </c>
      <c r="F50" s="4" t="s">
        <v>20</v>
      </c>
      <c r="G50" s="4">
        <v>1</v>
      </c>
      <c r="H50" s="4" t="s">
        <v>522</v>
      </c>
      <c r="J50" t="s">
        <v>685</v>
      </c>
      <c r="K50" t="s">
        <v>686</v>
      </c>
      <c r="L50" t="s">
        <v>48</v>
      </c>
      <c r="M50" s="6">
        <v>1</v>
      </c>
      <c r="P50" t="s">
        <v>223</v>
      </c>
      <c r="T50" t="s">
        <v>390</v>
      </c>
      <c r="V50">
        <v>7.4999999999999997E-2</v>
      </c>
      <c r="W50" t="s">
        <v>537</v>
      </c>
    </row>
    <row r="51" spans="1:23" x14ac:dyDescent="0.2">
      <c r="A51" t="s">
        <v>388</v>
      </c>
      <c r="B51" t="s">
        <v>39</v>
      </c>
      <c r="C51" t="s">
        <v>530</v>
      </c>
      <c r="D51" t="s">
        <v>676</v>
      </c>
      <c r="E51" t="s">
        <v>690</v>
      </c>
      <c r="F51" s="4" t="s">
        <v>26</v>
      </c>
      <c r="G51" s="4">
        <v>1</v>
      </c>
      <c r="H51" s="4" t="s">
        <v>522</v>
      </c>
      <c r="J51" t="s">
        <v>688</v>
      </c>
      <c r="K51" t="s">
        <v>689</v>
      </c>
      <c r="L51" t="s">
        <v>50</v>
      </c>
      <c r="M51" s="6">
        <v>1.5</v>
      </c>
      <c r="N51" s="6">
        <v>0.5</v>
      </c>
      <c r="P51" t="s">
        <v>226</v>
      </c>
      <c r="V51">
        <v>0.95</v>
      </c>
      <c r="W51" t="s">
        <v>527</v>
      </c>
    </row>
    <row r="52" spans="1:23" x14ac:dyDescent="0.2">
      <c r="A52" t="s">
        <v>389</v>
      </c>
      <c r="B52" t="s">
        <v>41</v>
      </c>
      <c r="C52" t="s">
        <v>599</v>
      </c>
      <c r="D52" t="s">
        <v>600</v>
      </c>
      <c r="E52" t="s">
        <v>601</v>
      </c>
      <c r="F52" s="4" t="s">
        <v>26</v>
      </c>
      <c r="G52" s="4">
        <v>0.7</v>
      </c>
      <c r="H52" s="4" t="s">
        <v>32</v>
      </c>
      <c r="I52" s="4">
        <v>0.3</v>
      </c>
      <c r="J52" t="s">
        <v>691</v>
      </c>
      <c r="K52" t="s">
        <v>692</v>
      </c>
      <c r="L52" t="s">
        <v>50</v>
      </c>
      <c r="M52" s="6">
        <v>1</v>
      </c>
      <c r="P52" t="s">
        <v>667</v>
      </c>
      <c r="V52">
        <v>0.95</v>
      </c>
      <c r="W52" t="s">
        <v>527</v>
      </c>
    </row>
    <row r="53" spans="1:23" x14ac:dyDescent="0.2">
      <c r="A53" t="s">
        <v>390</v>
      </c>
      <c r="B53" t="s">
        <v>37</v>
      </c>
      <c r="C53" t="s">
        <v>530</v>
      </c>
      <c r="D53" t="s">
        <v>531</v>
      </c>
      <c r="E53" t="s">
        <v>532</v>
      </c>
      <c r="F53" s="4" t="s">
        <v>20</v>
      </c>
      <c r="G53" s="4">
        <v>0.8</v>
      </c>
      <c r="H53" s="4" t="s">
        <v>30</v>
      </c>
      <c r="I53" s="4">
        <v>0.2</v>
      </c>
      <c r="J53" t="s">
        <v>694</v>
      </c>
      <c r="K53" t="s">
        <v>695</v>
      </c>
      <c r="L53" t="s">
        <v>48</v>
      </c>
      <c r="M53" s="6">
        <v>1</v>
      </c>
      <c r="P53" t="s">
        <v>219</v>
      </c>
      <c r="Q53">
        <v>2</v>
      </c>
      <c r="R53" t="s">
        <v>391</v>
      </c>
      <c r="S53" t="s">
        <v>392</v>
      </c>
      <c r="V53">
        <v>0.95</v>
      </c>
      <c r="W53" t="s">
        <v>527</v>
      </c>
    </row>
    <row r="54" spans="1:23" x14ac:dyDescent="0.2">
      <c r="A54" t="s">
        <v>391</v>
      </c>
      <c r="B54" t="s">
        <v>39</v>
      </c>
      <c r="C54" t="s">
        <v>530</v>
      </c>
      <c r="D54" t="s">
        <v>531</v>
      </c>
      <c r="E54" t="s">
        <v>532</v>
      </c>
      <c r="F54" s="4" t="s">
        <v>20</v>
      </c>
      <c r="G54" s="4">
        <v>1</v>
      </c>
      <c r="H54" s="4" t="s">
        <v>522</v>
      </c>
      <c r="J54" t="s">
        <v>696</v>
      </c>
      <c r="K54" t="s">
        <v>697</v>
      </c>
      <c r="L54" t="s">
        <v>48</v>
      </c>
      <c r="M54" s="6">
        <v>1</v>
      </c>
      <c r="P54" t="s">
        <v>223</v>
      </c>
      <c r="T54" t="s">
        <v>394</v>
      </c>
      <c r="V54">
        <v>0.95</v>
      </c>
      <c r="W54" t="s">
        <v>527</v>
      </c>
    </row>
    <row r="55" spans="1:23" x14ac:dyDescent="0.2">
      <c r="A55" t="s">
        <v>392</v>
      </c>
      <c r="B55" t="s">
        <v>39</v>
      </c>
      <c r="C55" t="s">
        <v>614</v>
      </c>
      <c r="D55" t="s">
        <v>700</v>
      </c>
      <c r="E55" t="s">
        <v>701</v>
      </c>
      <c r="F55" s="4" t="s">
        <v>34</v>
      </c>
      <c r="G55" s="4">
        <v>0.6</v>
      </c>
      <c r="H55" s="4" t="s">
        <v>24</v>
      </c>
      <c r="I55" s="4">
        <v>0.4</v>
      </c>
      <c r="J55" t="s">
        <v>698</v>
      </c>
      <c r="K55" t="s">
        <v>699</v>
      </c>
      <c r="L55" t="s">
        <v>46</v>
      </c>
      <c r="M55" s="6">
        <v>1.5</v>
      </c>
      <c r="N55" s="6">
        <v>0.5</v>
      </c>
      <c r="P55" t="s">
        <v>226</v>
      </c>
      <c r="V55">
        <v>0.95</v>
      </c>
      <c r="W55" t="s">
        <v>527</v>
      </c>
    </row>
    <row r="56" spans="1:23" x14ac:dyDescent="0.2">
      <c r="A56" t="s">
        <v>393</v>
      </c>
      <c r="B56" t="s">
        <v>41</v>
      </c>
      <c r="C56" t="s">
        <v>570</v>
      </c>
      <c r="D56" t="s">
        <v>594</v>
      </c>
      <c r="E56" t="s">
        <v>704</v>
      </c>
      <c r="F56" s="4" t="s">
        <v>24</v>
      </c>
      <c r="G56" s="4">
        <v>0.6</v>
      </c>
      <c r="H56" s="4" t="s">
        <v>26</v>
      </c>
      <c r="I56" s="4">
        <v>0.4</v>
      </c>
      <c r="J56" t="s">
        <v>702</v>
      </c>
      <c r="K56" t="s">
        <v>703</v>
      </c>
      <c r="L56" t="s">
        <v>52</v>
      </c>
      <c r="M56" s="6">
        <v>1.5</v>
      </c>
      <c r="N56" s="6">
        <v>0.5</v>
      </c>
      <c r="P56" t="s">
        <v>667</v>
      </c>
      <c r="V56">
        <v>6.7000000000000004E-2</v>
      </c>
      <c r="W56" t="s">
        <v>537</v>
      </c>
    </row>
    <row r="57" spans="1:23" x14ac:dyDescent="0.2">
      <c r="A57" t="s">
        <v>394</v>
      </c>
      <c r="B57" t="s">
        <v>37</v>
      </c>
      <c r="C57" t="s">
        <v>561</v>
      </c>
      <c r="D57" t="s">
        <v>562</v>
      </c>
      <c r="E57" t="s">
        <v>708</v>
      </c>
      <c r="F57" s="4" t="s">
        <v>32</v>
      </c>
      <c r="G57" s="4">
        <v>1</v>
      </c>
      <c r="H57" s="4" t="s">
        <v>522</v>
      </c>
      <c r="J57" t="s">
        <v>706</v>
      </c>
      <c r="K57" t="s">
        <v>707</v>
      </c>
      <c r="L57" t="s">
        <v>48</v>
      </c>
      <c r="M57" s="6">
        <v>1</v>
      </c>
      <c r="P57" t="s">
        <v>219</v>
      </c>
      <c r="Q57">
        <v>2</v>
      </c>
      <c r="R57" t="s">
        <v>395</v>
      </c>
      <c r="S57" t="s">
        <v>396</v>
      </c>
      <c r="V57">
        <v>7.9000000000000001E-2</v>
      </c>
      <c r="W57" t="s">
        <v>537</v>
      </c>
    </row>
    <row r="58" spans="1:23" x14ac:dyDescent="0.2">
      <c r="A58" t="s">
        <v>395</v>
      </c>
      <c r="B58" t="s">
        <v>39</v>
      </c>
      <c r="C58" t="s">
        <v>561</v>
      </c>
      <c r="D58" t="s">
        <v>711</v>
      </c>
      <c r="E58" t="s">
        <v>712</v>
      </c>
      <c r="F58" s="4" t="s">
        <v>32</v>
      </c>
      <c r="G58" s="4">
        <v>0.5</v>
      </c>
      <c r="H58" s="4" t="s">
        <v>20</v>
      </c>
      <c r="I58" s="4">
        <v>0.5</v>
      </c>
      <c r="J58" t="s">
        <v>709</v>
      </c>
      <c r="K58" t="s">
        <v>710</v>
      </c>
      <c r="L58" t="s">
        <v>48</v>
      </c>
      <c r="M58" s="6">
        <v>1</v>
      </c>
      <c r="P58" t="s">
        <v>223</v>
      </c>
      <c r="T58" t="s">
        <v>397</v>
      </c>
      <c r="V58">
        <v>7.2999999999999995E-2</v>
      </c>
      <c r="W58" t="s">
        <v>537</v>
      </c>
    </row>
    <row r="59" spans="1:23" x14ac:dyDescent="0.2">
      <c r="A59" t="s">
        <v>396</v>
      </c>
      <c r="B59" t="s">
        <v>39</v>
      </c>
      <c r="C59" t="s">
        <v>521</v>
      </c>
      <c r="D59" t="s">
        <v>566</v>
      </c>
      <c r="E59" t="s">
        <v>567</v>
      </c>
      <c r="F59" s="4" t="s">
        <v>18</v>
      </c>
      <c r="G59" s="4">
        <v>0.5</v>
      </c>
      <c r="H59" s="4" t="s">
        <v>32</v>
      </c>
      <c r="I59" s="4">
        <v>0.5</v>
      </c>
      <c r="J59" t="s">
        <v>713</v>
      </c>
      <c r="K59" t="s">
        <v>714</v>
      </c>
      <c r="L59" t="s">
        <v>44</v>
      </c>
      <c r="M59" s="6">
        <v>1</v>
      </c>
      <c r="P59" t="s">
        <v>226</v>
      </c>
      <c r="V59">
        <v>0.95</v>
      </c>
      <c r="W59" t="s">
        <v>527</v>
      </c>
    </row>
    <row r="60" spans="1:23" x14ac:dyDescent="0.2">
      <c r="A60" t="s">
        <v>397</v>
      </c>
      <c r="B60" t="s">
        <v>37</v>
      </c>
      <c r="C60" t="s">
        <v>530</v>
      </c>
      <c r="D60" t="s">
        <v>581</v>
      </c>
      <c r="E60" t="s">
        <v>718</v>
      </c>
      <c r="F60" s="4" t="s">
        <v>34</v>
      </c>
      <c r="G60" s="4">
        <v>1</v>
      </c>
      <c r="H60" s="4" t="s">
        <v>522</v>
      </c>
      <c r="J60" t="s">
        <v>716</v>
      </c>
      <c r="K60" t="s">
        <v>717</v>
      </c>
      <c r="L60" t="s">
        <v>46</v>
      </c>
      <c r="M60" s="6">
        <v>1</v>
      </c>
      <c r="P60" t="s">
        <v>219</v>
      </c>
      <c r="Q60">
        <v>2</v>
      </c>
      <c r="R60" t="s">
        <v>398</v>
      </c>
      <c r="S60" t="s">
        <v>399</v>
      </c>
      <c r="V60">
        <v>0.154</v>
      </c>
      <c r="W60" t="s">
        <v>537</v>
      </c>
    </row>
    <row r="61" spans="1:23" x14ac:dyDescent="0.2">
      <c r="A61" t="s">
        <v>398</v>
      </c>
      <c r="B61" t="s">
        <v>39</v>
      </c>
      <c r="C61" t="s">
        <v>550</v>
      </c>
      <c r="D61" t="s">
        <v>551</v>
      </c>
      <c r="E61" t="s">
        <v>721</v>
      </c>
      <c r="F61" s="4" t="s">
        <v>20</v>
      </c>
      <c r="G61" s="4">
        <v>1</v>
      </c>
      <c r="H61" s="4" t="s">
        <v>522</v>
      </c>
      <c r="J61" t="s">
        <v>719</v>
      </c>
      <c r="K61" t="s">
        <v>720</v>
      </c>
      <c r="L61" t="s">
        <v>48</v>
      </c>
      <c r="M61" s="6">
        <v>1</v>
      </c>
      <c r="P61" t="s">
        <v>223</v>
      </c>
      <c r="T61" t="s">
        <v>400</v>
      </c>
      <c r="V61">
        <v>0.95</v>
      </c>
      <c r="W61" t="s">
        <v>527</v>
      </c>
    </row>
    <row r="62" spans="1:23" x14ac:dyDescent="0.2">
      <c r="A62" t="s">
        <v>399</v>
      </c>
      <c r="B62" t="s">
        <v>39</v>
      </c>
      <c r="C62" t="s">
        <v>521</v>
      </c>
      <c r="D62" t="s">
        <v>566</v>
      </c>
      <c r="E62" t="s">
        <v>567</v>
      </c>
      <c r="F62" s="4" t="s">
        <v>18</v>
      </c>
      <c r="G62" s="4">
        <v>0.5</v>
      </c>
      <c r="H62" s="4" t="s">
        <v>34</v>
      </c>
      <c r="I62" s="4">
        <v>0.5</v>
      </c>
      <c r="J62" t="s">
        <v>722</v>
      </c>
      <c r="K62" t="s">
        <v>723</v>
      </c>
      <c r="L62" t="s">
        <v>44</v>
      </c>
      <c r="M62" s="6">
        <v>1</v>
      </c>
      <c r="P62" t="s">
        <v>226</v>
      </c>
      <c r="V62">
        <v>0.125</v>
      </c>
      <c r="W62" t="s">
        <v>537</v>
      </c>
    </row>
    <row r="63" spans="1:23" x14ac:dyDescent="0.2">
      <c r="A63" t="s">
        <v>400</v>
      </c>
      <c r="B63" t="s">
        <v>37</v>
      </c>
      <c r="C63" t="s">
        <v>561</v>
      </c>
      <c r="D63" t="s">
        <v>587</v>
      </c>
      <c r="E63" t="s">
        <v>727</v>
      </c>
      <c r="F63" s="4" t="s">
        <v>30</v>
      </c>
      <c r="G63" s="4">
        <v>0.6</v>
      </c>
      <c r="H63" s="4" t="s">
        <v>24</v>
      </c>
      <c r="I63" s="4">
        <v>0.4</v>
      </c>
      <c r="J63" t="s">
        <v>725</v>
      </c>
      <c r="K63" t="s">
        <v>726</v>
      </c>
      <c r="L63" t="s">
        <v>52</v>
      </c>
      <c r="M63" s="6">
        <v>1</v>
      </c>
      <c r="P63" t="s">
        <v>219</v>
      </c>
      <c r="Q63">
        <v>2</v>
      </c>
      <c r="R63" t="s">
        <v>401</v>
      </c>
      <c r="S63" t="s">
        <v>402</v>
      </c>
      <c r="V63">
        <v>0.10299999999999999</v>
      </c>
      <c r="W63" t="s">
        <v>537</v>
      </c>
    </row>
    <row r="64" spans="1:23" x14ac:dyDescent="0.2">
      <c r="A64" t="s">
        <v>401</v>
      </c>
      <c r="B64" t="s">
        <v>39</v>
      </c>
      <c r="C64" t="s">
        <v>521</v>
      </c>
      <c r="D64" t="s">
        <v>535</v>
      </c>
      <c r="E64" t="s">
        <v>536</v>
      </c>
      <c r="F64" s="4" t="s">
        <v>24</v>
      </c>
      <c r="G64" s="4">
        <v>0.5</v>
      </c>
      <c r="H64" s="4" t="s">
        <v>30</v>
      </c>
      <c r="I64" s="4">
        <v>0.5</v>
      </c>
      <c r="J64" t="s">
        <v>728</v>
      </c>
      <c r="K64" t="s">
        <v>729</v>
      </c>
      <c r="L64" t="s">
        <v>52</v>
      </c>
      <c r="M64" s="6">
        <v>1</v>
      </c>
      <c r="P64" t="s">
        <v>223</v>
      </c>
      <c r="T64" t="s">
        <v>404</v>
      </c>
      <c r="V64">
        <v>0.13500000000000001</v>
      </c>
      <c r="W64" t="s">
        <v>537</v>
      </c>
    </row>
    <row r="65" spans="1:23" x14ac:dyDescent="0.2">
      <c r="A65" t="s">
        <v>402</v>
      </c>
      <c r="B65" t="s">
        <v>39</v>
      </c>
      <c r="C65" t="s">
        <v>570</v>
      </c>
      <c r="D65" t="s">
        <v>607</v>
      </c>
      <c r="E65" t="s">
        <v>687</v>
      </c>
      <c r="F65" s="4" t="s">
        <v>26</v>
      </c>
      <c r="G65" s="4">
        <v>0.5</v>
      </c>
      <c r="H65" s="4" t="s">
        <v>24</v>
      </c>
      <c r="I65" s="4">
        <v>0.5</v>
      </c>
      <c r="J65" t="s">
        <v>730</v>
      </c>
      <c r="K65" t="s">
        <v>731</v>
      </c>
      <c r="L65" t="s">
        <v>52</v>
      </c>
      <c r="M65" s="6">
        <v>1.5</v>
      </c>
      <c r="N65" s="6">
        <v>0.5</v>
      </c>
      <c r="P65" t="s">
        <v>226</v>
      </c>
      <c r="V65">
        <v>0.95</v>
      </c>
      <c r="W65" t="s">
        <v>527</v>
      </c>
    </row>
    <row r="66" spans="1:23" x14ac:dyDescent="0.2">
      <c r="A66" t="s">
        <v>403</v>
      </c>
      <c r="B66" t="s">
        <v>41</v>
      </c>
      <c r="C66" t="s">
        <v>561</v>
      </c>
      <c r="D66" t="s">
        <v>587</v>
      </c>
      <c r="E66" t="s">
        <v>727</v>
      </c>
      <c r="F66" s="4" t="s">
        <v>30</v>
      </c>
      <c r="G66" s="4">
        <v>0.6</v>
      </c>
      <c r="H66" s="4" t="s">
        <v>26</v>
      </c>
      <c r="I66" s="4">
        <v>0.4</v>
      </c>
      <c r="J66" t="s">
        <v>732</v>
      </c>
      <c r="K66" t="s">
        <v>733</v>
      </c>
      <c r="L66" t="s">
        <v>48</v>
      </c>
      <c r="M66" s="6">
        <v>1.5</v>
      </c>
      <c r="N66" s="6">
        <v>0.5</v>
      </c>
      <c r="P66" t="s">
        <v>667</v>
      </c>
      <c r="V66">
        <v>0.17499999999999999</v>
      </c>
      <c r="W66" t="s">
        <v>537</v>
      </c>
    </row>
    <row r="67" spans="1:23" x14ac:dyDescent="0.2">
      <c r="A67" t="s">
        <v>404</v>
      </c>
      <c r="B67" t="s">
        <v>37</v>
      </c>
      <c r="C67" t="s">
        <v>599</v>
      </c>
      <c r="D67" t="s">
        <v>600</v>
      </c>
      <c r="E67" t="s">
        <v>601</v>
      </c>
      <c r="F67" s="4" t="s">
        <v>18</v>
      </c>
      <c r="G67" s="4">
        <v>0.5</v>
      </c>
      <c r="H67" s="4" t="s">
        <v>26</v>
      </c>
      <c r="I67" s="4">
        <v>0.5</v>
      </c>
      <c r="J67" t="s">
        <v>735</v>
      </c>
      <c r="K67" t="s">
        <v>736</v>
      </c>
      <c r="L67" t="s">
        <v>44</v>
      </c>
      <c r="M67" s="6">
        <v>1</v>
      </c>
      <c r="P67" t="s">
        <v>219</v>
      </c>
      <c r="Q67">
        <v>2</v>
      </c>
      <c r="R67" t="s">
        <v>405</v>
      </c>
      <c r="S67" t="s">
        <v>406</v>
      </c>
      <c r="V67">
        <v>0.95</v>
      </c>
      <c r="W67" t="s">
        <v>527</v>
      </c>
    </row>
    <row r="68" spans="1:23" x14ac:dyDescent="0.2">
      <c r="A68" t="s">
        <v>405</v>
      </c>
      <c r="B68" t="s">
        <v>39</v>
      </c>
      <c r="C68" t="s">
        <v>550</v>
      </c>
      <c r="D68" t="s">
        <v>551</v>
      </c>
      <c r="E68" t="s">
        <v>619</v>
      </c>
      <c r="F68" s="4" t="s">
        <v>26</v>
      </c>
      <c r="G68" s="4">
        <v>1</v>
      </c>
      <c r="H68" s="4" t="s">
        <v>522</v>
      </c>
      <c r="J68" t="s">
        <v>737</v>
      </c>
      <c r="K68" t="s">
        <v>738</v>
      </c>
      <c r="L68" t="s">
        <v>50</v>
      </c>
      <c r="M68" s="6">
        <v>1</v>
      </c>
      <c r="P68" t="s">
        <v>230</v>
      </c>
      <c r="U68" s="6" t="s">
        <v>218</v>
      </c>
      <c r="V68">
        <v>0.95</v>
      </c>
      <c r="W68" t="s">
        <v>527</v>
      </c>
    </row>
    <row r="69" spans="1:23" x14ac:dyDescent="0.2">
      <c r="A69" t="s">
        <v>406</v>
      </c>
      <c r="B69" t="s">
        <v>41</v>
      </c>
      <c r="C69" t="s">
        <v>614</v>
      </c>
      <c r="D69" t="s">
        <v>615</v>
      </c>
      <c r="E69" t="s">
        <v>635</v>
      </c>
      <c r="F69" s="4" t="s">
        <v>20</v>
      </c>
      <c r="G69" s="4">
        <v>1</v>
      </c>
      <c r="H69" s="4" t="s">
        <v>522</v>
      </c>
      <c r="J69" t="s">
        <v>739</v>
      </c>
      <c r="K69" t="s">
        <v>740</v>
      </c>
      <c r="L69" t="s">
        <v>48</v>
      </c>
      <c r="M69" s="6">
        <v>1</v>
      </c>
      <c r="P69" t="s">
        <v>667</v>
      </c>
      <c r="V69">
        <v>0.17899999999999999</v>
      </c>
      <c r="W69" t="s">
        <v>537</v>
      </c>
    </row>
    <row r="70" spans="1:23" x14ac:dyDescent="0.2">
      <c r="A70" t="s">
        <v>407</v>
      </c>
      <c r="B70" t="s">
        <v>37</v>
      </c>
      <c r="C70" t="s">
        <v>561</v>
      </c>
      <c r="D70" t="s">
        <v>587</v>
      </c>
      <c r="E70" t="s">
        <v>744</v>
      </c>
      <c r="F70" s="4" t="s">
        <v>20</v>
      </c>
      <c r="G70" s="4">
        <v>0.6</v>
      </c>
      <c r="H70" s="4" t="s">
        <v>22</v>
      </c>
      <c r="I70" s="4">
        <v>0.4</v>
      </c>
      <c r="J70" t="s">
        <v>742</v>
      </c>
      <c r="K70" t="s">
        <v>743</v>
      </c>
      <c r="L70" t="s">
        <v>48</v>
      </c>
      <c r="M70" s="6">
        <v>1.2</v>
      </c>
      <c r="N70" s="6">
        <v>0.5</v>
      </c>
      <c r="P70" t="s">
        <v>219</v>
      </c>
      <c r="Q70">
        <v>2</v>
      </c>
      <c r="R70" t="s">
        <v>408</v>
      </c>
      <c r="S70" t="s">
        <v>409</v>
      </c>
      <c r="V70">
        <v>8.6999999999999994E-2</v>
      </c>
      <c r="W70" t="s">
        <v>537</v>
      </c>
    </row>
    <row r="71" spans="1:23" x14ac:dyDescent="0.2">
      <c r="A71" t="s">
        <v>408</v>
      </c>
      <c r="B71" t="s">
        <v>39</v>
      </c>
      <c r="C71" t="s">
        <v>614</v>
      </c>
      <c r="D71" t="s">
        <v>615</v>
      </c>
      <c r="E71" t="s">
        <v>635</v>
      </c>
      <c r="F71" s="4" t="s">
        <v>20</v>
      </c>
      <c r="G71" s="4">
        <v>1</v>
      </c>
      <c r="J71" t="s">
        <v>745</v>
      </c>
      <c r="K71" t="s">
        <v>746</v>
      </c>
      <c r="L71" t="s">
        <v>48</v>
      </c>
      <c r="M71" s="6">
        <v>1</v>
      </c>
      <c r="P71" t="s">
        <v>223</v>
      </c>
      <c r="T71" t="s">
        <v>410</v>
      </c>
      <c r="V71">
        <v>0.154</v>
      </c>
      <c r="W71" t="s">
        <v>537</v>
      </c>
    </row>
    <row r="72" spans="1:23" x14ac:dyDescent="0.2">
      <c r="A72" t="s">
        <v>409</v>
      </c>
      <c r="B72" t="s">
        <v>39</v>
      </c>
      <c r="C72" t="s">
        <v>749</v>
      </c>
      <c r="D72" t="s">
        <v>750</v>
      </c>
      <c r="E72" t="s">
        <v>751</v>
      </c>
      <c r="F72" s="4" t="s">
        <v>20</v>
      </c>
      <c r="G72" s="4">
        <v>0.6</v>
      </c>
      <c r="H72" s="4" t="s">
        <v>30</v>
      </c>
      <c r="I72" s="4">
        <v>0.4</v>
      </c>
      <c r="J72" t="s">
        <v>747</v>
      </c>
      <c r="K72" t="s">
        <v>748</v>
      </c>
      <c r="L72" t="s">
        <v>48</v>
      </c>
      <c r="M72" s="6">
        <v>1.2</v>
      </c>
      <c r="N72" s="6">
        <v>0.5</v>
      </c>
      <c r="P72" t="s">
        <v>226</v>
      </c>
      <c r="V72">
        <v>0.187</v>
      </c>
      <c r="W72" t="s">
        <v>537</v>
      </c>
    </row>
    <row r="73" spans="1:23" x14ac:dyDescent="0.2">
      <c r="A73" t="s">
        <v>410</v>
      </c>
      <c r="B73" t="s">
        <v>37</v>
      </c>
      <c r="C73" t="s">
        <v>550</v>
      </c>
      <c r="D73" t="s">
        <v>551</v>
      </c>
      <c r="E73" t="s">
        <v>552</v>
      </c>
      <c r="F73" s="4" t="s">
        <v>22</v>
      </c>
      <c r="G73" s="4">
        <v>0.6</v>
      </c>
      <c r="H73" s="4" t="s">
        <v>28</v>
      </c>
      <c r="I73" s="4">
        <v>0.4</v>
      </c>
      <c r="J73" t="s">
        <v>753</v>
      </c>
      <c r="K73" t="s">
        <v>754</v>
      </c>
      <c r="L73" t="s">
        <v>46</v>
      </c>
      <c r="M73" s="6">
        <v>1.5</v>
      </c>
      <c r="N73" s="6">
        <v>0.5</v>
      </c>
      <c r="P73" t="s">
        <v>219</v>
      </c>
      <c r="Q73">
        <v>2</v>
      </c>
      <c r="R73" t="s">
        <v>411</v>
      </c>
      <c r="S73" t="s">
        <v>412</v>
      </c>
      <c r="V73">
        <v>0.95</v>
      </c>
      <c r="W73" t="s">
        <v>527</v>
      </c>
    </row>
    <row r="74" spans="1:23" x14ac:dyDescent="0.2">
      <c r="A74" t="s">
        <v>411</v>
      </c>
      <c r="B74" t="s">
        <v>39</v>
      </c>
      <c r="C74" t="s">
        <v>550</v>
      </c>
      <c r="D74" t="s">
        <v>551</v>
      </c>
      <c r="E74" t="s">
        <v>552</v>
      </c>
      <c r="F74" s="4" t="s">
        <v>28</v>
      </c>
      <c r="G74" s="4">
        <v>1</v>
      </c>
      <c r="J74" t="s">
        <v>755</v>
      </c>
      <c r="K74" t="s">
        <v>756</v>
      </c>
      <c r="L74" t="s">
        <v>46</v>
      </c>
      <c r="M74" s="6">
        <v>1</v>
      </c>
      <c r="P74" t="s">
        <v>223</v>
      </c>
      <c r="T74" t="s">
        <v>413</v>
      </c>
      <c r="V74">
        <v>0.95</v>
      </c>
      <c r="W74" t="s">
        <v>527</v>
      </c>
    </row>
    <row r="75" spans="1:23" x14ac:dyDescent="0.2">
      <c r="A75" t="s">
        <v>412</v>
      </c>
      <c r="B75" t="s">
        <v>39</v>
      </c>
      <c r="C75" t="s">
        <v>570</v>
      </c>
      <c r="D75" t="s">
        <v>594</v>
      </c>
      <c r="E75" t="s">
        <v>704</v>
      </c>
      <c r="F75" s="4" t="s">
        <v>22</v>
      </c>
      <c r="G75" s="4">
        <v>1</v>
      </c>
      <c r="J75" t="s">
        <v>757</v>
      </c>
      <c r="K75" t="s">
        <v>758</v>
      </c>
      <c r="L75" t="s">
        <v>48</v>
      </c>
      <c r="M75" s="6">
        <v>1.3</v>
      </c>
      <c r="N75" s="6">
        <v>0.5</v>
      </c>
      <c r="P75" t="s">
        <v>226</v>
      </c>
      <c r="V75">
        <v>7.4999999999999997E-2</v>
      </c>
      <c r="W75" t="s">
        <v>537</v>
      </c>
    </row>
    <row r="76" spans="1:23" x14ac:dyDescent="0.2">
      <c r="A76" t="s">
        <v>413</v>
      </c>
      <c r="B76" t="s">
        <v>37</v>
      </c>
      <c r="C76" t="s">
        <v>561</v>
      </c>
      <c r="D76" t="s">
        <v>562</v>
      </c>
      <c r="E76" t="s">
        <v>762</v>
      </c>
      <c r="F76" s="4" t="s">
        <v>22</v>
      </c>
      <c r="G76" s="4">
        <v>0.6</v>
      </c>
      <c r="H76" s="4" t="s">
        <v>20</v>
      </c>
      <c r="I76" s="4">
        <v>0.4</v>
      </c>
      <c r="J76" t="s">
        <v>760</v>
      </c>
      <c r="K76" t="s">
        <v>761</v>
      </c>
      <c r="L76" t="s">
        <v>48</v>
      </c>
      <c r="M76" s="6">
        <v>1.4</v>
      </c>
      <c r="N76" s="6">
        <v>0.5</v>
      </c>
      <c r="P76" t="s">
        <v>219</v>
      </c>
      <c r="Q76">
        <v>2</v>
      </c>
      <c r="R76" t="s">
        <v>414</v>
      </c>
      <c r="S76" t="s">
        <v>415</v>
      </c>
      <c r="V76">
        <v>8.6999999999999994E-2</v>
      </c>
      <c r="W76" t="s">
        <v>537</v>
      </c>
    </row>
    <row r="77" spans="1:23" x14ac:dyDescent="0.2">
      <c r="A77" t="s">
        <v>414</v>
      </c>
      <c r="B77" t="s">
        <v>39</v>
      </c>
      <c r="C77" t="s">
        <v>521</v>
      </c>
      <c r="D77" t="s">
        <v>535</v>
      </c>
      <c r="E77" t="s">
        <v>540</v>
      </c>
      <c r="F77" s="4" t="s">
        <v>20</v>
      </c>
      <c r="G77" s="4">
        <v>1</v>
      </c>
      <c r="J77" t="s">
        <v>763</v>
      </c>
      <c r="K77" t="s">
        <v>764</v>
      </c>
      <c r="L77" t="s">
        <v>48</v>
      </c>
      <c r="M77" s="6">
        <v>1</v>
      </c>
      <c r="P77" t="s">
        <v>223</v>
      </c>
      <c r="T77" t="s">
        <v>416</v>
      </c>
      <c r="V77">
        <v>0.106</v>
      </c>
      <c r="W77" t="s">
        <v>537</v>
      </c>
    </row>
    <row r="78" spans="1:23" x14ac:dyDescent="0.2">
      <c r="A78" t="s">
        <v>415</v>
      </c>
      <c r="B78" t="s">
        <v>39</v>
      </c>
      <c r="C78" t="s">
        <v>521</v>
      </c>
      <c r="D78" t="s">
        <v>566</v>
      </c>
      <c r="E78" t="s">
        <v>567</v>
      </c>
      <c r="F78" s="4" t="s">
        <v>22</v>
      </c>
      <c r="G78" s="4">
        <v>0.7</v>
      </c>
      <c r="H78" s="4" t="s">
        <v>32</v>
      </c>
      <c r="I78" s="4">
        <v>0.3</v>
      </c>
      <c r="J78" t="s">
        <v>765</v>
      </c>
      <c r="K78" t="s">
        <v>766</v>
      </c>
      <c r="L78" t="s">
        <v>48</v>
      </c>
      <c r="M78" s="6">
        <v>1</v>
      </c>
      <c r="P78" t="s">
        <v>226</v>
      </c>
      <c r="V78">
        <v>0.95</v>
      </c>
      <c r="W78" t="s">
        <v>527</v>
      </c>
    </row>
    <row r="79" spans="1:23" x14ac:dyDescent="0.2">
      <c r="A79" t="s">
        <v>416</v>
      </c>
      <c r="B79" t="s">
        <v>37</v>
      </c>
      <c r="C79" t="s">
        <v>614</v>
      </c>
      <c r="D79" t="s">
        <v>700</v>
      </c>
      <c r="E79" t="s">
        <v>701</v>
      </c>
      <c r="F79" s="4" t="s">
        <v>28</v>
      </c>
      <c r="G79" s="4">
        <v>0.6</v>
      </c>
      <c r="H79" s="4" t="s">
        <v>22</v>
      </c>
      <c r="I79" s="4">
        <v>0.4</v>
      </c>
      <c r="J79" t="s">
        <v>768</v>
      </c>
      <c r="K79" t="s">
        <v>769</v>
      </c>
      <c r="L79" t="s">
        <v>46</v>
      </c>
      <c r="M79" s="6">
        <v>1.5</v>
      </c>
      <c r="N79" s="6">
        <v>0.5</v>
      </c>
      <c r="P79" t="s">
        <v>219</v>
      </c>
      <c r="Q79">
        <v>2</v>
      </c>
      <c r="R79" t="s">
        <v>417</v>
      </c>
      <c r="S79" t="s">
        <v>418</v>
      </c>
      <c r="V79">
        <v>0.95</v>
      </c>
      <c r="W79" t="s">
        <v>527</v>
      </c>
    </row>
    <row r="80" spans="1:23" x14ac:dyDescent="0.2">
      <c r="A80" t="s">
        <v>417</v>
      </c>
      <c r="B80" t="s">
        <v>39</v>
      </c>
      <c r="C80" t="s">
        <v>614</v>
      </c>
      <c r="D80" t="s">
        <v>772</v>
      </c>
      <c r="E80" t="s">
        <v>773</v>
      </c>
      <c r="F80" s="4" t="s">
        <v>20</v>
      </c>
      <c r="G80" s="4">
        <v>0.5</v>
      </c>
      <c r="H80" s="4" t="s">
        <v>28</v>
      </c>
      <c r="I80" s="4">
        <v>0.5</v>
      </c>
      <c r="J80" t="s">
        <v>770</v>
      </c>
      <c r="K80" t="s">
        <v>771</v>
      </c>
      <c r="L80" t="s">
        <v>46</v>
      </c>
      <c r="M80" s="6">
        <v>1</v>
      </c>
      <c r="P80" t="s">
        <v>223</v>
      </c>
      <c r="T80" t="s">
        <v>419</v>
      </c>
      <c r="V80">
        <v>8.5000000000000006E-2</v>
      </c>
      <c r="W80" t="s">
        <v>537</v>
      </c>
    </row>
    <row r="81" spans="1:23" x14ac:dyDescent="0.2">
      <c r="A81" t="s">
        <v>418</v>
      </c>
      <c r="B81" t="s">
        <v>39</v>
      </c>
      <c r="C81" t="s">
        <v>614</v>
      </c>
      <c r="D81" t="s">
        <v>700</v>
      </c>
      <c r="E81" t="s">
        <v>701</v>
      </c>
      <c r="F81" s="4" t="s">
        <v>22</v>
      </c>
      <c r="G81" s="4">
        <v>1</v>
      </c>
      <c r="J81" t="s">
        <v>774</v>
      </c>
      <c r="K81" t="s">
        <v>775</v>
      </c>
      <c r="L81" t="s">
        <v>48</v>
      </c>
      <c r="M81" s="6">
        <v>1.4</v>
      </c>
      <c r="N81" s="6">
        <v>0.5</v>
      </c>
      <c r="P81" t="s">
        <v>226</v>
      </c>
      <c r="V81">
        <v>0.95</v>
      </c>
      <c r="W81" t="s">
        <v>527</v>
      </c>
    </row>
    <row r="82" spans="1:23" x14ac:dyDescent="0.2">
      <c r="A82" t="s">
        <v>419</v>
      </c>
      <c r="B82" t="s">
        <v>37</v>
      </c>
      <c r="C82" t="s">
        <v>521</v>
      </c>
      <c r="D82" t="s">
        <v>535</v>
      </c>
      <c r="E82" t="s">
        <v>779</v>
      </c>
      <c r="F82" s="4" t="s">
        <v>30</v>
      </c>
      <c r="G82" s="4">
        <v>0.6</v>
      </c>
      <c r="H82" s="4" t="s">
        <v>20</v>
      </c>
      <c r="I82" s="4">
        <v>0.4</v>
      </c>
      <c r="J82" t="s">
        <v>777</v>
      </c>
      <c r="K82" t="s">
        <v>778</v>
      </c>
      <c r="L82" t="s">
        <v>48</v>
      </c>
      <c r="M82" s="6">
        <v>1.5</v>
      </c>
      <c r="N82" s="6">
        <v>0.5</v>
      </c>
      <c r="P82" t="s">
        <v>219</v>
      </c>
      <c r="Q82">
        <v>2</v>
      </c>
      <c r="R82" t="s">
        <v>420</v>
      </c>
      <c r="S82" t="s">
        <v>421</v>
      </c>
      <c r="V82">
        <v>0.191</v>
      </c>
      <c r="W82" t="s">
        <v>537</v>
      </c>
    </row>
    <row r="83" spans="1:23" x14ac:dyDescent="0.2">
      <c r="A83" t="s">
        <v>420</v>
      </c>
      <c r="B83" t="s">
        <v>39</v>
      </c>
      <c r="C83" t="s">
        <v>521</v>
      </c>
      <c r="D83" t="s">
        <v>566</v>
      </c>
      <c r="E83" t="s">
        <v>567</v>
      </c>
      <c r="F83" s="4" t="s">
        <v>20</v>
      </c>
      <c r="G83" s="4">
        <v>1</v>
      </c>
      <c r="J83" t="s">
        <v>780</v>
      </c>
      <c r="K83" t="s">
        <v>781</v>
      </c>
      <c r="L83" t="s">
        <v>48</v>
      </c>
      <c r="M83" s="6">
        <v>1</v>
      </c>
      <c r="P83" t="s">
        <v>223</v>
      </c>
      <c r="T83" t="s">
        <v>422</v>
      </c>
      <c r="V83">
        <v>6.8000000000000005E-2</v>
      </c>
      <c r="W83" t="s">
        <v>537</v>
      </c>
    </row>
    <row r="84" spans="1:23" x14ac:dyDescent="0.2">
      <c r="A84" t="s">
        <v>421</v>
      </c>
      <c r="B84" t="s">
        <v>39</v>
      </c>
      <c r="C84" t="s">
        <v>570</v>
      </c>
      <c r="D84" t="s">
        <v>571</v>
      </c>
      <c r="E84" t="s">
        <v>604</v>
      </c>
      <c r="F84" s="4" t="s">
        <v>30</v>
      </c>
      <c r="G84" s="4">
        <v>1</v>
      </c>
      <c r="J84" t="s">
        <v>782</v>
      </c>
      <c r="K84" t="s">
        <v>783</v>
      </c>
      <c r="L84" t="s">
        <v>52</v>
      </c>
      <c r="M84" s="6">
        <v>1.3</v>
      </c>
      <c r="N84" s="6">
        <v>0.5</v>
      </c>
      <c r="P84" t="s">
        <v>226</v>
      </c>
      <c r="V84">
        <v>0.95</v>
      </c>
      <c r="W84" t="s">
        <v>527</v>
      </c>
    </row>
    <row r="85" spans="1:23" x14ac:dyDescent="0.2">
      <c r="A85" t="s">
        <v>422</v>
      </c>
      <c r="B85" t="s">
        <v>37</v>
      </c>
      <c r="C85" t="s">
        <v>550</v>
      </c>
      <c r="D85" t="s">
        <v>551</v>
      </c>
      <c r="E85" t="s">
        <v>619</v>
      </c>
      <c r="F85" s="4" t="s">
        <v>22</v>
      </c>
      <c r="G85" s="4">
        <v>0.6</v>
      </c>
      <c r="H85" s="4" t="s">
        <v>30</v>
      </c>
      <c r="I85" s="4">
        <v>0.4</v>
      </c>
      <c r="J85" t="s">
        <v>785</v>
      </c>
      <c r="K85" t="s">
        <v>786</v>
      </c>
      <c r="L85" t="s">
        <v>48</v>
      </c>
      <c r="M85" s="6">
        <v>1.5</v>
      </c>
      <c r="N85" s="6">
        <v>0.5</v>
      </c>
      <c r="P85" t="s">
        <v>219</v>
      </c>
      <c r="Q85">
        <v>2</v>
      </c>
      <c r="R85" t="s">
        <v>423</v>
      </c>
      <c r="S85" t="s">
        <v>424</v>
      </c>
      <c r="V85">
        <v>0.95</v>
      </c>
      <c r="W85" t="s">
        <v>527</v>
      </c>
    </row>
    <row r="86" spans="1:23" x14ac:dyDescent="0.2">
      <c r="A86" t="s">
        <v>423</v>
      </c>
      <c r="B86" t="s">
        <v>39</v>
      </c>
      <c r="C86" t="s">
        <v>561</v>
      </c>
      <c r="D86" t="s">
        <v>562</v>
      </c>
      <c r="E86" t="s">
        <v>762</v>
      </c>
      <c r="F86" s="4" t="s">
        <v>20</v>
      </c>
      <c r="G86" s="4">
        <v>1</v>
      </c>
      <c r="J86" t="s">
        <v>787</v>
      </c>
      <c r="K86" t="s">
        <v>788</v>
      </c>
      <c r="L86" t="s">
        <v>48</v>
      </c>
      <c r="M86" s="6">
        <v>1</v>
      </c>
      <c r="P86" t="s">
        <v>223</v>
      </c>
      <c r="T86" t="s">
        <v>425</v>
      </c>
      <c r="V86">
        <v>0.95</v>
      </c>
      <c r="W86" t="s">
        <v>527</v>
      </c>
    </row>
    <row r="87" spans="1:23" x14ac:dyDescent="0.2">
      <c r="A87" t="s">
        <v>424</v>
      </c>
      <c r="B87" t="s">
        <v>39</v>
      </c>
      <c r="C87" t="s">
        <v>561</v>
      </c>
      <c r="D87" t="s">
        <v>562</v>
      </c>
      <c r="E87" t="s">
        <v>762</v>
      </c>
      <c r="F87" s="4" t="s">
        <v>22</v>
      </c>
      <c r="G87" s="4">
        <v>0.7</v>
      </c>
      <c r="H87" s="4" t="s">
        <v>32</v>
      </c>
      <c r="I87" s="4">
        <v>0.3</v>
      </c>
      <c r="J87" t="s">
        <v>789</v>
      </c>
      <c r="K87" t="s">
        <v>790</v>
      </c>
      <c r="L87" t="s">
        <v>48</v>
      </c>
      <c r="M87" s="6">
        <v>1</v>
      </c>
      <c r="P87" t="s">
        <v>226</v>
      </c>
      <c r="V87">
        <v>0.95</v>
      </c>
      <c r="W87" t="s">
        <v>527</v>
      </c>
    </row>
    <row r="88" spans="1:23" x14ac:dyDescent="0.2">
      <c r="A88" t="s">
        <v>425</v>
      </c>
      <c r="B88" t="s">
        <v>37</v>
      </c>
      <c r="C88" t="s">
        <v>561</v>
      </c>
      <c r="D88" t="s">
        <v>587</v>
      </c>
      <c r="E88" t="s">
        <v>591</v>
      </c>
      <c r="F88" s="4" t="s">
        <v>30</v>
      </c>
      <c r="G88" s="4">
        <v>0.5</v>
      </c>
      <c r="H88" s="4" t="s">
        <v>24</v>
      </c>
      <c r="I88" s="4">
        <v>0.5</v>
      </c>
      <c r="J88" t="s">
        <v>792</v>
      </c>
      <c r="K88" t="s">
        <v>793</v>
      </c>
      <c r="L88" t="s">
        <v>52</v>
      </c>
      <c r="M88" s="6">
        <v>1.5</v>
      </c>
      <c r="N88" s="6">
        <v>0.5</v>
      </c>
      <c r="P88" t="s">
        <v>219</v>
      </c>
      <c r="Q88">
        <v>2</v>
      </c>
      <c r="R88" t="s">
        <v>426</v>
      </c>
      <c r="S88" t="s">
        <v>427</v>
      </c>
      <c r="V88">
        <v>0.95</v>
      </c>
      <c r="W88" t="s">
        <v>527</v>
      </c>
    </row>
    <row r="89" spans="1:23" x14ac:dyDescent="0.2">
      <c r="A89" t="s">
        <v>426</v>
      </c>
      <c r="B89" t="s">
        <v>39</v>
      </c>
      <c r="C89" t="s">
        <v>561</v>
      </c>
      <c r="D89" t="s">
        <v>587</v>
      </c>
      <c r="E89" t="s">
        <v>591</v>
      </c>
      <c r="F89" s="4" t="s">
        <v>20</v>
      </c>
      <c r="G89" s="4">
        <v>1</v>
      </c>
      <c r="J89" t="s">
        <v>794</v>
      </c>
      <c r="K89" t="s">
        <v>795</v>
      </c>
      <c r="L89" t="s">
        <v>48</v>
      </c>
      <c r="M89" s="6">
        <v>1</v>
      </c>
      <c r="P89" t="s">
        <v>223</v>
      </c>
      <c r="T89" t="s">
        <v>428</v>
      </c>
      <c r="V89">
        <v>9.8000000000000004E-2</v>
      </c>
      <c r="W89" t="s">
        <v>537</v>
      </c>
    </row>
    <row r="90" spans="1:23" x14ac:dyDescent="0.2">
      <c r="A90" t="s">
        <v>427</v>
      </c>
      <c r="B90" t="s">
        <v>41</v>
      </c>
      <c r="C90" t="s">
        <v>614</v>
      </c>
      <c r="D90" t="s">
        <v>772</v>
      </c>
      <c r="E90" t="s">
        <v>798</v>
      </c>
      <c r="F90" s="4" t="s">
        <v>22</v>
      </c>
      <c r="G90" s="4">
        <v>0.5</v>
      </c>
      <c r="H90" s="4" t="s">
        <v>24</v>
      </c>
      <c r="I90" s="4">
        <v>0.5</v>
      </c>
      <c r="J90" t="s">
        <v>796</v>
      </c>
      <c r="K90" t="s">
        <v>797</v>
      </c>
      <c r="L90" t="s">
        <v>52</v>
      </c>
      <c r="M90" s="6">
        <v>1.3</v>
      </c>
      <c r="N90" s="6">
        <v>0.5</v>
      </c>
      <c r="P90" t="s">
        <v>667</v>
      </c>
      <c r="V90">
        <v>0.13600000000000001</v>
      </c>
      <c r="W90" t="s">
        <v>537</v>
      </c>
    </row>
    <row r="91" spans="1:23" x14ac:dyDescent="0.2">
      <c r="A91" t="s">
        <v>428</v>
      </c>
      <c r="B91" t="s">
        <v>37</v>
      </c>
      <c r="C91" t="s">
        <v>614</v>
      </c>
      <c r="D91" t="s">
        <v>772</v>
      </c>
      <c r="E91" t="s">
        <v>773</v>
      </c>
      <c r="F91" s="4" t="s">
        <v>28</v>
      </c>
      <c r="G91" s="4">
        <v>0.6</v>
      </c>
      <c r="H91" s="4" t="s">
        <v>22</v>
      </c>
      <c r="I91" s="4">
        <v>0.4</v>
      </c>
      <c r="J91" t="s">
        <v>800</v>
      </c>
      <c r="K91" t="s">
        <v>801</v>
      </c>
      <c r="L91" t="s">
        <v>46</v>
      </c>
      <c r="M91" s="6">
        <v>1.3</v>
      </c>
      <c r="N91" s="6">
        <v>0.5</v>
      </c>
      <c r="P91" t="s">
        <v>219</v>
      </c>
      <c r="Q91">
        <v>2</v>
      </c>
      <c r="R91" t="s">
        <v>429</v>
      </c>
      <c r="S91" t="s">
        <v>430</v>
      </c>
      <c r="V91">
        <v>8.5000000000000006E-2</v>
      </c>
      <c r="W91" t="s">
        <v>537</v>
      </c>
    </row>
    <row r="92" spans="1:23" x14ac:dyDescent="0.2">
      <c r="A92" t="s">
        <v>429</v>
      </c>
      <c r="B92" t="s">
        <v>39</v>
      </c>
      <c r="C92" t="s">
        <v>550</v>
      </c>
      <c r="D92" t="s">
        <v>551</v>
      </c>
      <c r="E92" t="s">
        <v>721</v>
      </c>
      <c r="F92" s="4" t="s">
        <v>20</v>
      </c>
      <c r="G92" s="4">
        <v>1</v>
      </c>
      <c r="J92" t="s">
        <v>802</v>
      </c>
      <c r="K92" t="s">
        <v>803</v>
      </c>
      <c r="L92" t="s">
        <v>48</v>
      </c>
      <c r="M92" s="6">
        <v>1.2</v>
      </c>
      <c r="N92" s="6">
        <v>0.5</v>
      </c>
      <c r="P92" t="s">
        <v>223</v>
      </c>
      <c r="T92" t="s">
        <v>431</v>
      </c>
      <c r="V92">
        <v>0.95</v>
      </c>
      <c r="W92" t="s">
        <v>527</v>
      </c>
    </row>
    <row r="93" spans="1:23" x14ac:dyDescent="0.2">
      <c r="A93" t="s">
        <v>430</v>
      </c>
      <c r="B93" t="s">
        <v>41</v>
      </c>
      <c r="C93" t="s">
        <v>561</v>
      </c>
      <c r="D93" t="s">
        <v>587</v>
      </c>
      <c r="E93" t="s">
        <v>591</v>
      </c>
      <c r="F93" s="4" t="s">
        <v>22</v>
      </c>
      <c r="G93" s="4">
        <v>0.5</v>
      </c>
      <c r="H93" s="4" t="s">
        <v>30</v>
      </c>
      <c r="I93" s="4">
        <v>0.5</v>
      </c>
      <c r="J93" t="s">
        <v>804</v>
      </c>
      <c r="K93" t="s">
        <v>805</v>
      </c>
      <c r="L93" t="s">
        <v>48</v>
      </c>
      <c r="M93" s="6">
        <v>1</v>
      </c>
      <c r="P93" t="s">
        <v>667</v>
      </c>
      <c r="V93">
        <v>0.17100000000000001</v>
      </c>
      <c r="W93" t="s">
        <v>537</v>
      </c>
    </row>
    <row r="94" spans="1:23" x14ac:dyDescent="0.2">
      <c r="A94" t="s">
        <v>431</v>
      </c>
      <c r="B94" t="s">
        <v>37</v>
      </c>
      <c r="C94" t="s">
        <v>749</v>
      </c>
      <c r="D94" t="s">
        <v>750</v>
      </c>
      <c r="E94" t="s">
        <v>751</v>
      </c>
      <c r="F94" s="4" t="s">
        <v>20</v>
      </c>
      <c r="G94" s="4">
        <v>0.5</v>
      </c>
      <c r="H94" s="4" t="s">
        <v>30</v>
      </c>
      <c r="I94" s="4">
        <v>0.5</v>
      </c>
      <c r="J94" t="s">
        <v>807</v>
      </c>
      <c r="K94" t="s">
        <v>808</v>
      </c>
      <c r="L94" t="s">
        <v>48</v>
      </c>
      <c r="M94" s="6">
        <v>1</v>
      </c>
      <c r="P94" t="s">
        <v>219</v>
      </c>
      <c r="Q94">
        <v>2</v>
      </c>
      <c r="R94" t="s">
        <v>432</v>
      </c>
      <c r="S94" t="s">
        <v>433</v>
      </c>
      <c r="V94">
        <v>8.3000000000000004E-2</v>
      </c>
      <c r="W94" t="s">
        <v>537</v>
      </c>
    </row>
    <row r="95" spans="1:23" x14ac:dyDescent="0.2">
      <c r="A95" t="s">
        <v>432</v>
      </c>
      <c r="B95" t="s">
        <v>39</v>
      </c>
      <c r="C95" t="s">
        <v>570</v>
      </c>
      <c r="D95" t="s">
        <v>571</v>
      </c>
      <c r="E95" t="s">
        <v>604</v>
      </c>
      <c r="F95" s="4" t="s">
        <v>20</v>
      </c>
      <c r="G95" s="4">
        <v>1</v>
      </c>
      <c r="J95" t="s">
        <v>809</v>
      </c>
      <c r="K95" t="s">
        <v>810</v>
      </c>
      <c r="L95" t="s">
        <v>48</v>
      </c>
      <c r="M95" s="6">
        <v>1</v>
      </c>
      <c r="P95" t="s">
        <v>230</v>
      </c>
      <c r="U95" s="6" t="s">
        <v>218</v>
      </c>
      <c r="V95">
        <v>8.3000000000000004E-2</v>
      </c>
      <c r="W95" t="s">
        <v>537</v>
      </c>
    </row>
    <row r="96" spans="1:23" x14ac:dyDescent="0.2">
      <c r="A96" t="s">
        <v>433</v>
      </c>
      <c r="B96" t="s">
        <v>41</v>
      </c>
      <c r="C96" t="s">
        <v>599</v>
      </c>
      <c r="D96" t="s">
        <v>640</v>
      </c>
      <c r="E96" t="s">
        <v>813</v>
      </c>
      <c r="F96" s="4" t="s">
        <v>22</v>
      </c>
      <c r="G96" s="4">
        <v>0.5</v>
      </c>
      <c r="H96" s="4" t="s">
        <v>20</v>
      </c>
      <c r="I96" s="4">
        <v>0.5</v>
      </c>
      <c r="J96" t="s">
        <v>811</v>
      </c>
      <c r="K96" t="s">
        <v>812</v>
      </c>
      <c r="L96" t="s">
        <v>48</v>
      </c>
      <c r="M96" s="6">
        <v>1.2</v>
      </c>
      <c r="P96" t="s">
        <v>667</v>
      </c>
      <c r="V96">
        <v>0.95</v>
      </c>
      <c r="W96" t="s">
        <v>527</v>
      </c>
    </row>
    <row r="97" spans="1:23" x14ac:dyDescent="0.2">
      <c r="A97" t="s">
        <v>814</v>
      </c>
      <c r="B97" t="s">
        <v>41</v>
      </c>
      <c r="C97" t="s">
        <v>550</v>
      </c>
      <c r="D97" t="s">
        <v>551</v>
      </c>
      <c r="E97" t="s">
        <v>619</v>
      </c>
      <c r="F97" s="4" t="s">
        <v>22</v>
      </c>
      <c r="G97" s="4">
        <v>0.6</v>
      </c>
      <c r="H97" s="4" t="s">
        <v>28</v>
      </c>
      <c r="I97" s="4">
        <v>0.4</v>
      </c>
      <c r="J97" t="s">
        <v>815</v>
      </c>
      <c r="K97" t="s">
        <v>816</v>
      </c>
      <c r="L97" t="s">
        <v>48</v>
      </c>
      <c r="M97" s="6">
        <v>1.5</v>
      </c>
      <c r="N97" s="6">
        <v>0.5</v>
      </c>
      <c r="P97" t="s">
        <v>817</v>
      </c>
      <c r="V97">
        <v>0.95</v>
      </c>
      <c r="W97" t="s">
        <v>527</v>
      </c>
    </row>
    <row r="98" spans="1:23" x14ac:dyDescent="0.2">
      <c r="A98" t="s">
        <v>818</v>
      </c>
      <c r="B98" t="s">
        <v>227</v>
      </c>
      <c r="C98" t="s">
        <v>570</v>
      </c>
      <c r="D98" t="s">
        <v>594</v>
      </c>
      <c r="E98" t="s">
        <v>595</v>
      </c>
      <c r="F98" s="4" t="s">
        <v>24</v>
      </c>
      <c r="G98" s="4">
        <v>0.5</v>
      </c>
      <c r="H98" s="4" t="s">
        <v>22</v>
      </c>
      <c r="I98" s="4">
        <v>0.5</v>
      </c>
      <c r="J98" t="s">
        <v>819</v>
      </c>
      <c r="K98" t="s">
        <v>820</v>
      </c>
      <c r="L98" t="s">
        <v>52</v>
      </c>
      <c r="M98" s="6">
        <v>1.5</v>
      </c>
      <c r="N98" s="6">
        <v>0.5</v>
      </c>
      <c r="P98" t="s">
        <v>817</v>
      </c>
      <c r="V98">
        <v>0.95</v>
      </c>
      <c r="W98" t="s">
        <v>527</v>
      </c>
    </row>
    <row r="99" spans="1:23" x14ac:dyDescent="0.2">
      <c r="A99" t="s">
        <v>821</v>
      </c>
      <c r="B99" t="s">
        <v>41</v>
      </c>
      <c r="C99" t="s">
        <v>570</v>
      </c>
      <c r="D99" t="s">
        <v>571</v>
      </c>
      <c r="E99" t="s">
        <v>572</v>
      </c>
      <c r="F99" s="4" t="s">
        <v>20</v>
      </c>
      <c r="G99" s="4">
        <v>0.6</v>
      </c>
      <c r="H99" s="4" t="s">
        <v>22</v>
      </c>
      <c r="I99" s="4">
        <v>0.4</v>
      </c>
      <c r="J99" t="s">
        <v>822</v>
      </c>
      <c r="K99" t="s">
        <v>823</v>
      </c>
      <c r="L99" t="s">
        <v>48</v>
      </c>
      <c r="M99" s="6">
        <v>1</v>
      </c>
      <c r="P99" t="s">
        <v>817</v>
      </c>
      <c r="V99">
        <v>0.104</v>
      </c>
      <c r="W99" t="s">
        <v>537</v>
      </c>
    </row>
    <row r="100" spans="1:23" x14ac:dyDescent="0.2">
      <c r="A100" t="s">
        <v>824</v>
      </c>
      <c r="B100" t="s">
        <v>41</v>
      </c>
      <c r="C100" t="s">
        <v>614</v>
      </c>
      <c r="D100" t="s">
        <v>700</v>
      </c>
      <c r="E100" t="s">
        <v>827</v>
      </c>
      <c r="F100" s="4" t="s">
        <v>28</v>
      </c>
      <c r="G100" s="4">
        <v>0.6</v>
      </c>
      <c r="H100" s="4" t="s">
        <v>22</v>
      </c>
      <c r="I100" s="4">
        <v>0.4</v>
      </c>
      <c r="J100" t="s">
        <v>825</v>
      </c>
      <c r="K100" t="s">
        <v>826</v>
      </c>
      <c r="L100" t="s">
        <v>48</v>
      </c>
      <c r="M100" s="6">
        <v>1.5</v>
      </c>
      <c r="N100" s="6">
        <v>0.5</v>
      </c>
      <c r="P100" t="s">
        <v>817</v>
      </c>
      <c r="V100">
        <v>8.2000000000000003E-2</v>
      </c>
      <c r="W100" t="s">
        <v>537</v>
      </c>
    </row>
    <row r="101" spans="1:23" x14ac:dyDescent="0.2">
      <c r="A101" t="s">
        <v>828</v>
      </c>
      <c r="B101" t="s">
        <v>227</v>
      </c>
      <c r="C101" t="s">
        <v>614</v>
      </c>
      <c r="D101" t="s">
        <v>700</v>
      </c>
      <c r="E101" t="s">
        <v>701</v>
      </c>
      <c r="F101" s="4" t="s">
        <v>22</v>
      </c>
      <c r="G101" s="4">
        <v>0.6</v>
      </c>
      <c r="H101" s="4" t="s">
        <v>28</v>
      </c>
      <c r="I101" s="4">
        <v>0.4</v>
      </c>
      <c r="J101" t="s">
        <v>829</v>
      </c>
      <c r="K101" t="s">
        <v>830</v>
      </c>
      <c r="L101" t="s">
        <v>48</v>
      </c>
      <c r="M101" s="6">
        <v>1</v>
      </c>
      <c r="P101" t="s">
        <v>817</v>
      </c>
      <c r="V101">
        <v>0.95</v>
      </c>
      <c r="W101" t="s">
        <v>527</v>
      </c>
    </row>
    <row r="102" spans="1:23" x14ac:dyDescent="0.2">
      <c r="A102" t="s">
        <v>831</v>
      </c>
      <c r="B102" t="s">
        <v>41</v>
      </c>
      <c r="C102" t="s">
        <v>530</v>
      </c>
      <c r="D102" t="s">
        <v>531</v>
      </c>
      <c r="E102" t="s">
        <v>532</v>
      </c>
      <c r="F102" s="4" t="s">
        <v>20</v>
      </c>
      <c r="G102" s="4">
        <v>0.6</v>
      </c>
      <c r="H102" s="4" t="s">
        <v>34</v>
      </c>
      <c r="I102" s="4">
        <v>0.4</v>
      </c>
      <c r="J102" t="s">
        <v>832</v>
      </c>
      <c r="K102" t="s">
        <v>833</v>
      </c>
      <c r="L102" t="s">
        <v>48</v>
      </c>
      <c r="M102" s="6">
        <v>1</v>
      </c>
      <c r="P102" t="s">
        <v>817</v>
      </c>
      <c r="V102">
        <v>0.95</v>
      </c>
      <c r="W102" t="s">
        <v>527</v>
      </c>
    </row>
    <row r="103" spans="1:23" x14ac:dyDescent="0.2">
      <c r="A103" t="s">
        <v>834</v>
      </c>
      <c r="B103" t="s">
        <v>41</v>
      </c>
      <c r="C103" t="s">
        <v>561</v>
      </c>
      <c r="D103" t="s">
        <v>562</v>
      </c>
      <c r="E103" t="s">
        <v>762</v>
      </c>
      <c r="F103" s="4" t="s">
        <v>30</v>
      </c>
      <c r="G103" s="4">
        <v>0.6</v>
      </c>
      <c r="H103" s="4" t="s">
        <v>22</v>
      </c>
      <c r="I103" s="4">
        <v>0.4</v>
      </c>
      <c r="J103" t="s">
        <v>835</v>
      </c>
      <c r="K103" t="s">
        <v>836</v>
      </c>
      <c r="L103" t="s">
        <v>48</v>
      </c>
      <c r="M103" s="6">
        <v>1.5</v>
      </c>
      <c r="N103" s="6">
        <v>0.5</v>
      </c>
      <c r="P103" t="s">
        <v>817</v>
      </c>
      <c r="V103">
        <v>0.95</v>
      </c>
      <c r="W103" t="s">
        <v>527</v>
      </c>
    </row>
    <row r="104" spans="1:23" x14ac:dyDescent="0.2">
      <c r="A104" t="s">
        <v>837</v>
      </c>
      <c r="B104" t="s">
        <v>227</v>
      </c>
      <c r="C104" t="s">
        <v>570</v>
      </c>
      <c r="D104" t="s">
        <v>607</v>
      </c>
      <c r="E104" t="s">
        <v>687</v>
      </c>
      <c r="F104" s="4" t="s">
        <v>24</v>
      </c>
      <c r="G104" s="4">
        <v>0.6</v>
      </c>
      <c r="H104" s="4" t="s">
        <v>30</v>
      </c>
      <c r="I104" s="4">
        <v>0.4</v>
      </c>
      <c r="J104" t="s">
        <v>838</v>
      </c>
      <c r="K104" t="s">
        <v>839</v>
      </c>
      <c r="L104" t="s">
        <v>52</v>
      </c>
      <c r="M104" s="6">
        <v>1</v>
      </c>
      <c r="P104" t="s">
        <v>817</v>
      </c>
      <c r="V104">
        <v>0.95</v>
      </c>
      <c r="W104" t="s">
        <v>527</v>
      </c>
    </row>
    <row r="105" spans="1:23" x14ac:dyDescent="0.2">
      <c r="A105" t="s">
        <v>840</v>
      </c>
      <c r="B105" t="s">
        <v>41</v>
      </c>
      <c r="C105" t="s">
        <v>561</v>
      </c>
      <c r="D105" t="s">
        <v>562</v>
      </c>
      <c r="E105" t="s">
        <v>762</v>
      </c>
      <c r="F105" s="4" t="s">
        <v>32</v>
      </c>
      <c r="G105" s="4">
        <v>0.5</v>
      </c>
      <c r="H105" s="4" t="s">
        <v>30</v>
      </c>
      <c r="I105" s="4">
        <v>0.5</v>
      </c>
      <c r="J105" t="s">
        <v>841</v>
      </c>
      <c r="K105" t="s">
        <v>842</v>
      </c>
      <c r="L105" t="s">
        <v>48</v>
      </c>
      <c r="M105" s="6">
        <v>1</v>
      </c>
      <c r="P105" t="s">
        <v>817</v>
      </c>
      <c r="V105">
        <v>0.95</v>
      </c>
      <c r="W105" t="s">
        <v>527</v>
      </c>
    </row>
    <row r="106" spans="1:23" x14ac:dyDescent="0.2">
      <c r="A106" t="s">
        <v>843</v>
      </c>
      <c r="B106" t="s">
        <v>41</v>
      </c>
      <c r="C106" t="s">
        <v>599</v>
      </c>
      <c r="D106" t="s">
        <v>640</v>
      </c>
      <c r="E106" t="s">
        <v>641</v>
      </c>
      <c r="F106" s="4" t="s">
        <v>20</v>
      </c>
      <c r="G106" s="4">
        <v>0.5</v>
      </c>
      <c r="H106" s="4" t="s">
        <v>22</v>
      </c>
      <c r="I106" s="4">
        <v>0.5</v>
      </c>
      <c r="J106" t="s">
        <v>844</v>
      </c>
      <c r="K106" t="s">
        <v>845</v>
      </c>
      <c r="L106" t="s">
        <v>48</v>
      </c>
      <c r="M106" s="6">
        <v>1.5</v>
      </c>
      <c r="N106" s="6">
        <v>0.5</v>
      </c>
      <c r="P106" t="s">
        <v>817</v>
      </c>
      <c r="V106">
        <v>0.95</v>
      </c>
      <c r="W106" t="s">
        <v>527</v>
      </c>
    </row>
    <row r="107" spans="1:23" x14ac:dyDescent="0.2">
      <c r="A107" t="s">
        <v>846</v>
      </c>
      <c r="B107" t="s">
        <v>227</v>
      </c>
      <c r="C107" t="s">
        <v>749</v>
      </c>
      <c r="D107" t="s">
        <v>750</v>
      </c>
      <c r="E107" t="s">
        <v>751</v>
      </c>
      <c r="F107" s="4" t="s">
        <v>20</v>
      </c>
      <c r="G107" s="4">
        <v>0.7</v>
      </c>
      <c r="H107" s="4" t="s">
        <v>30</v>
      </c>
      <c r="I107" s="4">
        <v>0.3</v>
      </c>
      <c r="J107" t="s">
        <v>847</v>
      </c>
      <c r="K107" t="s">
        <v>848</v>
      </c>
      <c r="L107" t="s">
        <v>48</v>
      </c>
      <c r="M107" s="6">
        <v>1</v>
      </c>
      <c r="P107" t="s">
        <v>817</v>
      </c>
      <c r="V107">
        <v>0.13500000000000001</v>
      </c>
      <c r="W107" t="s">
        <v>537</v>
      </c>
    </row>
    <row r="108" spans="1:23" x14ac:dyDescent="0.2">
      <c r="A108" t="s">
        <v>849</v>
      </c>
      <c r="B108" t="s">
        <v>41</v>
      </c>
      <c r="C108" t="s">
        <v>550</v>
      </c>
      <c r="D108" t="s">
        <v>551</v>
      </c>
      <c r="E108" t="s">
        <v>552</v>
      </c>
      <c r="F108" s="4" t="s">
        <v>32</v>
      </c>
      <c r="G108" s="4">
        <v>0.5</v>
      </c>
      <c r="H108" s="4" t="s">
        <v>22</v>
      </c>
      <c r="I108" s="4">
        <v>0.5</v>
      </c>
      <c r="J108" t="s">
        <v>850</v>
      </c>
      <c r="K108" t="s">
        <v>851</v>
      </c>
      <c r="L108" t="s">
        <v>48</v>
      </c>
      <c r="M108" s="6">
        <v>1</v>
      </c>
      <c r="P108" t="s">
        <v>817</v>
      </c>
      <c r="V108">
        <v>0.95</v>
      </c>
      <c r="W108" t="s">
        <v>527</v>
      </c>
    </row>
    <row r="109" spans="1:23" x14ac:dyDescent="0.2">
      <c r="A109" t="s">
        <v>852</v>
      </c>
      <c r="B109" t="s">
        <v>41</v>
      </c>
      <c r="C109" t="s">
        <v>550</v>
      </c>
      <c r="D109" t="s">
        <v>551</v>
      </c>
      <c r="E109" t="s">
        <v>552</v>
      </c>
      <c r="F109" s="4" t="s">
        <v>28</v>
      </c>
      <c r="G109" s="4">
        <v>0.5</v>
      </c>
      <c r="H109" s="4" t="s">
        <v>22</v>
      </c>
      <c r="I109" s="4">
        <v>0.5</v>
      </c>
      <c r="J109" t="s">
        <v>853</v>
      </c>
      <c r="K109" t="s">
        <v>854</v>
      </c>
      <c r="L109" t="s">
        <v>48</v>
      </c>
      <c r="M109" s="6">
        <v>1</v>
      </c>
      <c r="P109" t="s">
        <v>817</v>
      </c>
      <c r="V109">
        <v>0.95</v>
      </c>
      <c r="W109" t="s">
        <v>527</v>
      </c>
    </row>
    <row r="110" spans="1:23" x14ac:dyDescent="0.2">
      <c r="A110" t="s">
        <v>855</v>
      </c>
      <c r="B110" t="s">
        <v>227</v>
      </c>
      <c r="C110" t="s">
        <v>550</v>
      </c>
      <c r="D110" t="s">
        <v>551</v>
      </c>
      <c r="E110" t="s">
        <v>552</v>
      </c>
      <c r="F110" s="4" t="s">
        <v>28</v>
      </c>
      <c r="G110" s="4">
        <v>0.6</v>
      </c>
      <c r="H110" s="4" t="s">
        <v>32</v>
      </c>
      <c r="I110" s="4">
        <v>0.4</v>
      </c>
      <c r="J110" t="s">
        <v>856</v>
      </c>
      <c r="K110" t="s">
        <v>857</v>
      </c>
      <c r="L110" t="s">
        <v>48</v>
      </c>
      <c r="M110" s="6">
        <v>1</v>
      </c>
      <c r="P110" t="s">
        <v>817</v>
      </c>
      <c r="V110">
        <v>0.95</v>
      </c>
      <c r="W110" t="s">
        <v>527</v>
      </c>
    </row>
    <row r="111" spans="1:23" x14ac:dyDescent="0.2">
      <c r="A111" t="s">
        <v>434</v>
      </c>
      <c r="B111" t="s">
        <v>37</v>
      </c>
      <c r="C111" t="s">
        <v>570</v>
      </c>
      <c r="D111" t="s">
        <v>571</v>
      </c>
      <c r="E111" t="s">
        <v>572</v>
      </c>
      <c r="F111" s="4" t="s">
        <v>24</v>
      </c>
      <c r="G111" s="4">
        <v>0.8</v>
      </c>
      <c r="H111" s="4" t="s">
        <v>18</v>
      </c>
      <c r="I111" s="4">
        <v>0.2</v>
      </c>
      <c r="J111" t="s">
        <v>859</v>
      </c>
      <c r="K111" t="s">
        <v>860</v>
      </c>
      <c r="L111" t="s">
        <v>52</v>
      </c>
      <c r="M111" s="6">
        <v>1.5</v>
      </c>
      <c r="N111" s="6">
        <v>0.5</v>
      </c>
      <c r="P111" t="s">
        <v>219</v>
      </c>
      <c r="Q111">
        <v>2</v>
      </c>
      <c r="R111" t="s">
        <v>436</v>
      </c>
      <c r="S111" t="s">
        <v>437</v>
      </c>
      <c r="V111">
        <v>0.106</v>
      </c>
      <c r="W111" t="s">
        <v>537</v>
      </c>
    </row>
    <row r="112" spans="1:23" x14ac:dyDescent="0.2">
      <c r="A112" t="s">
        <v>436</v>
      </c>
      <c r="B112" t="s">
        <v>39</v>
      </c>
      <c r="C112" t="s">
        <v>570</v>
      </c>
      <c r="D112" t="s">
        <v>607</v>
      </c>
      <c r="E112" t="s">
        <v>608</v>
      </c>
      <c r="F112" s="4" t="s">
        <v>24</v>
      </c>
      <c r="G112" s="4">
        <v>0.5</v>
      </c>
      <c r="H112" s="4" t="s">
        <v>26</v>
      </c>
      <c r="I112" s="4">
        <v>0.5</v>
      </c>
      <c r="J112" t="s">
        <v>861</v>
      </c>
      <c r="K112" t="s">
        <v>862</v>
      </c>
      <c r="L112" t="s">
        <v>52</v>
      </c>
      <c r="M112" s="6">
        <v>1</v>
      </c>
      <c r="P112" t="s">
        <v>223</v>
      </c>
      <c r="T112" t="s">
        <v>437</v>
      </c>
      <c r="V112">
        <v>6.5000000000000002E-2</v>
      </c>
      <c r="W112" t="s">
        <v>537</v>
      </c>
    </row>
    <row r="113" spans="1:23" x14ac:dyDescent="0.2">
      <c r="A113" t="s">
        <v>437</v>
      </c>
      <c r="B113" t="s">
        <v>39</v>
      </c>
      <c r="C113" t="s">
        <v>550</v>
      </c>
      <c r="D113" t="s">
        <v>551</v>
      </c>
      <c r="E113" t="s">
        <v>552</v>
      </c>
      <c r="F113" s="4" t="s">
        <v>24</v>
      </c>
      <c r="G113" s="4">
        <v>1</v>
      </c>
      <c r="H113" s="4" t="s">
        <v>522</v>
      </c>
      <c r="J113" t="s">
        <v>863</v>
      </c>
      <c r="K113" t="s">
        <v>864</v>
      </c>
      <c r="L113" t="s">
        <v>52</v>
      </c>
      <c r="M113" s="6">
        <v>1.3</v>
      </c>
      <c r="N113" s="6">
        <v>0.5</v>
      </c>
      <c r="P113" t="s">
        <v>865</v>
      </c>
      <c r="T113" t="s">
        <v>438</v>
      </c>
      <c r="V113">
        <v>0.95</v>
      </c>
      <c r="W113" t="s">
        <v>527</v>
      </c>
    </row>
    <row r="114" spans="1:23" x14ac:dyDescent="0.2">
      <c r="A114" t="s">
        <v>438</v>
      </c>
      <c r="B114" t="s">
        <v>37</v>
      </c>
      <c r="C114" t="s">
        <v>561</v>
      </c>
      <c r="D114" t="s">
        <v>587</v>
      </c>
      <c r="E114" t="s">
        <v>588</v>
      </c>
      <c r="F114" s="4" t="s">
        <v>24</v>
      </c>
      <c r="G114" s="4">
        <v>0.6</v>
      </c>
      <c r="H114" s="4" t="s">
        <v>26</v>
      </c>
      <c r="I114" s="4">
        <v>0.4</v>
      </c>
      <c r="J114" t="s">
        <v>866</v>
      </c>
      <c r="K114" t="s">
        <v>867</v>
      </c>
      <c r="L114" t="s">
        <v>52</v>
      </c>
      <c r="M114" s="6">
        <v>1.2</v>
      </c>
      <c r="N114" s="6">
        <v>0.5</v>
      </c>
      <c r="P114" t="s">
        <v>219</v>
      </c>
      <c r="Q114">
        <v>2</v>
      </c>
      <c r="R114" t="s">
        <v>439</v>
      </c>
      <c r="S114" t="s">
        <v>440</v>
      </c>
      <c r="V114">
        <v>9.8000000000000004E-2</v>
      </c>
      <c r="W114" t="s">
        <v>537</v>
      </c>
    </row>
    <row r="115" spans="1:23" x14ac:dyDescent="0.2">
      <c r="A115" t="s">
        <v>439</v>
      </c>
      <c r="B115" t="s">
        <v>39</v>
      </c>
      <c r="C115" t="s">
        <v>570</v>
      </c>
      <c r="D115" t="s">
        <v>607</v>
      </c>
      <c r="E115" t="s">
        <v>687</v>
      </c>
      <c r="F115" s="4" t="s">
        <v>24</v>
      </c>
      <c r="G115" s="4">
        <v>0.5</v>
      </c>
      <c r="H115" s="4" t="s">
        <v>26</v>
      </c>
      <c r="I115" s="4">
        <v>0.5</v>
      </c>
      <c r="J115" t="s">
        <v>868</v>
      </c>
      <c r="K115" t="s">
        <v>869</v>
      </c>
      <c r="L115" t="s">
        <v>52</v>
      </c>
      <c r="M115" s="6">
        <v>1</v>
      </c>
      <c r="P115" t="s">
        <v>865</v>
      </c>
      <c r="T115" t="s">
        <v>440</v>
      </c>
      <c r="V115">
        <v>0.95</v>
      </c>
      <c r="W115" t="s">
        <v>527</v>
      </c>
    </row>
    <row r="116" spans="1:23" x14ac:dyDescent="0.2">
      <c r="A116" t="s">
        <v>440</v>
      </c>
      <c r="B116" t="s">
        <v>39</v>
      </c>
      <c r="C116" t="s">
        <v>570</v>
      </c>
      <c r="D116" t="s">
        <v>594</v>
      </c>
      <c r="E116" t="s">
        <v>872</v>
      </c>
      <c r="F116" s="4" t="s">
        <v>24</v>
      </c>
      <c r="G116" s="4">
        <v>1</v>
      </c>
      <c r="H116" s="4" t="s">
        <v>522</v>
      </c>
      <c r="J116" t="s">
        <v>870</v>
      </c>
      <c r="K116" t="s">
        <v>871</v>
      </c>
      <c r="L116" t="s">
        <v>52</v>
      </c>
      <c r="M116" s="6">
        <v>1.2</v>
      </c>
      <c r="N116" s="6">
        <v>0.5</v>
      </c>
      <c r="P116" t="s">
        <v>865</v>
      </c>
      <c r="T116" t="s">
        <v>441</v>
      </c>
      <c r="V116">
        <v>0.95</v>
      </c>
      <c r="W116" t="s">
        <v>527</v>
      </c>
    </row>
    <row r="117" spans="1:23" x14ac:dyDescent="0.2">
      <c r="A117" t="s">
        <v>441</v>
      </c>
      <c r="B117" t="s">
        <v>37</v>
      </c>
      <c r="C117" t="s">
        <v>570</v>
      </c>
      <c r="D117" t="s">
        <v>571</v>
      </c>
      <c r="E117" t="s">
        <v>572</v>
      </c>
      <c r="F117" s="4" t="s">
        <v>24</v>
      </c>
      <c r="G117" s="4">
        <v>0.7</v>
      </c>
      <c r="H117" s="4" t="s">
        <v>22</v>
      </c>
      <c r="I117" s="4">
        <v>0.3</v>
      </c>
      <c r="J117" t="s">
        <v>873</v>
      </c>
      <c r="K117" t="s">
        <v>874</v>
      </c>
      <c r="L117" t="s">
        <v>52</v>
      </c>
      <c r="M117" s="6">
        <v>1.4</v>
      </c>
      <c r="N117" s="6">
        <v>0.5</v>
      </c>
      <c r="P117" t="s">
        <v>219</v>
      </c>
      <c r="Q117">
        <v>2</v>
      </c>
      <c r="R117" t="s">
        <v>442</v>
      </c>
      <c r="S117" t="s">
        <v>443</v>
      </c>
      <c r="T117" t="s">
        <v>442</v>
      </c>
      <c r="V117">
        <v>0.95</v>
      </c>
      <c r="W117" t="s">
        <v>527</v>
      </c>
    </row>
    <row r="118" spans="1:23" x14ac:dyDescent="0.2">
      <c r="A118" t="s">
        <v>442</v>
      </c>
      <c r="B118" t="s">
        <v>39</v>
      </c>
      <c r="C118" t="s">
        <v>570</v>
      </c>
      <c r="D118" t="s">
        <v>594</v>
      </c>
      <c r="E118" t="s">
        <v>595</v>
      </c>
      <c r="F118" s="4" t="s">
        <v>24</v>
      </c>
      <c r="G118" s="4">
        <v>1</v>
      </c>
      <c r="H118" s="4" t="s">
        <v>522</v>
      </c>
      <c r="J118" t="s">
        <v>875</v>
      </c>
      <c r="K118" t="s">
        <v>876</v>
      </c>
      <c r="L118" t="s">
        <v>52</v>
      </c>
      <c r="M118" s="6">
        <v>1.2</v>
      </c>
      <c r="P118" t="s">
        <v>865</v>
      </c>
      <c r="T118" t="s">
        <v>443</v>
      </c>
      <c r="V118">
        <v>0.95</v>
      </c>
      <c r="W118" t="s">
        <v>527</v>
      </c>
    </row>
    <row r="119" spans="1:23" x14ac:dyDescent="0.2">
      <c r="A119" t="s">
        <v>443</v>
      </c>
      <c r="B119" t="s">
        <v>37</v>
      </c>
      <c r="C119" t="s">
        <v>561</v>
      </c>
      <c r="D119" t="s">
        <v>587</v>
      </c>
      <c r="E119" t="s">
        <v>727</v>
      </c>
      <c r="F119" s="4" t="s">
        <v>24</v>
      </c>
      <c r="G119" s="4">
        <v>0.8</v>
      </c>
      <c r="H119" s="4" t="s">
        <v>28</v>
      </c>
      <c r="I119" s="4">
        <v>0.2</v>
      </c>
      <c r="J119" t="s">
        <v>877</v>
      </c>
      <c r="K119" t="s">
        <v>878</v>
      </c>
      <c r="L119" t="s">
        <v>52</v>
      </c>
      <c r="M119" s="6">
        <v>1.2</v>
      </c>
      <c r="P119" t="s">
        <v>219</v>
      </c>
      <c r="Q119">
        <v>2</v>
      </c>
      <c r="R119" t="s">
        <v>444</v>
      </c>
      <c r="S119" t="s">
        <v>445</v>
      </c>
      <c r="T119" t="s">
        <v>444</v>
      </c>
      <c r="V119">
        <v>0.95</v>
      </c>
      <c r="W119" t="s">
        <v>527</v>
      </c>
    </row>
    <row r="120" spans="1:23" x14ac:dyDescent="0.2">
      <c r="A120" t="s">
        <v>444</v>
      </c>
      <c r="B120" t="s">
        <v>39</v>
      </c>
      <c r="C120" t="s">
        <v>570</v>
      </c>
      <c r="D120" t="s">
        <v>571</v>
      </c>
      <c r="E120" t="s">
        <v>572</v>
      </c>
      <c r="F120" s="4" t="s">
        <v>24</v>
      </c>
      <c r="G120" s="4">
        <v>1</v>
      </c>
      <c r="H120" s="4" t="s">
        <v>522</v>
      </c>
      <c r="J120" t="s">
        <v>879</v>
      </c>
      <c r="K120" t="s">
        <v>880</v>
      </c>
      <c r="L120" t="s">
        <v>52</v>
      </c>
      <c r="M120" s="6">
        <v>1</v>
      </c>
      <c r="P120" t="s">
        <v>865</v>
      </c>
      <c r="T120" t="s">
        <v>445</v>
      </c>
      <c r="V120">
        <v>0.17499999999999999</v>
      </c>
      <c r="W120" t="s">
        <v>537</v>
      </c>
    </row>
    <row r="121" spans="1:23" x14ac:dyDescent="0.2">
      <c r="A121" t="s">
        <v>445</v>
      </c>
      <c r="B121" t="s">
        <v>37</v>
      </c>
      <c r="C121" t="s">
        <v>561</v>
      </c>
      <c r="D121" t="s">
        <v>587</v>
      </c>
      <c r="E121" t="s">
        <v>591</v>
      </c>
      <c r="F121" s="4" t="s">
        <v>24</v>
      </c>
      <c r="G121" s="4">
        <v>0.5</v>
      </c>
      <c r="H121" s="4" t="s">
        <v>30</v>
      </c>
      <c r="I121" s="4">
        <v>0.5</v>
      </c>
      <c r="J121" t="s">
        <v>882</v>
      </c>
      <c r="K121" t="s">
        <v>883</v>
      </c>
      <c r="L121" t="s">
        <v>52</v>
      </c>
      <c r="M121" s="6">
        <v>1.4</v>
      </c>
      <c r="N121" s="6">
        <v>0.5</v>
      </c>
      <c r="P121" t="s">
        <v>219</v>
      </c>
      <c r="Q121">
        <v>2</v>
      </c>
      <c r="R121" t="s">
        <v>446</v>
      </c>
      <c r="S121" t="s">
        <v>447</v>
      </c>
      <c r="T121" t="s">
        <v>446</v>
      </c>
      <c r="V121">
        <v>9.0999999999999998E-2</v>
      </c>
      <c r="W121" t="s">
        <v>537</v>
      </c>
    </row>
    <row r="122" spans="1:23" x14ac:dyDescent="0.2">
      <c r="A122" t="s">
        <v>446</v>
      </c>
      <c r="B122" t="s">
        <v>39</v>
      </c>
      <c r="C122" t="s">
        <v>561</v>
      </c>
      <c r="D122" t="s">
        <v>587</v>
      </c>
      <c r="E122" t="s">
        <v>591</v>
      </c>
      <c r="F122" s="4" t="s">
        <v>30</v>
      </c>
      <c r="G122" s="4">
        <v>0.5</v>
      </c>
      <c r="H122" s="4" t="s">
        <v>22</v>
      </c>
      <c r="I122" s="4">
        <v>0.5</v>
      </c>
      <c r="J122" t="s">
        <v>884</v>
      </c>
      <c r="K122" t="s">
        <v>885</v>
      </c>
      <c r="L122" t="s">
        <v>48</v>
      </c>
      <c r="M122" s="6">
        <v>1.2</v>
      </c>
      <c r="P122" t="s">
        <v>865</v>
      </c>
      <c r="T122" t="s">
        <v>447</v>
      </c>
      <c r="V122">
        <v>0.95</v>
      </c>
      <c r="W122" t="s">
        <v>527</v>
      </c>
    </row>
    <row r="123" spans="1:23" x14ac:dyDescent="0.2">
      <c r="A123" t="s">
        <v>447</v>
      </c>
      <c r="B123" t="s">
        <v>37</v>
      </c>
      <c r="C123" t="s">
        <v>530</v>
      </c>
      <c r="D123" t="s">
        <v>676</v>
      </c>
      <c r="E123" t="s">
        <v>690</v>
      </c>
      <c r="F123" s="4" t="s">
        <v>26</v>
      </c>
      <c r="G123" s="4">
        <v>0.5</v>
      </c>
      <c r="H123" s="4" t="s">
        <v>24</v>
      </c>
      <c r="I123" s="4">
        <v>0.5</v>
      </c>
      <c r="J123" t="s">
        <v>887</v>
      </c>
      <c r="K123" t="s">
        <v>888</v>
      </c>
      <c r="L123" t="s">
        <v>52</v>
      </c>
      <c r="M123" s="6">
        <v>1.3</v>
      </c>
      <c r="N123" s="6">
        <v>0.5</v>
      </c>
      <c r="P123" t="s">
        <v>219</v>
      </c>
      <c r="Q123">
        <v>2</v>
      </c>
      <c r="R123" t="s">
        <v>448</v>
      </c>
      <c r="S123" t="s">
        <v>449</v>
      </c>
      <c r="T123" t="s">
        <v>448</v>
      </c>
      <c r="V123">
        <v>0.95</v>
      </c>
      <c r="W123" t="s">
        <v>527</v>
      </c>
    </row>
    <row r="124" spans="1:23" x14ac:dyDescent="0.2">
      <c r="A124" t="s">
        <v>448</v>
      </c>
      <c r="B124" t="s">
        <v>39</v>
      </c>
      <c r="C124" t="s">
        <v>570</v>
      </c>
      <c r="D124" t="s">
        <v>594</v>
      </c>
      <c r="E124" t="s">
        <v>872</v>
      </c>
      <c r="F124" s="4" t="s">
        <v>26</v>
      </c>
      <c r="G124" s="4">
        <v>1</v>
      </c>
      <c r="H124" s="4" t="s">
        <v>522</v>
      </c>
      <c r="J124" t="s">
        <v>889</v>
      </c>
      <c r="K124" t="s">
        <v>890</v>
      </c>
      <c r="L124" t="s">
        <v>50</v>
      </c>
      <c r="M124" s="6">
        <v>1.1000000000000001</v>
      </c>
      <c r="P124" t="s">
        <v>865</v>
      </c>
      <c r="T124" t="s">
        <v>449</v>
      </c>
      <c r="V124">
        <v>8.8999999999999996E-2</v>
      </c>
      <c r="W124" t="s">
        <v>537</v>
      </c>
    </row>
    <row r="125" spans="1:23" x14ac:dyDescent="0.2">
      <c r="A125" t="s">
        <v>449</v>
      </c>
      <c r="B125" t="s">
        <v>39</v>
      </c>
      <c r="C125" t="s">
        <v>550</v>
      </c>
      <c r="D125" t="s">
        <v>551</v>
      </c>
      <c r="E125" t="s">
        <v>721</v>
      </c>
      <c r="F125" s="4" t="s">
        <v>24</v>
      </c>
      <c r="G125" s="4">
        <v>0.6</v>
      </c>
      <c r="H125" s="4" t="s">
        <v>18</v>
      </c>
      <c r="I125" s="4">
        <v>0.4</v>
      </c>
      <c r="J125" t="s">
        <v>891</v>
      </c>
      <c r="K125" t="s">
        <v>892</v>
      </c>
      <c r="L125" t="s">
        <v>52</v>
      </c>
      <c r="M125" s="6">
        <v>1</v>
      </c>
      <c r="P125" t="s">
        <v>865</v>
      </c>
      <c r="T125" t="s">
        <v>450</v>
      </c>
      <c r="V125">
        <v>0.95</v>
      </c>
      <c r="W125" t="s">
        <v>527</v>
      </c>
    </row>
    <row r="126" spans="1:23" x14ac:dyDescent="0.2">
      <c r="A126" t="s">
        <v>450</v>
      </c>
      <c r="B126" t="s">
        <v>39</v>
      </c>
      <c r="C126" t="s">
        <v>561</v>
      </c>
      <c r="D126" t="s">
        <v>562</v>
      </c>
      <c r="E126" t="s">
        <v>644</v>
      </c>
      <c r="F126" s="4" t="s">
        <v>24</v>
      </c>
      <c r="G126" s="4">
        <v>0.5</v>
      </c>
      <c r="H126" s="4" t="s">
        <v>30</v>
      </c>
      <c r="I126" s="4">
        <v>0.5</v>
      </c>
      <c r="J126" t="s">
        <v>893</v>
      </c>
      <c r="K126" t="s">
        <v>894</v>
      </c>
      <c r="L126" t="s">
        <v>52</v>
      </c>
      <c r="M126" s="6">
        <v>1</v>
      </c>
      <c r="P126" t="s">
        <v>865</v>
      </c>
      <c r="T126" t="s">
        <v>451</v>
      </c>
      <c r="V126">
        <v>0.95</v>
      </c>
      <c r="W126" t="s">
        <v>527</v>
      </c>
    </row>
    <row r="127" spans="1:23" x14ac:dyDescent="0.2">
      <c r="A127" t="s">
        <v>451</v>
      </c>
      <c r="B127" t="s">
        <v>39</v>
      </c>
      <c r="C127" t="s">
        <v>570</v>
      </c>
      <c r="D127" t="s">
        <v>571</v>
      </c>
      <c r="E127" t="s">
        <v>572</v>
      </c>
      <c r="F127" s="4" t="s">
        <v>18</v>
      </c>
      <c r="G127" s="4">
        <v>0.5</v>
      </c>
      <c r="H127" s="4" t="s">
        <v>24</v>
      </c>
      <c r="I127" s="4">
        <v>0.5</v>
      </c>
      <c r="J127" t="s">
        <v>895</v>
      </c>
      <c r="K127" t="s">
        <v>896</v>
      </c>
      <c r="L127" t="s">
        <v>52</v>
      </c>
      <c r="M127" s="6">
        <v>1.3</v>
      </c>
      <c r="N127" s="6">
        <v>0.5</v>
      </c>
      <c r="P127" t="s">
        <v>865</v>
      </c>
      <c r="T127" t="s">
        <v>452</v>
      </c>
      <c r="V127">
        <v>8.6999999999999994E-2</v>
      </c>
      <c r="W127" t="s">
        <v>537</v>
      </c>
    </row>
    <row r="128" spans="1:23" x14ac:dyDescent="0.2">
      <c r="A128" t="s">
        <v>452</v>
      </c>
      <c r="B128" t="s">
        <v>41</v>
      </c>
      <c r="C128" t="s">
        <v>570</v>
      </c>
      <c r="D128" t="s">
        <v>571</v>
      </c>
      <c r="E128" t="s">
        <v>604</v>
      </c>
      <c r="F128" s="4" t="s">
        <v>26</v>
      </c>
      <c r="G128" s="4">
        <v>0.5</v>
      </c>
      <c r="H128" s="4" t="s">
        <v>24</v>
      </c>
      <c r="I128" s="4">
        <v>0.5</v>
      </c>
      <c r="J128" t="s">
        <v>897</v>
      </c>
      <c r="K128" t="s">
        <v>898</v>
      </c>
      <c r="L128" t="s">
        <v>52</v>
      </c>
      <c r="M128" s="6">
        <v>1</v>
      </c>
      <c r="P128" t="s">
        <v>817</v>
      </c>
      <c r="V128">
        <v>0.11799999999999999</v>
      </c>
      <c r="W128" t="s">
        <v>537</v>
      </c>
    </row>
    <row r="129" spans="1:23" x14ac:dyDescent="0.2">
      <c r="A129" t="s">
        <v>453</v>
      </c>
      <c r="B129" t="s">
        <v>37</v>
      </c>
      <c r="C129" t="s">
        <v>550</v>
      </c>
      <c r="D129" t="s">
        <v>551</v>
      </c>
      <c r="E129" t="s">
        <v>552</v>
      </c>
      <c r="F129" s="4" t="s">
        <v>28</v>
      </c>
      <c r="G129" s="4">
        <v>1</v>
      </c>
      <c r="H129" s="4" t="s">
        <v>522</v>
      </c>
      <c r="J129" t="s">
        <v>900</v>
      </c>
      <c r="K129" t="s">
        <v>901</v>
      </c>
      <c r="L129" t="s">
        <v>46</v>
      </c>
      <c r="M129" s="6">
        <v>1.4</v>
      </c>
      <c r="N129" s="6">
        <v>0.5</v>
      </c>
      <c r="P129" t="s">
        <v>219</v>
      </c>
      <c r="Q129">
        <v>2</v>
      </c>
      <c r="R129" t="s">
        <v>455</v>
      </c>
      <c r="S129" t="s">
        <v>456</v>
      </c>
      <c r="V129">
        <v>0.95</v>
      </c>
      <c r="W129" t="s">
        <v>527</v>
      </c>
    </row>
    <row r="130" spans="1:23" x14ac:dyDescent="0.2">
      <c r="A130" t="s">
        <v>455</v>
      </c>
      <c r="B130" t="s">
        <v>39</v>
      </c>
      <c r="C130" t="s">
        <v>550</v>
      </c>
      <c r="D130" t="s">
        <v>551</v>
      </c>
      <c r="E130" t="s">
        <v>552</v>
      </c>
      <c r="F130" s="4" t="s">
        <v>28</v>
      </c>
      <c r="G130" s="4">
        <v>1</v>
      </c>
      <c r="H130" s="4" t="s">
        <v>522</v>
      </c>
      <c r="J130" t="s">
        <v>902</v>
      </c>
      <c r="K130" t="s">
        <v>903</v>
      </c>
      <c r="L130" t="s">
        <v>46</v>
      </c>
      <c r="M130" s="6">
        <v>1</v>
      </c>
      <c r="P130" t="s">
        <v>223</v>
      </c>
      <c r="T130" t="s">
        <v>456</v>
      </c>
      <c r="V130">
        <v>0.95</v>
      </c>
      <c r="W130" t="s">
        <v>527</v>
      </c>
    </row>
    <row r="131" spans="1:23" x14ac:dyDescent="0.2">
      <c r="A131" t="s">
        <v>456</v>
      </c>
      <c r="B131" t="s">
        <v>39</v>
      </c>
      <c r="C131" t="s">
        <v>570</v>
      </c>
      <c r="D131" t="s">
        <v>571</v>
      </c>
      <c r="E131" t="s">
        <v>572</v>
      </c>
      <c r="F131" s="4" t="s">
        <v>18</v>
      </c>
      <c r="G131" s="4">
        <v>0.5</v>
      </c>
      <c r="H131" s="4" t="s">
        <v>28</v>
      </c>
      <c r="I131" s="4">
        <v>0.5</v>
      </c>
      <c r="J131" t="s">
        <v>904</v>
      </c>
      <c r="K131" t="s">
        <v>905</v>
      </c>
      <c r="L131" t="s">
        <v>44</v>
      </c>
      <c r="M131" s="6">
        <v>1.2</v>
      </c>
      <c r="P131" t="s">
        <v>865</v>
      </c>
      <c r="T131" t="s">
        <v>457</v>
      </c>
      <c r="V131">
        <v>0.128</v>
      </c>
      <c r="W131" t="s">
        <v>537</v>
      </c>
    </row>
    <row r="132" spans="1:23" x14ac:dyDescent="0.2">
      <c r="A132" t="s">
        <v>457</v>
      </c>
      <c r="B132" t="s">
        <v>37</v>
      </c>
      <c r="C132" t="s">
        <v>550</v>
      </c>
      <c r="D132" t="s">
        <v>551</v>
      </c>
      <c r="E132" t="s">
        <v>552</v>
      </c>
      <c r="F132" s="4" t="s">
        <v>28</v>
      </c>
      <c r="G132" s="4">
        <v>0.7</v>
      </c>
      <c r="H132" s="4" t="s">
        <v>34</v>
      </c>
      <c r="I132" s="4">
        <v>0.3</v>
      </c>
      <c r="J132" t="s">
        <v>907</v>
      </c>
      <c r="K132" t="s">
        <v>908</v>
      </c>
      <c r="L132" t="s">
        <v>46</v>
      </c>
      <c r="M132" s="6">
        <v>1.3</v>
      </c>
      <c r="N132" s="6">
        <v>0.5</v>
      </c>
      <c r="P132" t="s">
        <v>219</v>
      </c>
      <c r="Q132">
        <v>2</v>
      </c>
      <c r="R132" t="s">
        <v>458</v>
      </c>
      <c r="S132" t="s">
        <v>459</v>
      </c>
      <c r="T132" t="s">
        <v>458</v>
      </c>
      <c r="V132">
        <v>0.95</v>
      </c>
      <c r="W132" t="s">
        <v>527</v>
      </c>
    </row>
    <row r="133" spans="1:23" x14ac:dyDescent="0.2">
      <c r="A133" t="s">
        <v>458</v>
      </c>
      <c r="B133" t="s">
        <v>39</v>
      </c>
      <c r="C133" t="s">
        <v>599</v>
      </c>
      <c r="D133" t="s">
        <v>600</v>
      </c>
      <c r="E133" t="s">
        <v>911</v>
      </c>
      <c r="F133" s="4" t="s">
        <v>34</v>
      </c>
      <c r="G133" s="4">
        <v>0.6</v>
      </c>
      <c r="H133" s="4" t="s">
        <v>28</v>
      </c>
      <c r="I133" s="4">
        <v>0.4</v>
      </c>
      <c r="J133" t="s">
        <v>909</v>
      </c>
      <c r="K133" t="s">
        <v>910</v>
      </c>
      <c r="L133" t="s">
        <v>46</v>
      </c>
      <c r="M133" s="6">
        <v>1.1000000000000001</v>
      </c>
      <c r="P133" t="s">
        <v>865</v>
      </c>
      <c r="T133" t="s">
        <v>459</v>
      </c>
      <c r="V133">
        <v>0.1</v>
      </c>
      <c r="W133" t="s">
        <v>537</v>
      </c>
    </row>
    <row r="134" spans="1:23" x14ac:dyDescent="0.2">
      <c r="A134" t="s">
        <v>459</v>
      </c>
      <c r="B134" t="s">
        <v>37</v>
      </c>
      <c r="C134" t="s">
        <v>614</v>
      </c>
      <c r="D134" t="s">
        <v>615</v>
      </c>
      <c r="E134" t="s">
        <v>915</v>
      </c>
      <c r="F134" s="4" t="s">
        <v>32</v>
      </c>
      <c r="G134" s="4">
        <v>1</v>
      </c>
      <c r="H134" s="4" t="s">
        <v>522</v>
      </c>
      <c r="J134" t="s">
        <v>913</v>
      </c>
      <c r="K134" t="s">
        <v>914</v>
      </c>
      <c r="L134" t="s">
        <v>48</v>
      </c>
      <c r="M134" s="6">
        <v>1.2</v>
      </c>
      <c r="P134" t="s">
        <v>219</v>
      </c>
      <c r="Q134">
        <v>2</v>
      </c>
      <c r="R134" t="s">
        <v>460</v>
      </c>
      <c r="S134" t="s">
        <v>461</v>
      </c>
      <c r="T134" t="s">
        <v>460</v>
      </c>
      <c r="V134">
        <v>9.2999999999999999E-2</v>
      </c>
      <c r="W134" t="s">
        <v>537</v>
      </c>
    </row>
    <row r="135" spans="1:23" x14ac:dyDescent="0.2">
      <c r="A135" t="s">
        <v>460</v>
      </c>
      <c r="B135" t="s">
        <v>39</v>
      </c>
      <c r="C135" t="s">
        <v>521</v>
      </c>
      <c r="D135" t="s">
        <v>535</v>
      </c>
      <c r="E135" t="s">
        <v>536</v>
      </c>
      <c r="F135" s="4" t="s">
        <v>32</v>
      </c>
      <c r="G135" s="4">
        <v>0.6</v>
      </c>
      <c r="H135" s="4" t="s">
        <v>18</v>
      </c>
      <c r="I135" s="4">
        <v>0.4</v>
      </c>
      <c r="J135" t="s">
        <v>916</v>
      </c>
      <c r="K135" t="s">
        <v>917</v>
      </c>
      <c r="L135" t="s">
        <v>48</v>
      </c>
      <c r="M135" s="6">
        <v>1</v>
      </c>
      <c r="P135" t="s">
        <v>865</v>
      </c>
      <c r="T135" t="s">
        <v>461</v>
      </c>
      <c r="V135">
        <v>0.95</v>
      </c>
      <c r="W135" t="s">
        <v>527</v>
      </c>
    </row>
    <row r="136" spans="1:23" x14ac:dyDescent="0.2">
      <c r="A136" t="s">
        <v>461</v>
      </c>
      <c r="B136" t="s">
        <v>39</v>
      </c>
      <c r="C136" t="s">
        <v>614</v>
      </c>
      <c r="D136" t="s">
        <v>615</v>
      </c>
      <c r="E136" t="s">
        <v>616</v>
      </c>
      <c r="F136" s="4" t="s">
        <v>32</v>
      </c>
      <c r="G136" s="4">
        <v>0.5</v>
      </c>
      <c r="H136" s="4" t="s">
        <v>20</v>
      </c>
      <c r="I136" s="4">
        <v>0.5</v>
      </c>
      <c r="J136" t="s">
        <v>918</v>
      </c>
      <c r="K136" t="s">
        <v>919</v>
      </c>
      <c r="L136" t="s">
        <v>48</v>
      </c>
      <c r="M136" s="6">
        <v>1</v>
      </c>
      <c r="P136" t="s">
        <v>865</v>
      </c>
      <c r="T136" t="s">
        <v>462</v>
      </c>
      <c r="V136">
        <v>0.95</v>
      </c>
      <c r="W136" t="s">
        <v>527</v>
      </c>
    </row>
    <row r="137" spans="1:23" x14ac:dyDescent="0.2">
      <c r="A137" t="s">
        <v>462</v>
      </c>
      <c r="B137" t="s">
        <v>37</v>
      </c>
      <c r="C137" t="s">
        <v>550</v>
      </c>
      <c r="D137" t="s">
        <v>551</v>
      </c>
      <c r="E137" t="s">
        <v>552</v>
      </c>
      <c r="F137" s="4" t="s">
        <v>28</v>
      </c>
      <c r="G137" s="4">
        <v>0.7</v>
      </c>
      <c r="H137" s="4" t="s">
        <v>20</v>
      </c>
      <c r="I137" s="4">
        <v>0.3</v>
      </c>
      <c r="J137" t="s">
        <v>921</v>
      </c>
      <c r="K137" t="s">
        <v>922</v>
      </c>
      <c r="L137" t="s">
        <v>46</v>
      </c>
      <c r="M137" s="6">
        <v>1.2</v>
      </c>
      <c r="P137" t="s">
        <v>219</v>
      </c>
      <c r="Q137">
        <v>2</v>
      </c>
      <c r="R137" t="s">
        <v>463</v>
      </c>
      <c r="S137" t="s">
        <v>464</v>
      </c>
      <c r="T137" t="s">
        <v>463</v>
      </c>
      <c r="V137">
        <v>0.95</v>
      </c>
      <c r="W137" t="s">
        <v>527</v>
      </c>
    </row>
    <row r="138" spans="1:23" x14ac:dyDescent="0.2">
      <c r="A138" t="s">
        <v>463</v>
      </c>
      <c r="B138" t="s">
        <v>39</v>
      </c>
      <c r="C138" t="s">
        <v>614</v>
      </c>
      <c r="D138" t="s">
        <v>700</v>
      </c>
      <c r="E138" t="s">
        <v>925</v>
      </c>
      <c r="F138" s="4" t="s">
        <v>28</v>
      </c>
      <c r="G138" s="4">
        <v>0.5</v>
      </c>
      <c r="H138" s="4" t="s">
        <v>20</v>
      </c>
      <c r="I138" s="4">
        <v>0.5</v>
      </c>
      <c r="J138" t="s">
        <v>923</v>
      </c>
      <c r="K138" t="s">
        <v>924</v>
      </c>
      <c r="L138" t="s">
        <v>46</v>
      </c>
      <c r="M138" s="6">
        <v>1</v>
      </c>
      <c r="P138" t="s">
        <v>865</v>
      </c>
      <c r="T138" t="s">
        <v>464</v>
      </c>
      <c r="V138">
        <v>0.95</v>
      </c>
      <c r="W138" t="s">
        <v>527</v>
      </c>
    </row>
    <row r="139" spans="1:23" x14ac:dyDescent="0.2">
      <c r="A139" t="s">
        <v>464</v>
      </c>
      <c r="B139" t="s">
        <v>37</v>
      </c>
      <c r="C139" t="s">
        <v>614</v>
      </c>
      <c r="D139" t="s">
        <v>700</v>
      </c>
      <c r="E139" t="s">
        <v>701</v>
      </c>
      <c r="F139" s="4" t="s">
        <v>34</v>
      </c>
      <c r="G139" s="4">
        <v>1</v>
      </c>
      <c r="H139" s="4" t="s">
        <v>522</v>
      </c>
      <c r="J139" t="s">
        <v>927</v>
      </c>
      <c r="K139" t="s">
        <v>928</v>
      </c>
      <c r="L139" t="s">
        <v>46</v>
      </c>
      <c r="M139" s="6">
        <v>1.3</v>
      </c>
      <c r="N139" s="6">
        <v>0.5</v>
      </c>
      <c r="P139" t="s">
        <v>219</v>
      </c>
      <c r="Q139">
        <v>2</v>
      </c>
      <c r="R139" t="s">
        <v>465</v>
      </c>
      <c r="S139" t="s">
        <v>466</v>
      </c>
      <c r="T139" t="s">
        <v>465</v>
      </c>
      <c r="V139">
        <v>0.95</v>
      </c>
      <c r="W139" t="s">
        <v>527</v>
      </c>
    </row>
    <row r="140" spans="1:23" x14ac:dyDescent="0.2">
      <c r="A140" t="s">
        <v>465</v>
      </c>
      <c r="B140" t="s">
        <v>39</v>
      </c>
      <c r="C140" t="s">
        <v>625</v>
      </c>
      <c r="D140" t="s">
        <v>626</v>
      </c>
      <c r="E140" t="s">
        <v>627</v>
      </c>
      <c r="F140" s="4" t="s">
        <v>18</v>
      </c>
      <c r="G140" s="4">
        <v>0.4</v>
      </c>
      <c r="H140" s="4" t="s">
        <v>34</v>
      </c>
      <c r="I140" s="4">
        <v>0.6</v>
      </c>
      <c r="J140" t="s">
        <v>929</v>
      </c>
      <c r="K140" t="s">
        <v>930</v>
      </c>
      <c r="L140" t="s">
        <v>44</v>
      </c>
      <c r="M140" s="6">
        <v>1</v>
      </c>
      <c r="P140" t="s">
        <v>865</v>
      </c>
      <c r="T140" t="s">
        <v>466</v>
      </c>
      <c r="V140">
        <v>0.13500000000000001</v>
      </c>
      <c r="W140" t="s">
        <v>537</v>
      </c>
    </row>
    <row r="141" spans="1:23" x14ac:dyDescent="0.2">
      <c r="A141" t="s">
        <v>466</v>
      </c>
      <c r="B141" t="s">
        <v>39</v>
      </c>
      <c r="C141" t="s">
        <v>550</v>
      </c>
      <c r="D141" t="s">
        <v>551</v>
      </c>
      <c r="E141" t="s">
        <v>721</v>
      </c>
      <c r="F141" s="4" t="s">
        <v>28</v>
      </c>
      <c r="G141" s="4">
        <v>0.6</v>
      </c>
      <c r="H141" s="4" t="s">
        <v>18</v>
      </c>
      <c r="I141" s="4">
        <v>0.4</v>
      </c>
      <c r="J141" t="s">
        <v>932</v>
      </c>
      <c r="K141" t="s">
        <v>933</v>
      </c>
      <c r="L141" t="s">
        <v>46</v>
      </c>
      <c r="M141" s="6">
        <v>1</v>
      </c>
      <c r="P141" t="s">
        <v>865</v>
      </c>
      <c r="T141" t="s">
        <v>467</v>
      </c>
      <c r="V141">
        <v>0.95</v>
      </c>
      <c r="W141" t="s">
        <v>527</v>
      </c>
    </row>
    <row r="142" spans="1:23" x14ac:dyDescent="0.2">
      <c r="A142" t="s">
        <v>467</v>
      </c>
      <c r="B142" t="s">
        <v>39</v>
      </c>
      <c r="C142" t="s">
        <v>521</v>
      </c>
      <c r="D142" t="s">
        <v>566</v>
      </c>
      <c r="E142" t="s">
        <v>567</v>
      </c>
      <c r="F142" s="4" t="s">
        <v>18</v>
      </c>
      <c r="G142" s="4">
        <v>0.6</v>
      </c>
      <c r="H142" s="4" t="s">
        <v>26</v>
      </c>
      <c r="I142" s="4">
        <v>0.4</v>
      </c>
      <c r="J142" t="s">
        <v>935</v>
      </c>
      <c r="K142" t="s">
        <v>936</v>
      </c>
      <c r="L142" t="s">
        <v>44</v>
      </c>
      <c r="M142" s="6">
        <v>1</v>
      </c>
      <c r="P142" t="s">
        <v>865</v>
      </c>
      <c r="T142" t="s">
        <v>468</v>
      </c>
      <c r="V142">
        <v>0.95</v>
      </c>
      <c r="W142" t="s">
        <v>527</v>
      </c>
    </row>
    <row r="143" spans="1:23" x14ac:dyDescent="0.2">
      <c r="A143" t="s">
        <v>468</v>
      </c>
      <c r="B143" t="s">
        <v>41</v>
      </c>
      <c r="C143" t="s">
        <v>550</v>
      </c>
      <c r="D143" t="s">
        <v>551</v>
      </c>
      <c r="E143" t="s">
        <v>552</v>
      </c>
      <c r="F143" s="4" t="s">
        <v>20</v>
      </c>
      <c r="G143" s="4">
        <v>0.5</v>
      </c>
      <c r="H143" s="4" t="s">
        <v>28</v>
      </c>
      <c r="I143" s="4">
        <v>0.5</v>
      </c>
      <c r="J143" t="s">
        <v>938</v>
      </c>
      <c r="K143" t="s">
        <v>939</v>
      </c>
      <c r="L143" t="s">
        <v>48</v>
      </c>
      <c r="M143" s="6">
        <v>1</v>
      </c>
      <c r="P143" t="s">
        <v>817</v>
      </c>
      <c r="V143">
        <v>0.95</v>
      </c>
      <c r="W143" t="s">
        <v>527</v>
      </c>
    </row>
    <row r="144" spans="1:23" x14ac:dyDescent="0.2">
      <c r="A144" t="s">
        <v>469</v>
      </c>
      <c r="B144" t="s">
        <v>37</v>
      </c>
      <c r="C144" t="s">
        <v>521</v>
      </c>
      <c r="D144" t="s">
        <v>566</v>
      </c>
      <c r="E144" t="s">
        <v>567</v>
      </c>
      <c r="F144" s="4" t="s">
        <v>20</v>
      </c>
      <c r="G144" s="4">
        <v>0.7</v>
      </c>
      <c r="H144" s="4" t="s">
        <v>22</v>
      </c>
      <c r="I144" s="4">
        <v>0.3</v>
      </c>
      <c r="J144" t="s">
        <v>941</v>
      </c>
      <c r="K144" t="s">
        <v>942</v>
      </c>
      <c r="L144" t="s">
        <v>48</v>
      </c>
      <c r="M144" s="6">
        <v>1.5</v>
      </c>
      <c r="N144" s="6">
        <v>0.5</v>
      </c>
      <c r="P144" t="s">
        <v>219</v>
      </c>
      <c r="Q144">
        <v>2</v>
      </c>
      <c r="R144" t="s">
        <v>471</v>
      </c>
      <c r="S144" t="s">
        <v>472</v>
      </c>
      <c r="T144" t="s">
        <v>471</v>
      </c>
      <c r="V144">
        <v>0.111</v>
      </c>
      <c r="W144" t="s">
        <v>537</v>
      </c>
    </row>
    <row r="145" spans="1:23" x14ac:dyDescent="0.2">
      <c r="A145" t="s">
        <v>471</v>
      </c>
      <c r="B145" t="s">
        <v>39</v>
      </c>
      <c r="C145" t="s">
        <v>614</v>
      </c>
      <c r="D145" t="s">
        <v>772</v>
      </c>
      <c r="E145" t="s">
        <v>798</v>
      </c>
      <c r="F145" s="4" t="s">
        <v>20</v>
      </c>
      <c r="G145" s="4">
        <v>1</v>
      </c>
      <c r="H145" s="4" t="s">
        <v>522</v>
      </c>
      <c r="J145" t="s">
        <v>943</v>
      </c>
      <c r="K145" t="s">
        <v>944</v>
      </c>
      <c r="L145" t="s">
        <v>48</v>
      </c>
      <c r="M145" s="6">
        <v>1</v>
      </c>
      <c r="P145" t="s">
        <v>223</v>
      </c>
      <c r="T145" t="s">
        <v>472</v>
      </c>
      <c r="V145">
        <v>9.5000000000000001E-2</v>
      </c>
      <c r="W145" t="s">
        <v>537</v>
      </c>
    </row>
    <row r="146" spans="1:23" x14ac:dyDescent="0.2">
      <c r="A146" t="s">
        <v>472</v>
      </c>
      <c r="B146" t="s">
        <v>39</v>
      </c>
      <c r="C146" t="s">
        <v>530</v>
      </c>
      <c r="D146" t="s">
        <v>531</v>
      </c>
      <c r="E146" t="s">
        <v>532</v>
      </c>
      <c r="F146" s="4" t="s">
        <v>22</v>
      </c>
      <c r="G146" s="4">
        <v>0.6</v>
      </c>
      <c r="H146" s="4" t="s">
        <v>20</v>
      </c>
      <c r="I146" s="4">
        <v>0.4</v>
      </c>
      <c r="J146" t="s">
        <v>945</v>
      </c>
      <c r="K146" t="s">
        <v>946</v>
      </c>
      <c r="L146" t="s">
        <v>48</v>
      </c>
      <c r="M146" s="6">
        <v>1.2</v>
      </c>
      <c r="P146" t="s">
        <v>865</v>
      </c>
      <c r="T146" t="s">
        <v>473</v>
      </c>
      <c r="V146">
        <v>0.95</v>
      </c>
      <c r="W146" t="s">
        <v>527</v>
      </c>
    </row>
    <row r="147" spans="1:23" x14ac:dyDescent="0.2">
      <c r="A147" t="s">
        <v>473</v>
      </c>
      <c r="B147" t="s">
        <v>37</v>
      </c>
      <c r="C147" t="s">
        <v>614</v>
      </c>
      <c r="D147" t="s">
        <v>700</v>
      </c>
      <c r="E147" t="s">
        <v>925</v>
      </c>
      <c r="F147" s="4" t="s">
        <v>28</v>
      </c>
      <c r="G147" s="4">
        <v>0.7</v>
      </c>
      <c r="H147" s="4" t="s">
        <v>22</v>
      </c>
      <c r="I147" s="4">
        <v>0.3</v>
      </c>
      <c r="J147" t="s">
        <v>948</v>
      </c>
      <c r="K147" t="s">
        <v>949</v>
      </c>
      <c r="L147" t="s">
        <v>46</v>
      </c>
      <c r="M147" s="6">
        <v>1.3</v>
      </c>
      <c r="N147" s="6">
        <v>0.5</v>
      </c>
      <c r="P147" t="s">
        <v>219</v>
      </c>
      <c r="Q147">
        <v>2</v>
      </c>
      <c r="R147" t="s">
        <v>474</v>
      </c>
      <c r="S147" t="s">
        <v>475</v>
      </c>
      <c r="T147" t="s">
        <v>474</v>
      </c>
      <c r="V147">
        <v>0.95</v>
      </c>
      <c r="W147" t="s">
        <v>527</v>
      </c>
    </row>
    <row r="148" spans="1:23" x14ac:dyDescent="0.2">
      <c r="A148" t="s">
        <v>474</v>
      </c>
      <c r="B148" t="s">
        <v>39</v>
      </c>
      <c r="C148" t="s">
        <v>550</v>
      </c>
      <c r="D148" t="s">
        <v>551</v>
      </c>
      <c r="E148" t="s">
        <v>552</v>
      </c>
      <c r="F148" s="4" t="s">
        <v>20</v>
      </c>
      <c r="G148" s="4">
        <v>0.5</v>
      </c>
      <c r="H148" s="4" t="s">
        <v>28</v>
      </c>
      <c r="I148" s="4">
        <v>0.5</v>
      </c>
      <c r="J148" t="s">
        <v>950</v>
      </c>
      <c r="K148" t="s">
        <v>951</v>
      </c>
      <c r="L148" t="s">
        <v>46</v>
      </c>
      <c r="M148" s="6">
        <v>1.1000000000000001</v>
      </c>
      <c r="P148" t="s">
        <v>865</v>
      </c>
      <c r="T148" t="s">
        <v>475</v>
      </c>
      <c r="V148">
        <v>0.95</v>
      </c>
      <c r="W148" t="s">
        <v>527</v>
      </c>
    </row>
    <row r="149" spans="1:23" x14ac:dyDescent="0.2">
      <c r="A149" t="s">
        <v>475</v>
      </c>
      <c r="B149" t="s">
        <v>37</v>
      </c>
      <c r="C149" t="s">
        <v>614</v>
      </c>
      <c r="D149" t="s">
        <v>700</v>
      </c>
      <c r="E149" t="s">
        <v>701</v>
      </c>
      <c r="F149" s="4" t="s">
        <v>22</v>
      </c>
      <c r="G149" s="4">
        <v>0.7</v>
      </c>
      <c r="H149" s="4" t="s">
        <v>20</v>
      </c>
      <c r="I149" s="4">
        <v>0.3</v>
      </c>
      <c r="J149" t="s">
        <v>953</v>
      </c>
      <c r="K149" t="s">
        <v>954</v>
      </c>
      <c r="L149" t="s">
        <v>48</v>
      </c>
      <c r="M149" s="6">
        <v>1.5</v>
      </c>
      <c r="N149" s="6">
        <v>0.5</v>
      </c>
      <c r="P149" t="s">
        <v>219</v>
      </c>
      <c r="Q149">
        <v>2</v>
      </c>
      <c r="R149" t="s">
        <v>476</v>
      </c>
      <c r="S149" t="s">
        <v>477</v>
      </c>
      <c r="T149" t="s">
        <v>476</v>
      </c>
      <c r="V149">
        <v>0.95</v>
      </c>
      <c r="W149" t="s">
        <v>527</v>
      </c>
    </row>
    <row r="150" spans="1:23" x14ac:dyDescent="0.2">
      <c r="A150" t="s">
        <v>476</v>
      </c>
      <c r="B150" t="s">
        <v>39</v>
      </c>
      <c r="C150" t="s">
        <v>614</v>
      </c>
      <c r="D150" t="s">
        <v>615</v>
      </c>
      <c r="E150" t="s">
        <v>635</v>
      </c>
      <c r="F150" s="4" t="s">
        <v>30</v>
      </c>
      <c r="G150" s="4">
        <v>0.4</v>
      </c>
      <c r="H150" s="4" t="s">
        <v>22</v>
      </c>
      <c r="I150" s="4">
        <v>0.6</v>
      </c>
      <c r="J150" t="s">
        <v>955</v>
      </c>
      <c r="K150" t="s">
        <v>956</v>
      </c>
      <c r="L150" t="s">
        <v>48</v>
      </c>
      <c r="M150" s="6">
        <v>1.2</v>
      </c>
      <c r="P150" t="s">
        <v>865</v>
      </c>
      <c r="T150" t="s">
        <v>477</v>
      </c>
      <c r="V150">
        <v>0.1</v>
      </c>
      <c r="W150" t="s">
        <v>537</v>
      </c>
    </row>
    <row r="151" spans="1:23" x14ac:dyDescent="0.2">
      <c r="A151" t="s">
        <v>477</v>
      </c>
      <c r="B151" t="s">
        <v>39</v>
      </c>
      <c r="C151" t="s">
        <v>614</v>
      </c>
      <c r="D151" t="s">
        <v>700</v>
      </c>
      <c r="E151" t="s">
        <v>701</v>
      </c>
      <c r="F151" s="4" t="s">
        <v>22</v>
      </c>
      <c r="G151" s="4">
        <v>0.7</v>
      </c>
      <c r="H151" s="4" t="s">
        <v>30</v>
      </c>
      <c r="I151" s="4">
        <v>0.3</v>
      </c>
      <c r="J151" t="s">
        <v>957</v>
      </c>
      <c r="K151" t="s">
        <v>958</v>
      </c>
      <c r="L151" t="s">
        <v>48</v>
      </c>
      <c r="M151" s="6">
        <v>1.2</v>
      </c>
      <c r="P151" t="s">
        <v>865</v>
      </c>
      <c r="T151" t="s">
        <v>478</v>
      </c>
      <c r="V151">
        <v>0.95</v>
      </c>
      <c r="W151" t="s">
        <v>527</v>
      </c>
    </row>
    <row r="152" spans="1:23" x14ac:dyDescent="0.2">
      <c r="A152" t="s">
        <v>478</v>
      </c>
      <c r="B152" t="s">
        <v>37</v>
      </c>
      <c r="C152" t="s">
        <v>614</v>
      </c>
      <c r="D152" t="s">
        <v>700</v>
      </c>
      <c r="E152" t="s">
        <v>925</v>
      </c>
      <c r="F152" s="4" t="s">
        <v>20</v>
      </c>
      <c r="G152" s="4">
        <v>0.7</v>
      </c>
      <c r="H152" s="4" t="s">
        <v>28</v>
      </c>
      <c r="I152" s="4">
        <v>0.3</v>
      </c>
      <c r="J152" t="s">
        <v>960</v>
      </c>
      <c r="K152" t="s">
        <v>961</v>
      </c>
      <c r="L152" t="s">
        <v>48</v>
      </c>
      <c r="M152" s="6">
        <v>1.3</v>
      </c>
      <c r="P152" t="s">
        <v>219</v>
      </c>
      <c r="Q152">
        <v>2</v>
      </c>
      <c r="R152" t="s">
        <v>479</v>
      </c>
      <c r="S152" t="s">
        <v>480</v>
      </c>
      <c r="T152" t="s">
        <v>479</v>
      </c>
      <c r="V152">
        <v>0.95</v>
      </c>
      <c r="W152" t="s">
        <v>527</v>
      </c>
    </row>
    <row r="153" spans="1:23" x14ac:dyDescent="0.2">
      <c r="A153" t="s">
        <v>479</v>
      </c>
      <c r="B153" t="s">
        <v>39</v>
      </c>
      <c r="C153" t="s">
        <v>614</v>
      </c>
      <c r="D153" t="s">
        <v>615</v>
      </c>
      <c r="E153" t="s">
        <v>635</v>
      </c>
      <c r="F153" s="4" t="s">
        <v>22</v>
      </c>
      <c r="G153" s="4">
        <v>1</v>
      </c>
      <c r="H153" s="4" t="s">
        <v>522</v>
      </c>
      <c r="J153" t="s">
        <v>962</v>
      </c>
      <c r="K153" t="s">
        <v>963</v>
      </c>
      <c r="L153" t="s">
        <v>48</v>
      </c>
      <c r="M153" s="6">
        <v>1</v>
      </c>
      <c r="P153" t="s">
        <v>865</v>
      </c>
      <c r="T153" t="s">
        <v>480</v>
      </c>
      <c r="V153">
        <v>0.13600000000000001</v>
      </c>
      <c r="W153" t="s">
        <v>537</v>
      </c>
    </row>
    <row r="154" spans="1:23" x14ac:dyDescent="0.2">
      <c r="A154" t="s">
        <v>480</v>
      </c>
      <c r="B154" t="s">
        <v>37</v>
      </c>
      <c r="C154" t="s">
        <v>614</v>
      </c>
      <c r="D154" t="s">
        <v>615</v>
      </c>
      <c r="E154" t="s">
        <v>616</v>
      </c>
      <c r="F154" s="4" t="s">
        <v>32</v>
      </c>
      <c r="G154" s="4">
        <v>0.6</v>
      </c>
      <c r="H154" s="4" t="s">
        <v>20</v>
      </c>
      <c r="I154" s="4">
        <v>0.4</v>
      </c>
      <c r="J154" t="s">
        <v>964</v>
      </c>
      <c r="K154" t="s">
        <v>965</v>
      </c>
      <c r="L154" t="s">
        <v>48</v>
      </c>
      <c r="M154" s="6">
        <v>1.1000000000000001</v>
      </c>
      <c r="P154" t="s">
        <v>219</v>
      </c>
      <c r="Q154">
        <v>2</v>
      </c>
      <c r="R154" t="s">
        <v>481</v>
      </c>
      <c r="S154" t="s">
        <v>482</v>
      </c>
      <c r="T154" t="s">
        <v>481</v>
      </c>
      <c r="V154">
        <v>0.95</v>
      </c>
      <c r="W154" t="s">
        <v>527</v>
      </c>
    </row>
    <row r="155" spans="1:23" x14ac:dyDescent="0.2">
      <c r="A155" t="s">
        <v>481</v>
      </c>
      <c r="B155" t="s">
        <v>39</v>
      </c>
      <c r="C155" t="s">
        <v>614</v>
      </c>
      <c r="D155" t="s">
        <v>615</v>
      </c>
      <c r="E155" t="s">
        <v>616</v>
      </c>
      <c r="F155" s="4" t="s">
        <v>32</v>
      </c>
      <c r="G155" s="4">
        <v>0.7</v>
      </c>
      <c r="H155" s="4" t="s">
        <v>18</v>
      </c>
      <c r="I155" s="4">
        <v>0.3</v>
      </c>
      <c r="J155" t="s">
        <v>966</v>
      </c>
      <c r="K155" t="s">
        <v>967</v>
      </c>
      <c r="L155" t="s">
        <v>48</v>
      </c>
      <c r="M155" s="6">
        <v>1</v>
      </c>
      <c r="P155" t="s">
        <v>865</v>
      </c>
      <c r="T155" t="s">
        <v>482</v>
      </c>
      <c r="V155">
        <v>0.95</v>
      </c>
      <c r="W155" t="s">
        <v>527</v>
      </c>
    </row>
    <row r="156" spans="1:23" x14ac:dyDescent="0.2">
      <c r="A156" t="s">
        <v>482</v>
      </c>
      <c r="B156" t="s">
        <v>37</v>
      </c>
      <c r="C156" t="s">
        <v>550</v>
      </c>
      <c r="D156" t="s">
        <v>551</v>
      </c>
      <c r="E156" t="s">
        <v>552</v>
      </c>
      <c r="F156" s="4" t="s">
        <v>30</v>
      </c>
      <c r="G156" s="4">
        <v>0.6</v>
      </c>
      <c r="H156" s="4" t="s">
        <v>22</v>
      </c>
      <c r="I156" s="4">
        <v>0.4</v>
      </c>
      <c r="J156" t="s">
        <v>969</v>
      </c>
      <c r="K156" t="s">
        <v>970</v>
      </c>
      <c r="L156" t="s">
        <v>48</v>
      </c>
      <c r="M156" s="6">
        <v>1.4</v>
      </c>
      <c r="N156" s="6">
        <v>0.5</v>
      </c>
      <c r="P156" t="s">
        <v>219</v>
      </c>
      <c r="Q156">
        <v>2</v>
      </c>
      <c r="R156" t="s">
        <v>483</v>
      </c>
      <c r="S156" t="s">
        <v>484</v>
      </c>
      <c r="T156" t="s">
        <v>483</v>
      </c>
      <c r="V156">
        <v>0.95</v>
      </c>
      <c r="W156" t="s">
        <v>527</v>
      </c>
    </row>
    <row r="157" spans="1:23" x14ac:dyDescent="0.2">
      <c r="A157" t="s">
        <v>483</v>
      </c>
      <c r="B157" t="s">
        <v>39</v>
      </c>
      <c r="C157" t="s">
        <v>561</v>
      </c>
      <c r="D157" t="s">
        <v>562</v>
      </c>
      <c r="E157" t="s">
        <v>762</v>
      </c>
      <c r="F157" s="4" t="s">
        <v>22</v>
      </c>
      <c r="G157" s="4">
        <v>0.6</v>
      </c>
      <c r="H157" s="4" t="s">
        <v>30</v>
      </c>
      <c r="I157" s="4">
        <v>0.4</v>
      </c>
      <c r="J157" t="s">
        <v>971</v>
      </c>
      <c r="K157" t="s">
        <v>972</v>
      </c>
      <c r="L157" t="s">
        <v>48</v>
      </c>
      <c r="M157" s="6">
        <v>1.1000000000000001</v>
      </c>
      <c r="P157" t="s">
        <v>865</v>
      </c>
      <c r="T157" t="s">
        <v>484</v>
      </c>
      <c r="V157">
        <v>0.95</v>
      </c>
      <c r="W157" t="s">
        <v>527</v>
      </c>
    </row>
    <row r="158" spans="1:23" x14ac:dyDescent="0.2">
      <c r="A158" t="s">
        <v>484</v>
      </c>
      <c r="B158" t="s">
        <v>39</v>
      </c>
      <c r="C158" t="s">
        <v>561</v>
      </c>
      <c r="D158" t="s">
        <v>562</v>
      </c>
      <c r="E158" t="s">
        <v>762</v>
      </c>
      <c r="F158" s="4" t="s">
        <v>22</v>
      </c>
      <c r="G158" s="4">
        <v>0.6</v>
      </c>
      <c r="H158" s="4" t="s">
        <v>30</v>
      </c>
      <c r="I158" s="4">
        <v>0.4</v>
      </c>
      <c r="J158" t="s">
        <v>974</v>
      </c>
      <c r="K158" t="s">
        <v>975</v>
      </c>
      <c r="L158" t="s">
        <v>48</v>
      </c>
      <c r="M158" s="6">
        <v>1.2</v>
      </c>
      <c r="P158" t="s">
        <v>865</v>
      </c>
      <c r="T158" t="s">
        <v>485</v>
      </c>
      <c r="V158">
        <v>8.7999999999999995E-2</v>
      </c>
      <c r="W158" t="s">
        <v>537</v>
      </c>
    </row>
    <row r="159" spans="1:23" x14ac:dyDescent="0.2">
      <c r="A159" t="s">
        <v>485</v>
      </c>
      <c r="B159" t="s">
        <v>39</v>
      </c>
      <c r="C159" t="s">
        <v>521</v>
      </c>
      <c r="D159" t="s">
        <v>566</v>
      </c>
      <c r="E159" t="s">
        <v>978</v>
      </c>
      <c r="F159" s="4" t="s">
        <v>34</v>
      </c>
      <c r="G159" s="4">
        <v>1</v>
      </c>
      <c r="H159" s="4" t="s">
        <v>522</v>
      </c>
      <c r="J159" t="s">
        <v>976</v>
      </c>
      <c r="K159" t="s">
        <v>977</v>
      </c>
      <c r="L159" t="s">
        <v>46</v>
      </c>
      <c r="M159" s="6">
        <v>1</v>
      </c>
      <c r="P159" t="s">
        <v>865</v>
      </c>
      <c r="T159" t="s">
        <v>486</v>
      </c>
      <c r="V159">
        <v>8.5999999999999993E-2</v>
      </c>
      <c r="W159" t="s">
        <v>537</v>
      </c>
    </row>
    <row r="160" spans="1:23" x14ac:dyDescent="0.2">
      <c r="A160" t="s">
        <v>486</v>
      </c>
      <c r="B160" t="s">
        <v>41</v>
      </c>
      <c r="C160" t="s">
        <v>561</v>
      </c>
      <c r="D160" t="s">
        <v>587</v>
      </c>
      <c r="E160" t="s">
        <v>588</v>
      </c>
      <c r="F160" s="4" t="s">
        <v>22</v>
      </c>
      <c r="G160" s="4">
        <v>0.5</v>
      </c>
      <c r="H160" s="4" t="s">
        <v>28</v>
      </c>
      <c r="I160" s="4">
        <v>0.5</v>
      </c>
      <c r="J160" t="s">
        <v>980</v>
      </c>
      <c r="K160" t="s">
        <v>981</v>
      </c>
      <c r="L160" t="s">
        <v>48</v>
      </c>
      <c r="M160" s="6">
        <v>1</v>
      </c>
      <c r="P160" t="s">
        <v>817</v>
      </c>
      <c r="T160" t="s">
        <v>487</v>
      </c>
      <c r="V160">
        <v>8.7999999999999995E-2</v>
      </c>
      <c r="W160" t="s">
        <v>537</v>
      </c>
    </row>
    <row r="161" spans="1:23" x14ac:dyDescent="0.2">
      <c r="A161" t="s">
        <v>487</v>
      </c>
      <c r="B161" t="s">
        <v>41</v>
      </c>
      <c r="C161" t="s">
        <v>614</v>
      </c>
      <c r="D161" t="s">
        <v>700</v>
      </c>
      <c r="E161" t="s">
        <v>925</v>
      </c>
      <c r="F161" s="4" t="s">
        <v>22</v>
      </c>
      <c r="G161" s="4">
        <v>1</v>
      </c>
      <c r="H161" s="4" t="s">
        <v>522</v>
      </c>
      <c r="J161" t="s">
        <v>982</v>
      </c>
      <c r="K161" t="s">
        <v>983</v>
      </c>
      <c r="L161" t="s">
        <v>48</v>
      </c>
      <c r="M161" s="6">
        <v>1</v>
      </c>
      <c r="P161" t="s">
        <v>817</v>
      </c>
      <c r="V161">
        <v>0.13</v>
      </c>
      <c r="W161" t="s">
        <v>537</v>
      </c>
    </row>
    <row r="162" spans="1:23" x14ac:dyDescent="0.2">
      <c r="A162" t="s">
        <v>488</v>
      </c>
      <c r="B162" t="s">
        <v>37</v>
      </c>
      <c r="C162" t="s">
        <v>550</v>
      </c>
      <c r="D162" t="s">
        <v>683</v>
      </c>
      <c r="E162" t="s">
        <v>684</v>
      </c>
      <c r="F162" s="4" t="s">
        <v>18</v>
      </c>
      <c r="G162" s="4">
        <v>0.7</v>
      </c>
      <c r="H162" s="4" t="s">
        <v>28</v>
      </c>
      <c r="I162" s="4">
        <v>0.3</v>
      </c>
      <c r="J162" t="s">
        <v>985</v>
      </c>
      <c r="K162" t="s">
        <v>986</v>
      </c>
      <c r="L162" t="s">
        <v>44</v>
      </c>
      <c r="M162" s="6">
        <v>1.3</v>
      </c>
      <c r="N162" s="6">
        <v>0.5</v>
      </c>
      <c r="P162" t="s">
        <v>219</v>
      </c>
      <c r="Q162">
        <v>2</v>
      </c>
      <c r="R162" t="s">
        <v>490</v>
      </c>
      <c r="S162" t="s">
        <v>492</v>
      </c>
      <c r="T162" t="s">
        <v>490</v>
      </c>
      <c r="V162">
        <v>0.95</v>
      </c>
      <c r="W162" t="s">
        <v>527</v>
      </c>
    </row>
    <row r="163" spans="1:23" x14ac:dyDescent="0.2">
      <c r="A163" t="s">
        <v>490</v>
      </c>
      <c r="B163" t="s">
        <v>37</v>
      </c>
      <c r="C163" t="s">
        <v>599</v>
      </c>
      <c r="D163" t="s">
        <v>600</v>
      </c>
      <c r="E163" t="s">
        <v>911</v>
      </c>
      <c r="F163" s="4" t="s">
        <v>18</v>
      </c>
      <c r="G163" s="4">
        <v>0.6</v>
      </c>
      <c r="H163" s="4" t="s">
        <v>20</v>
      </c>
      <c r="I163" s="4">
        <v>0.4</v>
      </c>
      <c r="J163" t="s">
        <v>988</v>
      </c>
      <c r="K163" t="s">
        <v>989</v>
      </c>
      <c r="L163" t="s">
        <v>44</v>
      </c>
      <c r="M163" s="6">
        <v>1.2</v>
      </c>
      <c r="N163" s="6">
        <v>0.5</v>
      </c>
      <c r="P163" t="s">
        <v>219</v>
      </c>
      <c r="Q163">
        <v>2</v>
      </c>
      <c r="R163" t="s">
        <v>491</v>
      </c>
      <c r="S163" t="s">
        <v>492</v>
      </c>
      <c r="T163" t="s">
        <v>491</v>
      </c>
      <c r="V163">
        <v>0.95</v>
      </c>
      <c r="W163" t="s">
        <v>527</v>
      </c>
    </row>
    <row r="164" spans="1:23" x14ac:dyDescent="0.2">
      <c r="A164" t="s">
        <v>491</v>
      </c>
      <c r="B164" t="s">
        <v>37</v>
      </c>
      <c r="C164" t="s">
        <v>570</v>
      </c>
      <c r="D164" t="s">
        <v>607</v>
      </c>
      <c r="E164" t="s">
        <v>608</v>
      </c>
      <c r="F164" s="4" t="s">
        <v>18</v>
      </c>
      <c r="G164" s="4">
        <v>0.5</v>
      </c>
      <c r="H164" s="4" t="s">
        <v>20</v>
      </c>
      <c r="I164" s="4">
        <v>0.5</v>
      </c>
      <c r="J164" t="s">
        <v>991</v>
      </c>
      <c r="K164" t="s">
        <v>992</v>
      </c>
      <c r="L164" t="s">
        <v>44</v>
      </c>
      <c r="M164" s="6">
        <v>1.2</v>
      </c>
      <c r="P164" t="s">
        <v>219</v>
      </c>
      <c r="Q164">
        <v>2</v>
      </c>
      <c r="R164" t="s">
        <v>492</v>
      </c>
      <c r="S164" t="s">
        <v>494</v>
      </c>
      <c r="T164" t="s">
        <v>492</v>
      </c>
      <c r="V164">
        <v>0.1</v>
      </c>
      <c r="W164" t="s">
        <v>537</v>
      </c>
    </row>
    <row r="165" spans="1:23" x14ac:dyDescent="0.2">
      <c r="A165" t="s">
        <v>492</v>
      </c>
      <c r="B165" t="s">
        <v>39</v>
      </c>
      <c r="C165" t="s">
        <v>521</v>
      </c>
      <c r="D165" t="s">
        <v>566</v>
      </c>
      <c r="E165" t="s">
        <v>567</v>
      </c>
      <c r="F165" s="4" t="s">
        <v>18</v>
      </c>
      <c r="G165" s="4">
        <v>1</v>
      </c>
      <c r="H165" s="4" t="s">
        <v>522</v>
      </c>
      <c r="J165" t="s">
        <v>994</v>
      </c>
      <c r="K165" t="s">
        <v>995</v>
      </c>
      <c r="L165" t="s">
        <v>44</v>
      </c>
      <c r="M165" s="6">
        <v>1</v>
      </c>
      <c r="P165" t="s">
        <v>865</v>
      </c>
      <c r="T165" t="s">
        <v>493</v>
      </c>
      <c r="V165">
        <v>0.108</v>
      </c>
      <c r="W165" t="s">
        <v>537</v>
      </c>
    </row>
    <row r="166" spans="1:23" x14ac:dyDescent="0.2">
      <c r="A166" t="s">
        <v>493</v>
      </c>
      <c r="B166" t="s">
        <v>39</v>
      </c>
      <c r="C166" t="s">
        <v>530</v>
      </c>
      <c r="D166" t="s">
        <v>581</v>
      </c>
      <c r="E166" t="s">
        <v>718</v>
      </c>
      <c r="F166" s="4" t="s">
        <v>18</v>
      </c>
      <c r="G166" s="4">
        <v>0.6</v>
      </c>
      <c r="H166" s="4" t="s">
        <v>30</v>
      </c>
      <c r="I166" s="4">
        <v>0.4</v>
      </c>
      <c r="J166" t="s">
        <v>996</v>
      </c>
      <c r="K166" t="s">
        <v>997</v>
      </c>
      <c r="L166" t="s">
        <v>44</v>
      </c>
      <c r="M166" s="6">
        <v>1</v>
      </c>
      <c r="P166" t="s">
        <v>865</v>
      </c>
      <c r="T166" t="s">
        <v>494</v>
      </c>
      <c r="V166">
        <v>0.113</v>
      </c>
      <c r="W166" t="s">
        <v>537</v>
      </c>
    </row>
    <row r="167" spans="1:23" x14ac:dyDescent="0.2">
      <c r="A167" t="s">
        <v>494</v>
      </c>
      <c r="B167" t="s">
        <v>37</v>
      </c>
      <c r="C167" t="s">
        <v>599</v>
      </c>
      <c r="D167" t="s">
        <v>600</v>
      </c>
      <c r="E167" t="s">
        <v>911</v>
      </c>
      <c r="F167" s="4" t="s">
        <v>34</v>
      </c>
      <c r="G167" s="4">
        <v>0.7</v>
      </c>
      <c r="H167" s="4" t="s">
        <v>18</v>
      </c>
      <c r="I167" s="4">
        <v>0.3</v>
      </c>
      <c r="J167" t="s">
        <v>998</v>
      </c>
      <c r="K167" t="s">
        <v>999</v>
      </c>
      <c r="L167" t="s">
        <v>46</v>
      </c>
      <c r="M167" s="6">
        <v>1.2</v>
      </c>
      <c r="P167" t="s">
        <v>219</v>
      </c>
      <c r="Q167">
        <v>2</v>
      </c>
      <c r="R167" t="s">
        <v>495</v>
      </c>
      <c r="S167" t="s">
        <v>496</v>
      </c>
      <c r="T167" t="s">
        <v>495</v>
      </c>
      <c r="V167">
        <v>0.10299999999999999</v>
      </c>
      <c r="W167" t="s">
        <v>537</v>
      </c>
    </row>
    <row r="168" spans="1:23" x14ac:dyDescent="0.2">
      <c r="A168" t="s">
        <v>495</v>
      </c>
      <c r="B168" t="s">
        <v>39</v>
      </c>
      <c r="C168" t="s">
        <v>570</v>
      </c>
      <c r="D168" t="s">
        <v>607</v>
      </c>
      <c r="E168" t="s">
        <v>687</v>
      </c>
      <c r="F168" s="4" t="s">
        <v>24</v>
      </c>
      <c r="G168" s="4">
        <v>0.7</v>
      </c>
      <c r="H168" s="4" t="s">
        <v>18</v>
      </c>
      <c r="I168" s="4">
        <v>0.3</v>
      </c>
      <c r="J168" t="s">
        <v>1000</v>
      </c>
      <c r="K168" t="s">
        <v>1001</v>
      </c>
      <c r="L168" t="s">
        <v>52</v>
      </c>
      <c r="M168" s="6">
        <v>1.1000000000000001</v>
      </c>
      <c r="P168" t="s">
        <v>865</v>
      </c>
      <c r="T168" t="s">
        <v>496</v>
      </c>
      <c r="V168">
        <v>0.95</v>
      </c>
      <c r="W168" t="s">
        <v>527</v>
      </c>
    </row>
    <row r="169" spans="1:23" x14ac:dyDescent="0.2">
      <c r="A169" t="s">
        <v>496</v>
      </c>
      <c r="B169" t="s">
        <v>39</v>
      </c>
      <c r="C169" t="s">
        <v>570</v>
      </c>
      <c r="D169" t="s">
        <v>594</v>
      </c>
      <c r="E169" t="s">
        <v>595</v>
      </c>
      <c r="F169" s="4" t="s">
        <v>18</v>
      </c>
      <c r="G169" s="4">
        <v>0.5</v>
      </c>
      <c r="H169" s="4" t="s">
        <v>28</v>
      </c>
      <c r="I169" s="4">
        <v>0.5</v>
      </c>
      <c r="J169" t="s">
        <v>1003</v>
      </c>
      <c r="K169" t="s">
        <v>1004</v>
      </c>
      <c r="L169" t="s">
        <v>44</v>
      </c>
      <c r="M169" s="6">
        <v>1</v>
      </c>
      <c r="P169" t="s">
        <v>865</v>
      </c>
      <c r="T169" t="s">
        <v>497</v>
      </c>
      <c r="V169">
        <v>0.95</v>
      </c>
      <c r="W169" t="s">
        <v>527</v>
      </c>
    </row>
    <row r="170" spans="1:23" x14ac:dyDescent="0.2">
      <c r="A170" t="s">
        <v>497</v>
      </c>
      <c r="B170" t="s">
        <v>39</v>
      </c>
      <c r="C170" t="s">
        <v>521</v>
      </c>
      <c r="D170" t="s">
        <v>566</v>
      </c>
      <c r="E170" t="s">
        <v>978</v>
      </c>
      <c r="F170" s="4" t="s">
        <v>30</v>
      </c>
      <c r="G170" s="4">
        <v>0.6</v>
      </c>
      <c r="H170" s="4" t="s">
        <v>20</v>
      </c>
      <c r="I170" s="4">
        <v>0.4</v>
      </c>
      <c r="J170" t="s">
        <v>1006</v>
      </c>
      <c r="K170" t="s">
        <v>1007</v>
      </c>
      <c r="L170" t="s">
        <v>48</v>
      </c>
      <c r="M170" s="6">
        <v>1</v>
      </c>
      <c r="P170" t="s">
        <v>865</v>
      </c>
      <c r="T170" t="s">
        <v>498</v>
      </c>
      <c r="V170">
        <v>8.5999999999999993E-2</v>
      </c>
      <c r="W170" t="s">
        <v>537</v>
      </c>
    </row>
    <row r="171" spans="1:23" x14ac:dyDescent="0.2">
      <c r="A171" t="s">
        <v>498</v>
      </c>
      <c r="B171" t="s">
        <v>41</v>
      </c>
      <c r="C171" t="s">
        <v>550</v>
      </c>
      <c r="D171" t="s">
        <v>551</v>
      </c>
      <c r="E171" t="s">
        <v>552</v>
      </c>
      <c r="F171" s="4" t="s">
        <v>24</v>
      </c>
      <c r="G171" s="4">
        <v>0.5</v>
      </c>
      <c r="H171" s="4" t="s">
        <v>22</v>
      </c>
      <c r="I171" s="4">
        <v>0.5</v>
      </c>
      <c r="J171" t="s">
        <v>1009</v>
      </c>
      <c r="K171" t="s">
        <v>1010</v>
      </c>
      <c r="L171" t="s">
        <v>52</v>
      </c>
      <c r="M171" s="6">
        <v>1</v>
      </c>
      <c r="P171" t="s">
        <v>817</v>
      </c>
      <c r="V171">
        <v>0.95</v>
      </c>
      <c r="W171" t="s">
        <v>527</v>
      </c>
    </row>
  </sheetData>
  <autoFilter ref="A1:W171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04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10" customWidth="1"/>
    <col min="4" max="4" width="60" customWidth="1"/>
    <col min="5" max="5" width="11" customWidth="1"/>
    <col min="6" max="6" width="40" customWidth="1"/>
    <col min="7" max="7" width="21" customWidth="1"/>
    <col min="8" max="8" width="33" customWidth="1"/>
    <col min="9" max="9" width="17" customWidth="1"/>
    <col min="10" max="10" width="60" customWidth="1"/>
  </cols>
  <sheetData>
    <row r="1" spans="1:10" ht="16" x14ac:dyDescent="0.2">
      <c r="A1" s="1" t="s">
        <v>323</v>
      </c>
      <c r="B1" s="1" t="s">
        <v>1011</v>
      </c>
      <c r="C1" s="1" t="s">
        <v>1012</v>
      </c>
      <c r="D1" s="1" t="s">
        <v>1013</v>
      </c>
      <c r="E1" s="1" t="s">
        <v>1014</v>
      </c>
      <c r="F1" s="1" t="s">
        <v>171</v>
      </c>
      <c r="G1" s="1" t="s">
        <v>54</v>
      </c>
      <c r="H1" s="1" t="s">
        <v>67</v>
      </c>
      <c r="I1" s="1" t="s">
        <v>213</v>
      </c>
      <c r="J1" s="1" t="s">
        <v>1015</v>
      </c>
    </row>
    <row r="2" spans="1:10" x14ac:dyDescent="0.2">
      <c r="A2" t="s">
        <v>337</v>
      </c>
      <c r="B2" t="s">
        <v>1016</v>
      </c>
      <c r="C2">
        <v>1</v>
      </c>
      <c r="D2" t="s">
        <v>1017</v>
      </c>
      <c r="E2">
        <v>0</v>
      </c>
      <c r="F2" t="s">
        <v>273</v>
      </c>
      <c r="G2" t="s">
        <v>65</v>
      </c>
      <c r="H2" t="s">
        <v>88</v>
      </c>
      <c r="I2" t="s">
        <v>222</v>
      </c>
    </row>
    <row r="3" spans="1:10" x14ac:dyDescent="0.2">
      <c r="A3" t="s">
        <v>337</v>
      </c>
      <c r="B3" t="s">
        <v>1018</v>
      </c>
      <c r="C3">
        <v>2</v>
      </c>
      <c r="D3" t="s">
        <v>1019</v>
      </c>
      <c r="E3">
        <v>0</v>
      </c>
      <c r="F3" t="s">
        <v>242</v>
      </c>
      <c r="G3" t="s">
        <v>60</v>
      </c>
      <c r="H3" t="s">
        <v>127</v>
      </c>
      <c r="I3" t="s">
        <v>222</v>
      </c>
    </row>
    <row r="4" spans="1:10" x14ac:dyDescent="0.2">
      <c r="A4" t="s">
        <v>337</v>
      </c>
      <c r="B4" t="s">
        <v>1020</v>
      </c>
      <c r="C4">
        <v>3</v>
      </c>
      <c r="D4" t="s">
        <v>1021</v>
      </c>
      <c r="E4">
        <v>1</v>
      </c>
      <c r="F4" t="s">
        <v>266</v>
      </c>
      <c r="G4" t="s">
        <v>63</v>
      </c>
      <c r="H4" t="s">
        <v>152</v>
      </c>
      <c r="I4" t="s">
        <v>222</v>
      </c>
    </row>
    <row r="5" spans="1:10" x14ac:dyDescent="0.2">
      <c r="A5" t="s">
        <v>337</v>
      </c>
      <c r="B5" t="s">
        <v>1022</v>
      </c>
      <c r="C5">
        <v>4</v>
      </c>
      <c r="D5" t="s">
        <v>1023</v>
      </c>
      <c r="E5">
        <v>2</v>
      </c>
      <c r="F5" t="s">
        <v>172</v>
      </c>
      <c r="G5" t="s">
        <v>61</v>
      </c>
      <c r="H5" t="s">
        <v>148</v>
      </c>
      <c r="I5" t="s">
        <v>218</v>
      </c>
      <c r="J5" t="s">
        <v>1024</v>
      </c>
    </row>
    <row r="6" spans="1:10" x14ac:dyDescent="0.2">
      <c r="A6" t="s">
        <v>337</v>
      </c>
      <c r="B6" t="s">
        <v>1025</v>
      </c>
      <c r="C6">
        <v>5</v>
      </c>
      <c r="D6" t="s">
        <v>1026</v>
      </c>
      <c r="E6">
        <v>3</v>
      </c>
      <c r="F6" t="s">
        <v>243</v>
      </c>
      <c r="H6" t="s">
        <v>148</v>
      </c>
      <c r="I6" t="s">
        <v>218</v>
      </c>
      <c r="J6" t="s">
        <v>1027</v>
      </c>
    </row>
    <row r="7" spans="1:10" x14ac:dyDescent="0.2">
      <c r="A7" t="s">
        <v>337</v>
      </c>
      <c r="B7" t="s">
        <v>1028</v>
      </c>
      <c r="C7">
        <v>6</v>
      </c>
      <c r="D7" t="s">
        <v>1029</v>
      </c>
      <c r="E7">
        <v>4</v>
      </c>
      <c r="F7" t="s">
        <v>256</v>
      </c>
      <c r="H7" t="s">
        <v>148</v>
      </c>
      <c r="I7" t="s">
        <v>218</v>
      </c>
      <c r="J7" t="s">
        <v>1030</v>
      </c>
    </row>
    <row r="8" spans="1:10" x14ac:dyDescent="0.2">
      <c r="A8" t="s">
        <v>340</v>
      </c>
      <c r="B8" t="s">
        <v>1031</v>
      </c>
      <c r="C8">
        <v>1</v>
      </c>
      <c r="D8" t="s">
        <v>1032</v>
      </c>
      <c r="E8">
        <v>0</v>
      </c>
      <c r="F8" t="s">
        <v>242</v>
      </c>
      <c r="G8" t="s">
        <v>60</v>
      </c>
      <c r="H8" t="s">
        <v>127</v>
      </c>
      <c r="I8" t="s">
        <v>222</v>
      </c>
    </row>
    <row r="9" spans="1:10" x14ac:dyDescent="0.2">
      <c r="A9" t="s">
        <v>340</v>
      </c>
      <c r="B9" t="s">
        <v>1033</v>
      </c>
      <c r="C9">
        <v>2</v>
      </c>
      <c r="D9" t="s">
        <v>1034</v>
      </c>
      <c r="E9">
        <v>1</v>
      </c>
      <c r="F9" t="s">
        <v>1035</v>
      </c>
      <c r="G9" t="s">
        <v>63</v>
      </c>
      <c r="H9" t="s">
        <v>84</v>
      </c>
      <c r="I9" t="s">
        <v>222</v>
      </c>
    </row>
    <row r="10" spans="1:10" x14ac:dyDescent="0.2">
      <c r="A10" t="s">
        <v>340</v>
      </c>
      <c r="B10" t="s">
        <v>1036</v>
      </c>
      <c r="C10">
        <v>3</v>
      </c>
      <c r="D10" t="s">
        <v>1037</v>
      </c>
      <c r="E10">
        <v>2</v>
      </c>
      <c r="F10" t="s">
        <v>174</v>
      </c>
      <c r="G10" t="s">
        <v>63</v>
      </c>
      <c r="H10" t="s">
        <v>123</v>
      </c>
      <c r="I10" t="s">
        <v>222</v>
      </c>
    </row>
    <row r="11" spans="1:10" x14ac:dyDescent="0.2">
      <c r="A11" t="s">
        <v>340</v>
      </c>
      <c r="B11" t="s">
        <v>1038</v>
      </c>
      <c r="C11">
        <v>4</v>
      </c>
      <c r="D11" t="s">
        <v>1039</v>
      </c>
      <c r="E11">
        <v>3</v>
      </c>
      <c r="F11" t="s">
        <v>239</v>
      </c>
      <c r="G11" t="s">
        <v>63</v>
      </c>
      <c r="H11" t="s">
        <v>153</v>
      </c>
      <c r="I11" t="s">
        <v>222</v>
      </c>
    </row>
    <row r="12" spans="1:10" x14ac:dyDescent="0.2">
      <c r="A12" t="s">
        <v>341</v>
      </c>
      <c r="B12" t="s">
        <v>1040</v>
      </c>
      <c r="C12">
        <v>1</v>
      </c>
      <c r="D12" t="s">
        <v>1017</v>
      </c>
      <c r="E12">
        <v>0</v>
      </c>
      <c r="F12" t="s">
        <v>273</v>
      </c>
      <c r="G12" t="s">
        <v>65</v>
      </c>
      <c r="H12" t="s">
        <v>88</v>
      </c>
      <c r="I12" t="s">
        <v>222</v>
      </c>
    </row>
    <row r="13" spans="1:10" x14ac:dyDescent="0.2">
      <c r="A13" t="s">
        <v>341</v>
      </c>
      <c r="B13" t="s">
        <v>1041</v>
      </c>
      <c r="C13">
        <v>2</v>
      </c>
      <c r="D13" t="s">
        <v>1042</v>
      </c>
      <c r="E13">
        <v>0</v>
      </c>
      <c r="F13" t="s">
        <v>242</v>
      </c>
      <c r="G13" t="s">
        <v>60</v>
      </c>
      <c r="H13" t="s">
        <v>104</v>
      </c>
      <c r="I13" t="s">
        <v>222</v>
      </c>
    </row>
    <row r="14" spans="1:10" x14ac:dyDescent="0.2">
      <c r="A14" t="s">
        <v>341</v>
      </c>
      <c r="B14" t="s">
        <v>1043</v>
      </c>
      <c r="C14">
        <v>3</v>
      </c>
      <c r="D14" t="s">
        <v>1044</v>
      </c>
      <c r="E14">
        <v>1</v>
      </c>
      <c r="F14" t="s">
        <v>267</v>
      </c>
      <c r="G14" t="s">
        <v>60</v>
      </c>
      <c r="H14" t="s">
        <v>107</v>
      </c>
      <c r="I14" t="s">
        <v>222</v>
      </c>
    </row>
    <row r="15" spans="1:10" x14ac:dyDescent="0.2">
      <c r="A15" t="s">
        <v>341</v>
      </c>
      <c r="B15" t="s">
        <v>1045</v>
      </c>
      <c r="C15">
        <v>4</v>
      </c>
      <c r="D15" t="s">
        <v>1046</v>
      </c>
      <c r="E15">
        <v>2</v>
      </c>
      <c r="F15" t="s">
        <v>259</v>
      </c>
      <c r="G15" t="s">
        <v>61</v>
      </c>
      <c r="H15" t="s">
        <v>164</v>
      </c>
      <c r="I15" t="s">
        <v>222</v>
      </c>
    </row>
    <row r="16" spans="1:10" x14ac:dyDescent="0.2">
      <c r="A16" t="s">
        <v>341</v>
      </c>
      <c r="B16" t="s">
        <v>1047</v>
      </c>
      <c r="C16">
        <v>5</v>
      </c>
      <c r="D16" t="s">
        <v>1048</v>
      </c>
      <c r="E16">
        <v>3</v>
      </c>
      <c r="F16" t="s">
        <v>243</v>
      </c>
      <c r="H16" t="s">
        <v>148</v>
      </c>
      <c r="I16" t="s">
        <v>218</v>
      </c>
      <c r="J16" t="s">
        <v>1049</v>
      </c>
    </row>
    <row r="17" spans="1:10" x14ac:dyDescent="0.2">
      <c r="A17" t="s">
        <v>341</v>
      </c>
      <c r="B17" t="s">
        <v>1050</v>
      </c>
      <c r="C17">
        <v>6</v>
      </c>
      <c r="D17" t="s">
        <v>1051</v>
      </c>
      <c r="E17">
        <v>4</v>
      </c>
      <c r="F17" t="s">
        <v>256</v>
      </c>
      <c r="H17" t="s">
        <v>148</v>
      </c>
      <c r="I17" t="s">
        <v>218</v>
      </c>
      <c r="J17" t="s">
        <v>1052</v>
      </c>
    </row>
    <row r="18" spans="1:10" x14ac:dyDescent="0.2">
      <c r="A18" t="s">
        <v>342</v>
      </c>
      <c r="B18" t="s">
        <v>1053</v>
      </c>
      <c r="C18">
        <v>1</v>
      </c>
      <c r="D18" t="s">
        <v>1017</v>
      </c>
      <c r="E18">
        <v>0</v>
      </c>
      <c r="F18" t="s">
        <v>273</v>
      </c>
      <c r="G18" t="s">
        <v>65</v>
      </c>
      <c r="H18" t="s">
        <v>88</v>
      </c>
      <c r="I18" t="s">
        <v>222</v>
      </c>
    </row>
    <row r="19" spans="1:10" x14ac:dyDescent="0.2">
      <c r="A19" t="s">
        <v>342</v>
      </c>
      <c r="B19" t="s">
        <v>1054</v>
      </c>
      <c r="C19">
        <v>2</v>
      </c>
      <c r="D19" t="s">
        <v>1055</v>
      </c>
      <c r="E19">
        <v>0</v>
      </c>
      <c r="F19" t="s">
        <v>267</v>
      </c>
      <c r="G19" t="s">
        <v>60</v>
      </c>
      <c r="H19" t="s">
        <v>96</v>
      </c>
      <c r="I19" t="s">
        <v>222</v>
      </c>
    </row>
    <row r="20" spans="1:10" x14ac:dyDescent="0.2">
      <c r="A20" t="s">
        <v>342</v>
      </c>
      <c r="B20" t="s">
        <v>1056</v>
      </c>
      <c r="C20">
        <v>3</v>
      </c>
      <c r="D20" t="s">
        <v>1057</v>
      </c>
      <c r="E20">
        <v>1</v>
      </c>
      <c r="F20" t="s">
        <v>246</v>
      </c>
      <c r="G20" t="s">
        <v>63</v>
      </c>
      <c r="H20" t="s">
        <v>119</v>
      </c>
      <c r="I20" t="s">
        <v>222</v>
      </c>
    </row>
    <row r="21" spans="1:10" x14ac:dyDescent="0.2">
      <c r="A21" t="s">
        <v>342</v>
      </c>
      <c r="B21" t="s">
        <v>1058</v>
      </c>
      <c r="C21">
        <v>4</v>
      </c>
      <c r="D21" t="s">
        <v>1059</v>
      </c>
      <c r="E21">
        <v>2</v>
      </c>
      <c r="F21" t="s">
        <v>245</v>
      </c>
      <c r="G21" t="s">
        <v>61</v>
      </c>
      <c r="H21" t="s">
        <v>128</v>
      </c>
      <c r="I21" t="s">
        <v>222</v>
      </c>
    </row>
    <row r="22" spans="1:10" x14ac:dyDescent="0.2">
      <c r="A22" t="s">
        <v>342</v>
      </c>
      <c r="B22" t="s">
        <v>1060</v>
      </c>
      <c r="C22">
        <v>5</v>
      </c>
      <c r="D22" t="s">
        <v>1061</v>
      </c>
      <c r="E22">
        <v>3</v>
      </c>
      <c r="F22" t="s">
        <v>243</v>
      </c>
      <c r="H22" t="s">
        <v>148</v>
      </c>
      <c r="I22" t="s">
        <v>218</v>
      </c>
      <c r="J22" t="s">
        <v>1062</v>
      </c>
    </row>
    <row r="23" spans="1:10" x14ac:dyDescent="0.2">
      <c r="A23" t="s">
        <v>342</v>
      </c>
      <c r="B23" t="s">
        <v>1063</v>
      </c>
      <c r="C23">
        <v>6</v>
      </c>
      <c r="D23" t="s">
        <v>1064</v>
      </c>
      <c r="E23">
        <v>4</v>
      </c>
      <c r="F23" t="s">
        <v>256</v>
      </c>
      <c r="H23" t="s">
        <v>148</v>
      </c>
      <c r="I23" t="s">
        <v>218</v>
      </c>
    </row>
    <row r="24" spans="1:10" x14ac:dyDescent="0.2">
      <c r="A24" t="s">
        <v>343</v>
      </c>
      <c r="B24" t="s">
        <v>1065</v>
      </c>
      <c r="C24">
        <v>1</v>
      </c>
      <c r="D24" t="s">
        <v>1017</v>
      </c>
      <c r="E24">
        <v>0</v>
      </c>
      <c r="F24" t="s">
        <v>273</v>
      </c>
      <c r="G24" t="s">
        <v>65</v>
      </c>
      <c r="H24" t="s">
        <v>86</v>
      </c>
      <c r="I24" t="s">
        <v>222</v>
      </c>
    </row>
    <row r="25" spans="1:10" x14ac:dyDescent="0.2">
      <c r="A25" t="s">
        <v>343</v>
      </c>
      <c r="B25" t="s">
        <v>1066</v>
      </c>
      <c r="C25">
        <v>2</v>
      </c>
      <c r="D25" t="s">
        <v>1067</v>
      </c>
      <c r="E25">
        <v>0</v>
      </c>
      <c r="F25" t="s">
        <v>242</v>
      </c>
      <c r="G25" t="s">
        <v>60</v>
      </c>
      <c r="H25" t="s">
        <v>101</v>
      </c>
      <c r="I25" t="s">
        <v>222</v>
      </c>
    </row>
    <row r="26" spans="1:10" x14ac:dyDescent="0.2">
      <c r="A26" t="s">
        <v>343</v>
      </c>
      <c r="B26" t="s">
        <v>1068</v>
      </c>
      <c r="C26">
        <v>3</v>
      </c>
      <c r="D26" t="s">
        <v>1069</v>
      </c>
      <c r="E26">
        <v>1</v>
      </c>
      <c r="F26" t="s">
        <v>274</v>
      </c>
      <c r="G26" t="s">
        <v>57</v>
      </c>
      <c r="H26" t="s">
        <v>159</v>
      </c>
      <c r="I26" t="s">
        <v>222</v>
      </c>
    </row>
    <row r="27" spans="1:10" x14ac:dyDescent="0.2">
      <c r="A27" t="s">
        <v>343</v>
      </c>
      <c r="B27" t="s">
        <v>1070</v>
      </c>
      <c r="C27">
        <v>4</v>
      </c>
      <c r="D27" t="s">
        <v>1071</v>
      </c>
      <c r="E27">
        <v>2</v>
      </c>
      <c r="F27" t="s">
        <v>258</v>
      </c>
      <c r="G27" t="s">
        <v>61</v>
      </c>
      <c r="H27" t="s">
        <v>140</v>
      </c>
      <c r="I27" t="s">
        <v>222</v>
      </c>
    </row>
    <row r="28" spans="1:10" x14ac:dyDescent="0.2">
      <c r="A28" t="s">
        <v>343</v>
      </c>
      <c r="B28" t="s">
        <v>1072</v>
      </c>
      <c r="C28">
        <v>5</v>
      </c>
      <c r="D28" t="s">
        <v>1073</v>
      </c>
      <c r="E28">
        <v>3</v>
      </c>
      <c r="F28" t="s">
        <v>243</v>
      </c>
      <c r="H28" t="s">
        <v>148</v>
      </c>
      <c r="I28" t="s">
        <v>218</v>
      </c>
      <c r="J28" t="s">
        <v>1074</v>
      </c>
    </row>
    <row r="29" spans="1:10" x14ac:dyDescent="0.2">
      <c r="A29" t="s">
        <v>343</v>
      </c>
      <c r="B29" t="s">
        <v>1075</v>
      </c>
      <c r="C29">
        <v>6</v>
      </c>
      <c r="D29" t="s">
        <v>1076</v>
      </c>
      <c r="E29">
        <v>4</v>
      </c>
      <c r="F29" t="s">
        <v>256</v>
      </c>
      <c r="H29" t="s">
        <v>148</v>
      </c>
      <c r="I29" t="s">
        <v>218</v>
      </c>
    </row>
    <row r="30" spans="1:10" x14ac:dyDescent="0.2">
      <c r="A30" t="s">
        <v>344</v>
      </c>
      <c r="B30" t="s">
        <v>1077</v>
      </c>
      <c r="C30">
        <v>1</v>
      </c>
      <c r="D30" t="s">
        <v>1017</v>
      </c>
      <c r="E30">
        <v>0</v>
      </c>
      <c r="F30" t="s">
        <v>273</v>
      </c>
      <c r="G30" t="s">
        <v>65</v>
      </c>
      <c r="H30" t="s">
        <v>87</v>
      </c>
      <c r="I30" t="s">
        <v>222</v>
      </c>
    </row>
    <row r="31" spans="1:10" x14ac:dyDescent="0.2">
      <c r="A31" t="s">
        <v>344</v>
      </c>
      <c r="B31" t="s">
        <v>1078</v>
      </c>
      <c r="C31">
        <v>2</v>
      </c>
      <c r="D31" t="s">
        <v>1079</v>
      </c>
      <c r="E31">
        <v>0</v>
      </c>
      <c r="F31" t="s">
        <v>264</v>
      </c>
      <c r="G31" t="s">
        <v>60</v>
      </c>
      <c r="H31" t="s">
        <v>93</v>
      </c>
      <c r="I31" t="s">
        <v>222</v>
      </c>
    </row>
    <row r="32" spans="1:10" x14ac:dyDescent="0.2">
      <c r="A32" t="s">
        <v>344</v>
      </c>
      <c r="B32" t="s">
        <v>1080</v>
      </c>
      <c r="C32">
        <v>3</v>
      </c>
      <c r="D32" t="s">
        <v>1081</v>
      </c>
      <c r="E32">
        <v>1</v>
      </c>
      <c r="F32" t="s">
        <v>266</v>
      </c>
      <c r="G32" t="s">
        <v>63</v>
      </c>
      <c r="H32" t="s">
        <v>125</v>
      </c>
      <c r="I32" t="s">
        <v>222</v>
      </c>
    </row>
    <row r="33" spans="1:10" x14ac:dyDescent="0.2">
      <c r="A33" t="s">
        <v>344</v>
      </c>
      <c r="B33" t="s">
        <v>1082</v>
      </c>
      <c r="C33">
        <v>4</v>
      </c>
      <c r="D33" t="s">
        <v>1083</v>
      </c>
      <c r="E33">
        <v>2</v>
      </c>
      <c r="F33" t="s">
        <v>260</v>
      </c>
      <c r="G33" t="s">
        <v>61</v>
      </c>
      <c r="H33" t="s">
        <v>70</v>
      </c>
      <c r="I33" t="s">
        <v>222</v>
      </c>
    </row>
    <row r="34" spans="1:10" x14ac:dyDescent="0.2">
      <c r="A34" t="s">
        <v>344</v>
      </c>
      <c r="B34" t="s">
        <v>1084</v>
      </c>
      <c r="C34">
        <v>5</v>
      </c>
      <c r="D34" t="s">
        <v>1085</v>
      </c>
      <c r="E34">
        <v>3</v>
      </c>
      <c r="F34" t="s">
        <v>243</v>
      </c>
      <c r="H34" t="s">
        <v>148</v>
      </c>
      <c r="I34" t="s">
        <v>218</v>
      </c>
      <c r="J34" t="s">
        <v>1086</v>
      </c>
    </row>
    <row r="35" spans="1:10" x14ac:dyDescent="0.2">
      <c r="A35" t="s">
        <v>344</v>
      </c>
      <c r="B35" t="s">
        <v>1087</v>
      </c>
      <c r="C35">
        <v>6</v>
      </c>
      <c r="D35" t="s">
        <v>1088</v>
      </c>
      <c r="E35">
        <v>4</v>
      </c>
      <c r="F35" t="s">
        <v>256</v>
      </c>
      <c r="H35" t="s">
        <v>148</v>
      </c>
      <c r="I35" t="s">
        <v>218</v>
      </c>
    </row>
    <row r="36" spans="1:10" x14ac:dyDescent="0.2">
      <c r="A36" t="s">
        <v>345</v>
      </c>
      <c r="B36" t="s">
        <v>1089</v>
      </c>
      <c r="C36">
        <v>1</v>
      </c>
      <c r="D36" t="s">
        <v>1017</v>
      </c>
      <c r="E36">
        <v>0</v>
      </c>
      <c r="F36" t="s">
        <v>273</v>
      </c>
      <c r="G36" t="s">
        <v>65</v>
      </c>
      <c r="H36" t="s">
        <v>151</v>
      </c>
      <c r="I36" t="s">
        <v>222</v>
      </c>
    </row>
    <row r="37" spans="1:10" x14ac:dyDescent="0.2">
      <c r="A37" t="s">
        <v>345</v>
      </c>
      <c r="B37" t="s">
        <v>1090</v>
      </c>
      <c r="C37">
        <v>2</v>
      </c>
      <c r="D37" t="s">
        <v>1091</v>
      </c>
      <c r="E37">
        <v>0</v>
      </c>
      <c r="F37" t="s">
        <v>276</v>
      </c>
      <c r="G37" t="s">
        <v>66</v>
      </c>
      <c r="H37" t="s">
        <v>151</v>
      </c>
      <c r="I37" t="s">
        <v>222</v>
      </c>
    </row>
    <row r="38" spans="1:10" x14ac:dyDescent="0.2">
      <c r="A38" t="s">
        <v>345</v>
      </c>
      <c r="B38" t="s">
        <v>1092</v>
      </c>
      <c r="C38">
        <v>3</v>
      </c>
      <c r="D38" t="s">
        <v>1093</v>
      </c>
      <c r="E38">
        <v>1</v>
      </c>
      <c r="F38" t="s">
        <v>1094</v>
      </c>
      <c r="G38" t="s">
        <v>63</v>
      </c>
      <c r="H38" t="s">
        <v>108</v>
      </c>
      <c r="I38" t="s">
        <v>222</v>
      </c>
    </row>
    <row r="39" spans="1:10" x14ac:dyDescent="0.2">
      <c r="A39" t="s">
        <v>345</v>
      </c>
      <c r="B39" t="s">
        <v>1095</v>
      </c>
      <c r="C39">
        <v>4</v>
      </c>
      <c r="D39" t="s">
        <v>1096</v>
      </c>
      <c r="E39">
        <v>2</v>
      </c>
      <c r="F39" t="s">
        <v>234</v>
      </c>
      <c r="G39" t="s">
        <v>61</v>
      </c>
      <c r="H39" t="s">
        <v>116</v>
      </c>
      <c r="I39" t="s">
        <v>222</v>
      </c>
    </row>
    <row r="40" spans="1:10" x14ac:dyDescent="0.2">
      <c r="A40" t="s">
        <v>345</v>
      </c>
      <c r="B40" t="s">
        <v>1097</v>
      </c>
      <c r="C40">
        <v>5</v>
      </c>
      <c r="D40" t="s">
        <v>1098</v>
      </c>
      <c r="E40">
        <v>3</v>
      </c>
      <c r="F40" t="s">
        <v>243</v>
      </c>
      <c r="H40" t="s">
        <v>148</v>
      </c>
      <c r="I40" t="s">
        <v>218</v>
      </c>
      <c r="J40" t="s">
        <v>1099</v>
      </c>
    </row>
    <row r="41" spans="1:10" x14ac:dyDescent="0.2">
      <c r="A41" t="s">
        <v>345</v>
      </c>
      <c r="B41" t="s">
        <v>1100</v>
      </c>
      <c r="C41">
        <v>6</v>
      </c>
      <c r="D41" t="s">
        <v>1101</v>
      </c>
      <c r="E41">
        <v>4</v>
      </c>
      <c r="F41" t="s">
        <v>256</v>
      </c>
      <c r="H41" t="s">
        <v>148</v>
      </c>
      <c r="I41" t="s">
        <v>218</v>
      </c>
    </row>
    <row r="42" spans="1:10" x14ac:dyDescent="0.2">
      <c r="A42" t="s">
        <v>346</v>
      </c>
      <c r="B42" t="s">
        <v>1102</v>
      </c>
      <c r="C42">
        <v>1</v>
      </c>
      <c r="D42" t="s">
        <v>1103</v>
      </c>
      <c r="E42">
        <v>0</v>
      </c>
      <c r="F42" t="s">
        <v>276</v>
      </c>
      <c r="G42" t="s">
        <v>66</v>
      </c>
      <c r="H42" t="s">
        <v>151</v>
      </c>
      <c r="I42" t="s">
        <v>222</v>
      </c>
    </row>
    <row r="43" spans="1:10" x14ac:dyDescent="0.2">
      <c r="A43" t="s">
        <v>346</v>
      </c>
      <c r="B43" t="s">
        <v>1104</v>
      </c>
      <c r="C43">
        <v>2</v>
      </c>
      <c r="D43" t="s">
        <v>1105</v>
      </c>
      <c r="E43">
        <v>1</v>
      </c>
      <c r="F43" t="s">
        <v>253</v>
      </c>
      <c r="G43" t="s">
        <v>60</v>
      </c>
      <c r="H43" t="s">
        <v>71</v>
      </c>
      <c r="I43" t="s">
        <v>222</v>
      </c>
    </row>
    <row r="44" spans="1:10" x14ac:dyDescent="0.2">
      <c r="A44" t="s">
        <v>346</v>
      </c>
      <c r="B44" t="s">
        <v>1106</v>
      </c>
      <c r="C44">
        <v>3</v>
      </c>
      <c r="D44" t="s">
        <v>1107</v>
      </c>
      <c r="E44">
        <v>2</v>
      </c>
      <c r="F44" t="s">
        <v>174</v>
      </c>
      <c r="G44" t="s">
        <v>63</v>
      </c>
      <c r="H44" t="s">
        <v>108</v>
      </c>
      <c r="I44" t="s">
        <v>222</v>
      </c>
    </row>
    <row r="45" spans="1:10" x14ac:dyDescent="0.2">
      <c r="A45" t="s">
        <v>346</v>
      </c>
      <c r="B45" t="s">
        <v>1108</v>
      </c>
      <c r="C45">
        <v>4</v>
      </c>
      <c r="D45" t="s">
        <v>1109</v>
      </c>
      <c r="E45">
        <v>3</v>
      </c>
      <c r="F45" t="s">
        <v>243</v>
      </c>
      <c r="H45" t="s">
        <v>163</v>
      </c>
      <c r="I45" t="s">
        <v>222</v>
      </c>
    </row>
    <row r="46" spans="1:10" x14ac:dyDescent="0.2">
      <c r="A46" t="s">
        <v>347</v>
      </c>
      <c r="B46" t="s">
        <v>1110</v>
      </c>
      <c r="C46">
        <v>1</v>
      </c>
      <c r="D46" t="s">
        <v>1017</v>
      </c>
      <c r="E46">
        <v>0</v>
      </c>
      <c r="F46" t="s">
        <v>273</v>
      </c>
      <c r="G46" t="s">
        <v>65</v>
      </c>
      <c r="H46" t="s">
        <v>150</v>
      </c>
      <c r="I46" t="s">
        <v>222</v>
      </c>
    </row>
    <row r="47" spans="1:10" x14ac:dyDescent="0.2">
      <c r="A47" t="s">
        <v>347</v>
      </c>
      <c r="B47" t="s">
        <v>1111</v>
      </c>
      <c r="C47">
        <v>2</v>
      </c>
      <c r="D47" t="s">
        <v>1112</v>
      </c>
      <c r="E47">
        <v>0</v>
      </c>
      <c r="F47" t="s">
        <v>276</v>
      </c>
      <c r="G47" t="s">
        <v>66</v>
      </c>
      <c r="H47" t="s">
        <v>150</v>
      </c>
      <c r="I47" t="s">
        <v>222</v>
      </c>
    </row>
    <row r="48" spans="1:10" x14ac:dyDescent="0.2">
      <c r="A48" t="s">
        <v>347</v>
      </c>
      <c r="B48" t="s">
        <v>1113</v>
      </c>
      <c r="C48">
        <v>3</v>
      </c>
      <c r="D48" t="s">
        <v>1114</v>
      </c>
      <c r="E48">
        <v>1</v>
      </c>
      <c r="F48" t="s">
        <v>1094</v>
      </c>
      <c r="G48" t="s">
        <v>63</v>
      </c>
      <c r="H48" t="s">
        <v>118</v>
      </c>
      <c r="I48" t="s">
        <v>222</v>
      </c>
    </row>
    <row r="49" spans="1:10" x14ac:dyDescent="0.2">
      <c r="A49" t="s">
        <v>347</v>
      </c>
      <c r="B49" t="s">
        <v>1115</v>
      </c>
      <c r="C49">
        <v>4</v>
      </c>
      <c r="D49" t="s">
        <v>1116</v>
      </c>
      <c r="E49">
        <v>2</v>
      </c>
      <c r="F49" t="s">
        <v>262</v>
      </c>
      <c r="G49" t="s">
        <v>66</v>
      </c>
      <c r="H49" t="s">
        <v>115</v>
      </c>
      <c r="I49" t="s">
        <v>222</v>
      </c>
    </row>
    <row r="50" spans="1:10" x14ac:dyDescent="0.2">
      <c r="A50" t="s">
        <v>347</v>
      </c>
      <c r="B50" t="s">
        <v>1117</v>
      </c>
      <c r="C50">
        <v>5</v>
      </c>
      <c r="D50" t="s">
        <v>1118</v>
      </c>
      <c r="E50">
        <v>3</v>
      </c>
      <c r="F50" t="s">
        <v>243</v>
      </c>
      <c r="H50" t="s">
        <v>148</v>
      </c>
      <c r="I50" t="s">
        <v>218</v>
      </c>
      <c r="J50" t="s">
        <v>1119</v>
      </c>
    </row>
    <row r="51" spans="1:10" x14ac:dyDescent="0.2">
      <c r="A51" t="s">
        <v>347</v>
      </c>
      <c r="B51" t="s">
        <v>1120</v>
      </c>
      <c r="C51">
        <v>6</v>
      </c>
      <c r="D51" t="s">
        <v>1121</v>
      </c>
      <c r="E51">
        <v>4</v>
      </c>
      <c r="F51" t="s">
        <v>256</v>
      </c>
      <c r="H51" t="s">
        <v>148</v>
      </c>
      <c r="I51" t="s">
        <v>218</v>
      </c>
    </row>
    <row r="52" spans="1:10" x14ac:dyDescent="0.2">
      <c r="A52" t="s">
        <v>348</v>
      </c>
      <c r="B52" t="s">
        <v>1122</v>
      </c>
      <c r="C52">
        <v>1</v>
      </c>
      <c r="D52" t="s">
        <v>1017</v>
      </c>
      <c r="E52">
        <v>0</v>
      </c>
      <c r="F52" t="s">
        <v>273</v>
      </c>
      <c r="G52" t="s">
        <v>65</v>
      </c>
      <c r="H52" t="s">
        <v>94</v>
      </c>
      <c r="I52" t="s">
        <v>222</v>
      </c>
    </row>
    <row r="53" spans="1:10" x14ac:dyDescent="0.2">
      <c r="A53" t="s">
        <v>348</v>
      </c>
      <c r="B53" t="s">
        <v>1123</v>
      </c>
      <c r="C53">
        <v>2</v>
      </c>
      <c r="D53" t="s">
        <v>1124</v>
      </c>
      <c r="E53">
        <v>0</v>
      </c>
      <c r="F53" t="s">
        <v>242</v>
      </c>
      <c r="G53" t="s">
        <v>62</v>
      </c>
      <c r="H53" t="s">
        <v>94</v>
      </c>
      <c r="I53" t="s">
        <v>222</v>
      </c>
    </row>
    <row r="54" spans="1:10" x14ac:dyDescent="0.2">
      <c r="A54" t="s">
        <v>348</v>
      </c>
      <c r="B54" t="s">
        <v>1125</v>
      </c>
      <c r="C54">
        <v>3</v>
      </c>
      <c r="D54" t="s">
        <v>1126</v>
      </c>
      <c r="E54">
        <v>1</v>
      </c>
      <c r="F54" t="s">
        <v>266</v>
      </c>
      <c r="G54" t="s">
        <v>63</v>
      </c>
      <c r="H54" t="s">
        <v>110</v>
      </c>
      <c r="I54" t="s">
        <v>222</v>
      </c>
    </row>
    <row r="55" spans="1:10" x14ac:dyDescent="0.2">
      <c r="A55" t="s">
        <v>348</v>
      </c>
      <c r="B55" t="s">
        <v>1127</v>
      </c>
      <c r="C55">
        <v>4</v>
      </c>
      <c r="D55" t="s">
        <v>1128</v>
      </c>
      <c r="E55">
        <v>2</v>
      </c>
      <c r="F55" t="s">
        <v>172</v>
      </c>
      <c r="G55" t="s">
        <v>61</v>
      </c>
      <c r="H55" t="s">
        <v>114</v>
      </c>
      <c r="I55" t="s">
        <v>222</v>
      </c>
    </row>
    <row r="56" spans="1:10" x14ac:dyDescent="0.2">
      <c r="A56" t="s">
        <v>348</v>
      </c>
      <c r="B56" t="s">
        <v>1129</v>
      </c>
      <c r="C56">
        <v>5</v>
      </c>
      <c r="D56" t="s">
        <v>1130</v>
      </c>
      <c r="E56">
        <v>3</v>
      </c>
      <c r="F56" t="s">
        <v>243</v>
      </c>
      <c r="H56" t="s">
        <v>148</v>
      </c>
      <c r="I56" t="s">
        <v>218</v>
      </c>
      <c r="J56" t="s">
        <v>1131</v>
      </c>
    </row>
    <row r="57" spans="1:10" x14ac:dyDescent="0.2">
      <c r="A57" t="s">
        <v>348</v>
      </c>
      <c r="B57" t="s">
        <v>1132</v>
      </c>
      <c r="C57">
        <v>6</v>
      </c>
      <c r="D57" t="s">
        <v>1133</v>
      </c>
      <c r="E57">
        <v>4</v>
      </c>
      <c r="F57" t="s">
        <v>256</v>
      </c>
      <c r="H57" t="s">
        <v>148</v>
      </c>
      <c r="I57" t="s">
        <v>218</v>
      </c>
    </row>
    <row r="58" spans="1:10" x14ac:dyDescent="0.2">
      <c r="A58" t="s">
        <v>349</v>
      </c>
      <c r="B58" t="s">
        <v>1134</v>
      </c>
      <c r="C58">
        <v>1</v>
      </c>
      <c r="D58" t="s">
        <v>1135</v>
      </c>
      <c r="E58">
        <v>0</v>
      </c>
      <c r="F58" t="s">
        <v>253</v>
      </c>
      <c r="G58" t="s">
        <v>60</v>
      </c>
      <c r="H58" t="s">
        <v>72</v>
      </c>
      <c r="I58" t="s">
        <v>222</v>
      </c>
    </row>
    <row r="59" spans="1:10" x14ac:dyDescent="0.2">
      <c r="A59" t="s">
        <v>349</v>
      </c>
      <c r="B59" t="s">
        <v>1136</v>
      </c>
      <c r="C59">
        <v>2</v>
      </c>
      <c r="D59" t="s">
        <v>1137</v>
      </c>
      <c r="E59">
        <v>1</v>
      </c>
      <c r="F59" t="s">
        <v>253</v>
      </c>
      <c r="G59" t="s">
        <v>60</v>
      </c>
      <c r="H59" t="s">
        <v>72</v>
      </c>
      <c r="I59" t="s">
        <v>222</v>
      </c>
    </row>
    <row r="60" spans="1:10" x14ac:dyDescent="0.2">
      <c r="A60" t="s">
        <v>349</v>
      </c>
      <c r="B60" t="s">
        <v>1138</v>
      </c>
      <c r="C60">
        <v>3</v>
      </c>
      <c r="D60" t="s">
        <v>1139</v>
      </c>
      <c r="E60">
        <v>2</v>
      </c>
      <c r="F60" t="s">
        <v>266</v>
      </c>
      <c r="G60" t="s">
        <v>63</v>
      </c>
      <c r="H60" t="s">
        <v>91</v>
      </c>
      <c r="I60" t="s">
        <v>222</v>
      </c>
    </row>
    <row r="61" spans="1:10" x14ac:dyDescent="0.2">
      <c r="A61" t="s">
        <v>350</v>
      </c>
      <c r="B61" t="s">
        <v>1140</v>
      </c>
      <c r="C61">
        <v>1</v>
      </c>
      <c r="D61" t="s">
        <v>1017</v>
      </c>
      <c r="E61">
        <v>0</v>
      </c>
      <c r="F61" t="s">
        <v>273</v>
      </c>
      <c r="G61" t="s">
        <v>65</v>
      </c>
      <c r="H61" t="s">
        <v>75</v>
      </c>
      <c r="I61" t="s">
        <v>222</v>
      </c>
    </row>
    <row r="62" spans="1:10" x14ac:dyDescent="0.2">
      <c r="A62" t="s">
        <v>350</v>
      </c>
      <c r="B62" t="s">
        <v>1141</v>
      </c>
      <c r="C62">
        <v>2</v>
      </c>
      <c r="D62" t="s">
        <v>1142</v>
      </c>
      <c r="E62">
        <v>0</v>
      </c>
      <c r="F62" t="s">
        <v>180</v>
      </c>
      <c r="G62" t="s">
        <v>57</v>
      </c>
      <c r="H62" t="s">
        <v>90</v>
      </c>
      <c r="I62" t="s">
        <v>222</v>
      </c>
    </row>
    <row r="63" spans="1:10" x14ac:dyDescent="0.2">
      <c r="A63" t="s">
        <v>350</v>
      </c>
      <c r="B63" t="s">
        <v>1143</v>
      </c>
      <c r="C63">
        <v>3</v>
      </c>
      <c r="D63" t="s">
        <v>1144</v>
      </c>
      <c r="E63">
        <v>1</v>
      </c>
      <c r="F63" t="s">
        <v>1145</v>
      </c>
      <c r="G63" t="s">
        <v>57</v>
      </c>
      <c r="H63" t="s">
        <v>90</v>
      </c>
      <c r="I63" t="s">
        <v>222</v>
      </c>
    </row>
    <row r="64" spans="1:10" x14ac:dyDescent="0.2">
      <c r="A64" t="s">
        <v>350</v>
      </c>
      <c r="B64" t="s">
        <v>1146</v>
      </c>
      <c r="C64">
        <v>4</v>
      </c>
      <c r="D64" t="s">
        <v>1147</v>
      </c>
      <c r="E64">
        <v>2</v>
      </c>
      <c r="F64" t="s">
        <v>259</v>
      </c>
      <c r="G64" t="s">
        <v>61</v>
      </c>
      <c r="H64" t="s">
        <v>144</v>
      </c>
      <c r="I64" t="s">
        <v>222</v>
      </c>
    </row>
    <row r="65" spans="1:10" x14ac:dyDescent="0.2">
      <c r="A65" t="s">
        <v>350</v>
      </c>
      <c r="B65" t="s">
        <v>1148</v>
      </c>
      <c r="C65">
        <v>5</v>
      </c>
      <c r="D65" t="s">
        <v>1149</v>
      </c>
      <c r="E65">
        <v>3</v>
      </c>
      <c r="F65" t="s">
        <v>243</v>
      </c>
      <c r="H65" t="s">
        <v>148</v>
      </c>
      <c r="I65" t="s">
        <v>218</v>
      </c>
      <c r="J65" t="s">
        <v>1150</v>
      </c>
    </row>
    <row r="66" spans="1:10" x14ac:dyDescent="0.2">
      <c r="A66" t="s">
        <v>350</v>
      </c>
      <c r="B66" t="s">
        <v>1151</v>
      </c>
      <c r="C66">
        <v>6</v>
      </c>
      <c r="D66" t="s">
        <v>1152</v>
      </c>
      <c r="E66">
        <v>4</v>
      </c>
      <c r="F66" t="s">
        <v>256</v>
      </c>
      <c r="H66" t="s">
        <v>148</v>
      </c>
      <c r="I66" t="s">
        <v>218</v>
      </c>
    </row>
    <row r="67" spans="1:10" x14ac:dyDescent="0.2">
      <c r="A67" t="s">
        <v>351</v>
      </c>
      <c r="B67" t="s">
        <v>1153</v>
      </c>
      <c r="C67">
        <v>1</v>
      </c>
      <c r="D67" t="s">
        <v>1154</v>
      </c>
      <c r="E67">
        <v>0</v>
      </c>
      <c r="F67" t="s">
        <v>180</v>
      </c>
      <c r="G67" t="s">
        <v>57</v>
      </c>
      <c r="H67" t="s">
        <v>90</v>
      </c>
      <c r="I67" t="s">
        <v>222</v>
      </c>
    </row>
    <row r="68" spans="1:10" x14ac:dyDescent="0.2">
      <c r="A68" t="s">
        <v>351</v>
      </c>
      <c r="B68" t="s">
        <v>1155</v>
      </c>
      <c r="C68">
        <v>2</v>
      </c>
      <c r="D68" t="s">
        <v>1156</v>
      </c>
      <c r="E68">
        <v>1</v>
      </c>
      <c r="F68" t="s">
        <v>180</v>
      </c>
      <c r="G68" t="s">
        <v>57</v>
      </c>
      <c r="H68" t="s">
        <v>90</v>
      </c>
      <c r="I68" t="s">
        <v>222</v>
      </c>
    </row>
    <row r="69" spans="1:10" x14ac:dyDescent="0.2">
      <c r="A69" t="s">
        <v>351</v>
      </c>
      <c r="B69" t="s">
        <v>1157</v>
      </c>
      <c r="C69">
        <v>3</v>
      </c>
      <c r="D69" t="s">
        <v>1158</v>
      </c>
      <c r="E69">
        <v>2</v>
      </c>
      <c r="F69" t="s">
        <v>261</v>
      </c>
      <c r="H69" t="s">
        <v>144</v>
      </c>
      <c r="I69" t="s">
        <v>222</v>
      </c>
    </row>
    <row r="70" spans="1:10" x14ac:dyDescent="0.2">
      <c r="A70" t="s">
        <v>351</v>
      </c>
      <c r="B70" t="s">
        <v>1159</v>
      </c>
      <c r="C70">
        <v>4</v>
      </c>
      <c r="D70" t="s">
        <v>1160</v>
      </c>
      <c r="E70">
        <v>3</v>
      </c>
      <c r="F70" t="s">
        <v>243</v>
      </c>
      <c r="H70" t="s">
        <v>148</v>
      </c>
      <c r="I70" t="s">
        <v>218</v>
      </c>
      <c r="J70" t="s">
        <v>1161</v>
      </c>
    </row>
    <row r="71" spans="1:10" x14ac:dyDescent="0.2">
      <c r="A71" t="s">
        <v>352</v>
      </c>
      <c r="B71" t="s">
        <v>1162</v>
      </c>
      <c r="C71">
        <v>1</v>
      </c>
      <c r="D71" t="s">
        <v>1017</v>
      </c>
      <c r="E71">
        <v>0</v>
      </c>
      <c r="F71" t="s">
        <v>273</v>
      </c>
      <c r="G71" t="s">
        <v>65</v>
      </c>
      <c r="H71" t="s">
        <v>80</v>
      </c>
      <c r="I71" t="s">
        <v>222</v>
      </c>
    </row>
    <row r="72" spans="1:10" x14ac:dyDescent="0.2">
      <c r="A72" t="s">
        <v>352</v>
      </c>
      <c r="B72" t="s">
        <v>1163</v>
      </c>
      <c r="C72">
        <v>2</v>
      </c>
      <c r="D72" t="s">
        <v>1164</v>
      </c>
      <c r="E72">
        <v>0</v>
      </c>
      <c r="F72" t="s">
        <v>270</v>
      </c>
      <c r="G72" t="s">
        <v>66</v>
      </c>
      <c r="H72" t="s">
        <v>117</v>
      </c>
      <c r="I72" t="s">
        <v>222</v>
      </c>
    </row>
    <row r="73" spans="1:10" x14ac:dyDescent="0.2">
      <c r="A73" t="s">
        <v>352</v>
      </c>
      <c r="B73" t="s">
        <v>1165</v>
      </c>
      <c r="C73">
        <v>3</v>
      </c>
      <c r="D73" t="s">
        <v>1166</v>
      </c>
      <c r="E73">
        <v>1</v>
      </c>
      <c r="F73" t="s">
        <v>172</v>
      </c>
      <c r="G73" t="s">
        <v>61</v>
      </c>
      <c r="H73" t="s">
        <v>170</v>
      </c>
      <c r="I73" t="s">
        <v>222</v>
      </c>
    </row>
    <row r="74" spans="1:10" x14ac:dyDescent="0.2">
      <c r="A74" t="s">
        <v>352</v>
      </c>
      <c r="B74" t="s">
        <v>1167</v>
      </c>
      <c r="C74">
        <v>4</v>
      </c>
      <c r="D74" t="s">
        <v>1168</v>
      </c>
      <c r="E74">
        <v>2</v>
      </c>
      <c r="F74" t="s">
        <v>245</v>
      </c>
      <c r="G74" t="s">
        <v>60</v>
      </c>
      <c r="H74" t="s">
        <v>162</v>
      </c>
      <c r="I74" t="s">
        <v>222</v>
      </c>
    </row>
    <row r="75" spans="1:10" x14ac:dyDescent="0.2">
      <c r="A75" t="s">
        <v>352</v>
      </c>
      <c r="B75" t="s">
        <v>1169</v>
      </c>
      <c r="C75">
        <v>5</v>
      </c>
      <c r="D75" t="s">
        <v>1170</v>
      </c>
      <c r="E75">
        <v>3</v>
      </c>
      <c r="F75" t="s">
        <v>243</v>
      </c>
      <c r="H75" t="s">
        <v>148</v>
      </c>
      <c r="I75" t="s">
        <v>218</v>
      </c>
    </row>
    <row r="76" spans="1:10" x14ac:dyDescent="0.2">
      <c r="A76" t="s">
        <v>352</v>
      </c>
      <c r="B76" t="s">
        <v>1171</v>
      </c>
      <c r="C76">
        <v>6</v>
      </c>
      <c r="D76" t="s">
        <v>1172</v>
      </c>
      <c r="E76">
        <v>4</v>
      </c>
      <c r="F76" t="s">
        <v>256</v>
      </c>
      <c r="H76" t="s">
        <v>148</v>
      </c>
      <c r="I76" t="s">
        <v>218</v>
      </c>
    </row>
    <row r="77" spans="1:10" x14ac:dyDescent="0.2">
      <c r="A77" t="s">
        <v>353</v>
      </c>
      <c r="B77" t="s">
        <v>1173</v>
      </c>
      <c r="C77">
        <v>1</v>
      </c>
      <c r="D77" t="s">
        <v>1017</v>
      </c>
      <c r="E77">
        <v>0</v>
      </c>
      <c r="F77" t="s">
        <v>273</v>
      </c>
      <c r="G77" t="s">
        <v>65</v>
      </c>
      <c r="H77" t="s">
        <v>138</v>
      </c>
      <c r="I77" t="s">
        <v>222</v>
      </c>
    </row>
    <row r="78" spans="1:10" x14ac:dyDescent="0.2">
      <c r="A78" t="s">
        <v>353</v>
      </c>
      <c r="B78" t="s">
        <v>1174</v>
      </c>
      <c r="C78">
        <v>2</v>
      </c>
      <c r="D78" t="s">
        <v>1175</v>
      </c>
      <c r="E78">
        <v>0</v>
      </c>
      <c r="F78" t="s">
        <v>249</v>
      </c>
      <c r="G78" t="s">
        <v>59</v>
      </c>
      <c r="H78" t="s">
        <v>139</v>
      </c>
      <c r="I78" t="s">
        <v>222</v>
      </c>
    </row>
    <row r="79" spans="1:10" x14ac:dyDescent="0.2">
      <c r="A79" t="s">
        <v>353</v>
      </c>
      <c r="B79" t="s">
        <v>1176</v>
      </c>
      <c r="C79">
        <v>3</v>
      </c>
      <c r="D79" t="s">
        <v>1177</v>
      </c>
      <c r="E79">
        <v>1</v>
      </c>
      <c r="F79" t="s">
        <v>1178</v>
      </c>
      <c r="G79" t="s">
        <v>59</v>
      </c>
      <c r="H79" t="s">
        <v>139</v>
      </c>
      <c r="I79" t="s">
        <v>222</v>
      </c>
    </row>
    <row r="80" spans="1:10" x14ac:dyDescent="0.2">
      <c r="A80" t="s">
        <v>353</v>
      </c>
      <c r="B80" t="s">
        <v>1179</v>
      </c>
      <c r="C80">
        <v>4</v>
      </c>
      <c r="D80" t="s">
        <v>1180</v>
      </c>
      <c r="E80">
        <v>2</v>
      </c>
      <c r="F80" t="s">
        <v>172</v>
      </c>
      <c r="G80" t="s">
        <v>61</v>
      </c>
      <c r="H80" t="s">
        <v>73</v>
      </c>
      <c r="I80" t="s">
        <v>218</v>
      </c>
    </row>
    <row r="81" spans="1:10" x14ac:dyDescent="0.2">
      <c r="A81" t="s">
        <v>353</v>
      </c>
      <c r="B81" t="s">
        <v>1181</v>
      </c>
      <c r="C81">
        <v>5</v>
      </c>
      <c r="D81" t="s">
        <v>1182</v>
      </c>
      <c r="E81">
        <v>3</v>
      </c>
      <c r="F81" t="s">
        <v>243</v>
      </c>
      <c r="H81" t="s">
        <v>148</v>
      </c>
      <c r="I81" t="s">
        <v>218</v>
      </c>
      <c r="J81" t="s">
        <v>1183</v>
      </c>
    </row>
    <row r="82" spans="1:10" x14ac:dyDescent="0.2">
      <c r="A82" t="s">
        <v>353</v>
      </c>
      <c r="B82" t="s">
        <v>1184</v>
      </c>
      <c r="C82">
        <v>6</v>
      </c>
      <c r="D82" t="s">
        <v>1185</v>
      </c>
      <c r="E82">
        <v>4</v>
      </c>
      <c r="F82" t="s">
        <v>256</v>
      </c>
      <c r="H82" t="s">
        <v>148</v>
      </c>
      <c r="I82" t="s">
        <v>218</v>
      </c>
    </row>
    <row r="83" spans="1:10" x14ac:dyDescent="0.2">
      <c r="A83" t="s">
        <v>354</v>
      </c>
      <c r="B83" t="s">
        <v>1186</v>
      </c>
      <c r="C83">
        <v>1</v>
      </c>
      <c r="D83" t="s">
        <v>1187</v>
      </c>
      <c r="E83">
        <v>0</v>
      </c>
      <c r="F83" t="s">
        <v>1188</v>
      </c>
      <c r="G83" t="s">
        <v>64</v>
      </c>
      <c r="H83" t="s">
        <v>167</v>
      </c>
      <c r="I83" t="s">
        <v>222</v>
      </c>
    </row>
    <row r="84" spans="1:10" x14ac:dyDescent="0.2">
      <c r="A84" t="s">
        <v>354</v>
      </c>
      <c r="B84" t="s">
        <v>1189</v>
      </c>
      <c r="C84">
        <v>2</v>
      </c>
      <c r="D84" t="s">
        <v>1190</v>
      </c>
      <c r="E84">
        <v>1</v>
      </c>
      <c r="F84" t="s">
        <v>249</v>
      </c>
      <c r="G84" t="s">
        <v>59</v>
      </c>
      <c r="H84" t="s">
        <v>167</v>
      </c>
      <c r="I84" t="s">
        <v>222</v>
      </c>
    </row>
    <row r="85" spans="1:10" x14ac:dyDescent="0.2">
      <c r="A85" t="s">
        <v>354</v>
      </c>
      <c r="B85" t="s">
        <v>1191</v>
      </c>
      <c r="C85">
        <v>3</v>
      </c>
      <c r="D85" t="s">
        <v>1192</v>
      </c>
      <c r="E85">
        <v>2</v>
      </c>
      <c r="F85" t="s">
        <v>259</v>
      </c>
      <c r="G85" t="s">
        <v>61</v>
      </c>
      <c r="H85" t="s">
        <v>134</v>
      </c>
      <c r="I85" t="s">
        <v>222</v>
      </c>
    </row>
    <row r="86" spans="1:10" x14ac:dyDescent="0.2">
      <c r="A86" t="s">
        <v>354</v>
      </c>
      <c r="B86" t="s">
        <v>1193</v>
      </c>
      <c r="C86">
        <v>4</v>
      </c>
      <c r="D86" t="s">
        <v>1194</v>
      </c>
      <c r="E86">
        <v>3</v>
      </c>
      <c r="F86" t="s">
        <v>243</v>
      </c>
      <c r="H86" t="s">
        <v>148</v>
      </c>
      <c r="I86" t="s">
        <v>218</v>
      </c>
    </row>
    <row r="87" spans="1:10" x14ac:dyDescent="0.2">
      <c r="A87" t="s">
        <v>355</v>
      </c>
      <c r="B87" t="s">
        <v>1195</v>
      </c>
      <c r="C87">
        <v>1</v>
      </c>
      <c r="D87" t="s">
        <v>1196</v>
      </c>
      <c r="E87">
        <v>1</v>
      </c>
      <c r="F87" t="s">
        <v>172</v>
      </c>
      <c r="G87" t="s">
        <v>61</v>
      </c>
      <c r="H87" t="s">
        <v>134</v>
      </c>
      <c r="I87" t="s">
        <v>222</v>
      </c>
    </row>
    <row r="88" spans="1:10" x14ac:dyDescent="0.2">
      <c r="A88" t="s">
        <v>355</v>
      </c>
      <c r="B88" t="s">
        <v>1197</v>
      </c>
      <c r="C88">
        <v>2</v>
      </c>
      <c r="D88" t="s">
        <v>1198</v>
      </c>
      <c r="E88">
        <v>2</v>
      </c>
      <c r="F88" t="s">
        <v>259</v>
      </c>
      <c r="G88" t="s">
        <v>61</v>
      </c>
      <c r="H88" t="s">
        <v>134</v>
      </c>
      <c r="I88" t="s">
        <v>222</v>
      </c>
    </row>
    <row r="89" spans="1:10" x14ac:dyDescent="0.2">
      <c r="A89" t="s">
        <v>355</v>
      </c>
      <c r="B89" t="s">
        <v>1199</v>
      </c>
      <c r="C89">
        <v>3</v>
      </c>
      <c r="D89" t="s">
        <v>1200</v>
      </c>
      <c r="E89">
        <v>3</v>
      </c>
      <c r="F89" t="s">
        <v>243</v>
      </c>
      <c r="H89" t="s">
        <v>148</v>
      </c>
      <c r="I89" t="s">
        <v>218</v>
      </c>
    </row>
    <row r="90" spans="1:10" x14ac:dyDescent="0.2">
      <c r="A90" t="s">
        <v>355</v>
      </c>
      <c r="B90" t="s">
        <v>1201</v>
      </c>
      <c r="C90">
        <v>4</v>
      </c>
      <c r="D90" t="s">
        <v>1202</v>
      </c>
      <c r="E90">
        <v>4</v>
      </c>
      <c r="F90" t="s">
        <v>256</v>
      </c>
      <c r="H90" t="s">
        <v>148</v>
      </c>
      <c r="I90" t="s">
        <v>218</v>
      </c>
    </row>
    <row r="91" spans="1:10" x14ac:dyDescent="0.2">
      <c r="A91" t="s">
        <v>356</v>
      </c>
      <c r="B91" t="s">
        <v>1203</v>
      </c>
      <c r="C91">
        <v>1</v>
      </c>
      <c r="D91" t="s">
        <v>1204</v>
      </c>
      <c r="E91">
        <v>0</v>
      </c>
      <c r="F91" t="s">
        <v>1205</v>
      </c>
      <c r="H91" t="s">
        <v>109</v>
      </c>
      <c r="I91" t="s">
        <v>222</v>
      </c>
    </row>
    <row r="92" spans="1:10" x14ac:dyDescent="0.2">
      <c r="A92" t="s">
        <v>356</v>
      </c>
      <c r="B92" t="s">
        <v>1206</v>
      </c>
      <c r="C92">
        <v>2</v>
      </c>
      <c r="D92" t="s">
        <v>1207</v>
      </c>
      <c r="E92">
        <v>0</v>
      </c>
      <c r="F92" t="s">
        <v>249</v>
      </c>
      <c r="G92" t="s">
        <v>59</v>
      </c>
      <c r="H92" t="s">
        <v>160</v>
      </c>
      <c r="I92" t="s">
        <v>222</v>
      </c>
    </row>
    <row r="93" spans="1:10" x14ac:dyDescent="0.2">
      <c r="A93" t="s">
        <v>356</v>
      </c>
      <c r="B93" t="s">
        <v>1208</v>
      </c>
      <c r="C93">
        <v>3</v>
      </c>
      <c r="D93" t="s">
        <v>1209</v>
      </c>
      <c r="E93">
        <v>1</v>
      </c>
      <c r="F93" t="s">
        <v>249</v>
      </c>
      <c r="G93" t="s">
        <v>59</v>
      </c>
      <c r="H93" t="s">
        <v>160</v>
      </c>
      <c r="I93" t="s">
        <v>222</v>
      </c>
    </row>
    <row r="94" spans="1:10" x14ac:dyDescent="0.2">
      <c r="A94" t="s">
        <v>356</v>
      </c>
      <c r="B94" t="s">
        <v>1210</v>
      </c>
      <c r="C94">
        <v>4</v>
      </c>
      <c r="D94" t="s">
        <v>1211</v>
      </c>
      <c r="E94">
        <v>3</v>
      </c>
      <c r="F94" t="s">
        <v>243</v>
      </c>
      <c r="H94" t="s">
        <v>148</v>
      </c>
      <c r="I94" t="s">
        <v>218</v>
      </c>
    </row>
    <row r="95" spans="1:10" x14ac:dyDescent="0.2">
      <c r="A95" t="s">
        <v>356</v>
      </c>
      <c r="B95" t="s">
        <v>1212</v>
      </c>
      <c r="C95">
        <v>5</v>
      </c>
      <c r="D95" t="s">
        <v>1213</v>
      </c>
      <c r="E95">
        <v>4</v>
      </c>
      <c r="F95" t="s">
        <v>256</v>
      </c>
      <c r="H95" t="s">
        <v>148</v>
      </c>
      <c r="I95" t="s">
        <v>218</v>
      </c>
    </row>
    <row r="96" spans="1:10" x14ac:dyDescent="0.2">
      <c r="A96" t="s">
        <v>357</v>
      </c>
      <c r="B96" t="s">
        <v>1214</v>
      </c>
      <c r="C96">
        <v>1</v>
      </c>
      <c r="D96" t="s">
        <v>1017</v>
      </c>
      <c r="E96">
        <v>0</v>
      </c>
      <c r="F96" t="s">
        <v>273</v>
      </c>
      <c r="G96" t="s">
        <v>65</v>
      </c>
      <c r="H96" t="s">
        <v>78</v>
      </c>
      <c r="I96" t="s">
        <v>222</v>
      </c>
    </row>
    <row r="97" spans="1:10" x14ac:dyDescent="0.2">
      <c r="A97" t="s">
        <v>357</v>
      </c>
      <c r="B97" t="s">
        <v>1215</v>
      </c>
      <c r="C97">
        <v>2</v>
      </c>
      <c r="D97" t="s">
        <v>1216</v>
      </c>
      <c r="E97">
        <v>0</v>
      </c>
      <c r="F97" t="s">
        <v>240</v>
      </c>
      <c r="G97" t="s">
        <v>59</v>
      </c>
      <c r="H97" t="s">
        <v>112</v>
      </c>
      <c r="I97" t="s">
        <v>222</v>
      </c>
    </row>
    <row r="98" spans="1:10" x14ac:dyDescent="0.2">
      <c r="A98" t="s">
        <v>357</v>
      </c>
      <c r="B98" t="s">
        <v>1217</v>
      </c>
      <c r="C98">
        <v>3</v>
      </c>
      <c r="D98" t="s">
        <v>1218</v>
      </c>
      <c r="E98">
        <v>1</v>
      </c>
      <c r="F98" t="s">
        <v>240</v>
      </c>
      <c r="G98" t="s">
        <v>62</v>
      </c>
      <c r="H98" t="s">
        <v>112</v>
      </c>
      <c r="I98" t="s">
        <v>222</v>
      </c>
    </row>
    <row r="99" spans="1:10" x14ac:dyDescent="0.2">
      <c r="A99" t="s">
        <v>357</v>
      </c>
      <c r="B99" t="s">
        <v>1219</v>
      </c>
      <c r="C99">
        <v>4</v>
      </c>
      <c r="D99" t="s">
        <v>1220</v>
      </c>
      <c r="E99">
        <v>2</v>
      </c>
      <c r="F99" t="s">
        <v>172</v>
      </c>
      <c r="G99" t="s">
        <v>61</v>
      </c>
      <c r="H99" t="s">
        <v>111</v>
      </c>
      <c r="I99" t="s">
        <v>222</v>
      </c>
    </row>
    <row r="100" spans="1:10" x14ac:dyDescent="0.2">
      <c r="A100" t="s">
        <v>357</v>
      </c>
      <c r="B100" t="s">
        <v>1221</v>
      </c>
      <c r="C100">
        <v>5</v>
      </c>
      <c r="D100" t="s">
        <v>1222</v>
      </c>
      <c r="E100">
        <v>3</v>
      </c>
      <c r="F100" t="s">
        <v>243</v>
      </c>
      <c r="H100" t="s">
        <v>148</v>
      </c>
      <c r="I100" t="s">
        <v>218</v>
      </c>
    </row>
    <row r="101" spans="1:10" x14ac:dyDescent="0.2">
      <c r="A101" t="s">
        <v>357</v>
      </c>
      <c r="B101" t="s">
        <v>1223</v>
      </c>
      <c r="C101">
        <v>6</v>
      </c>
      <c r="D101" t="s">
        <v>1224</v>
      </c>
      <c r="E101">
        <v>4</v>
      </c>
      <c r="F101" t="s">
        <v>256</v>
      </c>
      <c r="H101" t="s">
        <v>148</v>
      </c>
      <c r="I101" t="s">
        <v>218</v>
      </c>
    </row>
    <row r="102" spans="1:10" x14ac:dyDescent="0.2">
      <c r="A102" t="s">
        <v>358</v>
      </c>
      <c r="B102" t="s">
        <v>1225</v>
      </c>
      <c r="C102">
        <v>1</v>
      </c>
      <c r="D102" t="s">
        <v>1017</v>
      </c>
      <c r="E102">
        <v>0</v>
      </c>
      <c r="F102" t="s">
        <v>273</v>
      </c>
      <c r="G102" t="s">
        <v>65</v>
      </c>
      <c r="H102" t="s">
        <v>76</v>
      </c>
      <c r="I102" t="s">
        <v>222</v>
      </c>
    </row>
    <row r="103" spans="1:10" x14ac:dyDescent="0.2">
      <c r="A103" t="s">
        <v>358</v>
      </c>
      <c r="B103" t="s">
        <v>1226</v>
      </c>
      <c r="C103">
        <v>2</v>
      </c>
      <c r="D103" t="s">
        <v>1227</v>
      </c>
      <c r="E103">
        <v>0</v>
      </c>
      <c r="F103" t="s">
        <v>249</v>
      </c>
      <c r="G103" t="s">
        <v>59</v>
      </c>
      <c r="H103" t="s">
        <v>149</v>
      </c>
      <c r="I103" t="s">
        <v>222</v>
      </c>
    </row>
    <row r="104" spans="1:10" x14ac:dyDescent="0.2">
      <c r="A104" t="s">
        <v>358</v>
      </c>
      <c r="B104" t="s">
        <v>1228</v>
      </c>
      <c r="C104">
        <v>3</v>
      </c>
      <c r="D104" t="s">
        <v>1229</v>
      </c>
      <c r="E104">
        <v>1</v>
      </c>
      <c r="F104" t="s">
        <v>172</v>
      </c>
      <c r="G104" t="s">
        <v>61</v>
      </c>
      <c r="H104" t="s">
        <v>169</v>
      </c>
      <c r="I104" t="s">
        <v>222</v>
      </c>
    </row>
    <row r="105" spans="1:10" x14ac:dyDescent="0.2">
      <c r="A105" t="s">
        <v>358</v>
      </c>
      <c r="B105" t="s">
        <v>1230</v>
      </c>
      <c r="C105">
        <v>4</v>
      </c>
      <c r="D105" t="s">
        <v>1231</v>
      </c>
      <c r="E105">
        <v>2</v>
      </c>
      <c r="F105" t="s">
        <v>261</v>
      </c>
      <c r="H105" t="s">
        <v>129</v>
      </c>
      <c r="I105" t="s">
        <v>222</v>
      </c>
    </row>
    <row r="106" spans="1:10" x14ac:dyDescent="0.2">
      <c r="A106" t="s">
        <v>358</v>
      </c>
      <c r="B106" t="s">
        <v>1232</v>
      </c>
      <c r="C106">
        <v>5</v>
      </c>
      <c r="D106" t="s">
        <v>1233</v>
      </c>
      <c r="E106">
        <v>3</v>
      </c>
      <c r="F106" t="s">
        <v>243</v>
      </c>
      <c r="H106" t="s">
        <v>148</v>
      </c>
      <c r="I106" t="s">
        <v>218</v>
      </c>
    </row>
    <row r="107" spans="1:10" x14ac:dyDescent="0.2">
      <c r="A107" t="s">
        <v>358</v>
      </c>
      <c r="B107" t="s">
        <v>1234</v>
      </c>
      <c r="C107">
        <v>6</v>
      </c>
      <c r="D107" t="s">
        <v>1235</v>
      </c>
      <c r="E107">
        <v>4</v>
      </c>
      <c r="F107" t="s">
        <v>256</v>
      </c>
      <c r="H107" t="s">
        <v>148</v>
      </c>
      <c r="I107" t="s">
        <v>218</v>
      </c>
    </row>
    <row r="108" spans="1:10" x14ac:dyDescent="0.2">
      <c r="A108" t="s">
        <v>359</v>
      </c>
      <c r="B108" t="s">
        <v>1236</v>
      </c>
      <c r="C108">
        <v>1</v>
      </c>
      <c r="D108" t="s">
        <v>1017</v>
      </c>
      <c r="E108">
        <v>0</v>
      </c>
      <c r="F108" t="s">
        <v>273</v>
      </c>
      <c r="G108" t="s">
        <v>65</v>
      </c>
      <c r="H108" t="s">
        <v>97</v>
      </c>
      <c r="I108" t="s">
        <v>222</v>
      </c>
    </row>
    <row r="109" spans="1:10" x14ac:dyDescent="0.2">
      <c r="A109" t="s">
        <v>359</v>
      </c>
      <c r="B109" t="s">
        <v>1237</v>
      </c>
      <c r="C109">
        <v>2</v>
      </c>
      <c r="D109" t="s">
        <v>1238</v>
      </c>
      <c r="E109">
        <v>0</v>
      </c>
      <c r="F109" t="s">
        <v>1239</v>
      </c>
      <c r="G109" t="s">
        <v>58</v>
      </c>
      <c r="H109" t="s">
        <v>98</v>
      </c>
      <c r="I109" t="s">
        <v>222</v>
      </c>
    </row>
    <row r="110" spans="1:10" x14ac:dyDescent="0.2">
      <c r="A110" t="s">
        <v>359</v>
      </c>
      <c r="B110" t="s">
        <v>1240</v>
      </c>
      <c r="C110">
        <v>3</v>
      </c>
      <c r="D110" t="s">
        <v>1241</v>
      </c>
      <c r="E110">
        <v>1</v>
      </c>
      <c r="F110" t="s">
        <v>246</v>
      </c>
      <c r="G110" t="s">
        <v>60</v>
      </c>
      <c r="H110" t="s">
        <v>165</v>
      </c>
      <c r="I110" t="s">
        <v>222</v>
      </c>
    </row>
    <row r="111" spans="1:10" x14ac:dyDescent="0.2">
      <c r="A111" t="s">
        <v>359</v>
      </c>
      <c r="B111" t="s">
        <v>1242</v>
      </c>
      <c r="C111">
        <v>4</v>
      </c>
      <c r="D111" t="s">
        <v>1243</v>
      </c>
      <c r="E111">
        <v>2</v>
      </c>
      <c r="F111" t="s">
        <v>259</v>
      </c>
      <c r="G111" t="s">
        <v>61</v>
      </c>
      <c r="H111" t="s">
        <v>133</v>
      </c>
      <c r="I111" t="s">
        <v>222</v>
      </c>
    </row>
    <row r="112" spans="1:10" x14ac:dyDescent="0.2">
      <c r="A112" t="s">
        <v>359</v>
      </c>
      <c r="B112" t="s">
        <v>1244</v>
      </c>
      <c r="C112">
        <v>5</v>
      </c>
      <c r="D112" t="s">
        <v>1245</v>
      </c>
      <c r="E112">
        <v>3</v>
      </c>
      <c r="F112" t="s">
        <v>243</v>
      </c>
      <c r="H112" t="s">
        <v>148</v>
      </c>
      <c r="I112" t="s">
        <v>218</v>
      </c>
      <c r="J112" t="s">
        <v>1246</v>
      </c>
    </row>
    <row r="113" spans="1:9" x14ac:dyDescent="0.2">
      <c r="A113" t="s">
        <v>359</v>
      </c>
      <c r="B113" t="s">
        <v>1247</v>
      </c>
      <c r="C113">
        <v>6</v>
      </c>
      <c r="D113" t="s">
        <v>1248</v>
      </c>
      <c r="E113">
        <v>4</v>
      </c>
      <c r="F113" t="s">
        <v>256</v>
      </c>
      <c r="H113" t="s">
        <v>148</v>
      </c>
      <c r="I113" t="s">
        <v>218</v>
      </c>
    </row>
    <row r="114" spans="1:9" x14ac:dyDescent="0.2">
      <c r="A114" t="s">
        <v>360</v>
      </c>
      <c r="B114" t="s">
        <v>1249</v>
      </c>
      <c r="C114">
        <v>1</v>
      </c>
      <c r="D114" t="s">
        <v>1250</v>
      </c>
      <c r="E114">
        <v>0</v>
      </c>
      <c r="F114" t="s">
        <v>1188</v>
      </c>
      <c r="G114" t="s">
        <v>64</v>
      </c>
      <c r="H114" t="s">
        <v>68</v>
      </c>
      <c r="I114" t="s">
        <v>222</v>
      </c>
    </row>
    <row r="115" spans="1:9" x14ac:dyDescent="0.2">
      <c r="A115" t="s">
        <v>360</v>
      </c>
      <c r="B115" t="s">
        <v>1251</v>
      </c>
      <c r="C115">
        <v>2</v>
      </c>
      <c r="D115" t="s">
        <v>1252</v>
      </c>
      <c r="E115">
        <v>1</v>
      </c>
      <c r="F115" t="s">
        <v>245</v>
      </c>
      <c r="G115" t="s">
        <v>58</v>
      </c>
      <c r="H115" t="s">
        <v>68</v>
      </c>
      <c r="I115" t="s">
        <v>222</v>
      </c>
    </row>
    <row r="116" spans="1:9" x14ac:dyDescent="0.2">
      <c r="A116" t="s">
        <v>360</v>
      </c>
      <c r="B116" t="s">
        <v>1253</v>
      </c>
      <c r="C116">
        <v>3</v>
      </c>
      <c r="D116" t="s">
        <v>1254</v>
      </c>
      <c r="E116">
        <v>2</v>
      </c>
      <c r="F116" t="s">
        <v>259</v>
      </c>
      <c r="G116" t="s">
        <v>61</v>
      </c>
      <c r="H116" t="s">
        <v>106</v>
      </c>
      <c r="I116" t="s">
        <v>222</v>
      </c>
    </row>
    <row r="117" spans="1:9" x14ac:dyDescent="0.2">
      <c r="A117" t="s">
        <v>360</v>
      </c>
      <c r="B117" t="s">
        <v>1255</v>
      </c>
      <c r="C117">
        <v>4</v>
      </c>
      <c r="D117" t="s">
        <v>1256</v>
      </c>
      <c r="E117">
        <v>3</v>
      </c>
      <c r="F117" t="s">
        <v>243</v>
      </c>
      <c r="H117" t="s">
        <v>148</v>
      </c>
      <c r="I117" t="s">
        <v>218</v>
      </c>
    </row>
    <row r="118" spans="1:9" x14ac:dyDescent="0.2">
      <c r="A118" t="s">
        <v>360</v>
      </c>
      <c r="B118" t="s">
        <v>1257</v>
      </c>
      <c r="C118">
        <v>5</v>
      </c>
      <c r="D118" t="s">
        <v>1258</v>
      </c>
      <c r="E118">
        <v>4</v>
      </c>
      <c r="F118" t="s">
        <v>256</v>
      </c>
      <c r="H118" t="s">
        <v>148</v>
      </c>
      <c r="I118" t="s">
        <v>218</v>
      </c>
    </row>
    <row r="119" spans="1:9" x14ac:dyDescent="0.2">
      <c r="A119" t="s">
        <v>361</v>
      </c>
      <c r="B119" t="s">
        <v>1259</v>
      </c>
      <c r="C119">
        <v>1</v>
      </c>
      <c r="D119" t="s">
        <v>1017</v>
      </c>
      <c r="E119">
        <v>0</v>
      </c>
      <c r="F119" t="s">
        <v>273</v>
      </c>
      <c r="G119" t="s">
        <v>65</v>
      </c>
      <c r="H119" t="s">
        <v>141</v>
      </c>
      <c r="I119" t="s">
        <v>222</v>
      </c>
    </row>
    <row r="120" spans="1:9" x14ac:dyDescent="0.2">
      <c r="A120" t="s">
        <v>361</v>
      </c>
      <c r="B120" t="s">
        <v>1260</v>
      </c>
      <c r="C120">
        <v>2</v>
      </c>
      <c r="D120" t="s">
        <v>1261</v>
      </c>
      <c r="E120">
        <v>0</v>
      </c>
      <c r="F120" t="s">
        <v>242</v>
      </c>
      <c r="G120" t="s">
        <v>58</v>
      </c>
      <c r="H120" t="s">
        <v>141</v>
      </c>
      <c r="I120" t="s">
        <v>222</v>
      </c>
    </row>
    <row r="121" spans="1:9" x14ac:dyDescent="0.2">
      <c r="A121" t="s">
        <v>361</v>
      </c>
      <c r="B121" t="s">
        <v>1262</v>
      </c>
      <c r="C121">
        <v>3</v>
      </c>
      <c r="D121" t="s">
        <v>1263</v>
      </c>
      <c r="E121">
        <v>1</v>
      </c>
      <c r="F121" t="s">
        <v>245</v>
      </c>
      <c r="G121" t="s">
        <v>60</v>
      </c>
      <c r="H121" t="s">
        <v>142</v>
      </c>
      <c r="I121" t="s">
        <v>222</v>
      </c>
    </row>
    <row r="122" spans="1:9" x14ac:dyDescent="0.2">
      <c r="A122" t="s">
        <v>361</v>
      </c>
      <c r="B122" t="s">
        <v>1264</v>
      </c>
      <c r="C122">
        <v>4</v>
      </c>
      <c r="D122" t="s">
        <v>1265</v>
      </c>
      <c r="E122">
        <v>2</v>
      </c>
      <c r="F122" t="s">
        <v>261</v>
      </c>
      <c r="H122" t="s">
        <v>137</v>
      </c>
      <c r="I122" t="s">
        <v>222</v>
      </c>
    </row>
    <row r="123" spans="1:9" x14ac:dyDescent="0.2">
      <c r="A123" t="s">
        <v>361</v>
      </c>
      <c r="B123" t="s">
        <v>1266</v>
      </c>
      <c r="C123">
        <v>5</v>
      </c>
      <c r="D123" t="s">
        <v>1267</v>
      </c>
      <c r="E123">
        <v>3</v>
      </c>
      <c r="F123" t="s">
        <v>243</v>
      </c>
      <c r="H123" t="s">
        <v>148</v>
      </c>
      <c r="I123" t="s">
        <v>218</v>
      </c>
    </row>
    <row r="124" spans="1:9" x14ac:dyDescent="0.2">
      <c r="A124" t="s">
        <v>361</v>
      </c>
      <c r="B124" t="s">
        <v>1268</v>
      </c>
      <c r="C124">
        <v>6</v>
      </c>
      <c r="D124" t="s">
        <v>1269</v>
      </c>
      <c r="E124">
        <v>4</v>
      </c>
      <c r="F124" t="s">
        <v>256</v>
      </c>
      <c r="H124" t="s">
        <v>148</v>
      </c>
      <c r="I124" t="s">
        <v>218</v>
      </c>
    </row>
    <row r="125" spans="1:9" x14ac:dyDescent="0.2">
      <c r="A125" t="s">
        <v>362</v>
      </c>
      <c r="B125" t="s">
        <v>1270</v>
      </c>
      <c r="C125">
        <v>1</v>
      </c>
      <c r="D125" t="s">
        <v>1017</v>
      </c>
      <c r="E125">
        <v>0</v>
      </c>
      <c r="F125" t="s">
        <v>273</v>
      </c>
      <c r="G125" t="s">
        <v>65</v>
      </c>
      <c r="H125" t="s">
        <v>98</v>
      </c>
      <c r="I125" t="s">
        <v>222</v>
      </c>
    </row>
    <row r="126" spans="1:9" x14ac:dyDescent="0.2">
      <c r="A126" t="s">
        <v>362</v>
      </c>
      <c r="B126" t="s">
        <v>1271</v>
      </c>
      <c r="C126">
        <v>2</v>
      </c>
      <c r="D126" t="s">
        <v>1272</v>
      </c>
      <c r="E126">
        <v>0</v>
      </c>
      <c r="F126" t="s">
        <v>176</v>
      </c>
      <c r="G126" t="s">
        <v>64</v>
      </c>
      <c r="H126" t="s">
        <v>82</v>
      </c>
      <c r="I126" t="s">
        <v>222</v>
      </c>
    </row>
    <row r="127" spans="1:9" x14ac:dyDescent="0.2">
      <c r="A127" t="s">
        <v>362</v>
      </c>
      <c r="B127" t="s">
        <v>1273</v>
      </c>
      <c r="C127">
        <v>3</v>
      </c>
      <c r="D127" t="s">
        <v>1274</v>
      </c>
      <c r="E127">
        <v>1</v>
      </c>
      <c r="F127" t="s">
        <v>246</v>
      </c>
      <c r="G127" t="s">
        <v>63</v>
      </c>
      <c r="H127" t="s">
        <v>124</v>
      </c>
      <c r="I127" t="s">
        <v>222</v>
      </c>
    </row>
    <row r="128" spans="1:9" x14ac:dyDescent="0.2">
      <c r="A128" t="s">
        <v>362</v>
      </c>
      <c r="B128" t="s">
        <v>1275</v>
      </c>
      <c r="C128">
        <v>4</v>
      </c>
      <c r="D128" t="s">
        <v>1276</v>
      </c>
      <c r="E128">
        <v>2</v>
      </c>
      <c r="F128" t="s">
        <v>259</v>
      </c>
      <c r="G128" t="s">
        <v>61</v>
      </c>
      <c r="H128" t="s">
        <v>82</v>
      </c>
      <c r="I128" t="s">
        <v>222</v>
      </c>
    </row>
    <row r="129" spans="1:9" x14ac:dyDescent="0.2">
      <c r="A129" t="s">
        <v>362</v>
      </c>
      <c r="B129" t="s">
        <v>1277</v>
      </c>
      <c r="C129">
        <v>5</v>
      </c>
      <c r="D129" t="s">
        <v>1278</v>
      </c>
      <c r="E129">
        <v>3</v>
      </c>
      <c r="F129" t="s">
        <v>243</v>
      </c>
      <c r="H129" t="s">
        <v>148</v>
      </c>
      <c r="I129" t="s">
        <v>218</v>
      </c>
    </row>
    <row r="130" spans="1:9" x14ac:dyDescent="0.2">
      <c r="A130" t="s">
        <v>362</v>
      </c>
      <c r="B130" t="s">
        <v>1279</v>
      </c>
      <c r="C130">
        <v>6</v>
      </c>
      <c r="D130" t="s">
        <v>1280</v>
      </c>
      <c r="E130">
        <v>4</v>
      </c>
      <c r="F130" t="s">
        <v>256</v>
      </c>
      <c r="H130" t="s">
        <v>148</v>
      </c>
      <c r="I130" t="s">
        <v>218</v>
      </c>
    </row>
    <row r="131" spans="1:9" x14ac:dyDescent="0.2">
      <c r="A131" t="s">
        <v>363</v>
      </c>
      <c r="B131" t="s">
        <v>1281</v>
      </c>
      <c r="C131">
        <v>1</v>
      </c>
      <c r="D131" t="s">
        <v>1017</v>
      </c>
      <c r="E131">
        <v>0</v>
      </c>
      <c r="F131" t="s">
        <v>273</v>
      </c>
      <c r="G131" t="s">
        <v>65</v>
      </c>
      <c r="H131" t="s">
        <v>79</v>
      </c>
      <c r="I131" t="s">
        <v>222</v>
      </c>
    </row>
    <row r="132" spans="1:9" x14ac:dyDescent="0.2">
      <c r="A132" t="s">
        <v>363</v>
      </c>
      <c r="B132" t="s">
        <v>1282</v>
      </c>
      <c r="C132">
        <v>2</v>
      </c>
      <c r="D132" t="s">
        <v>1283</v>
      </c>
      <c r="E132">
        <v>0</v>
      </c>
      <c r="F132" t="s">
        <v>178</v>
      </c>
      <c r="G132" t="s">
        <v>55</v>
      </c>
      <c r="H132" t="s">
        <v>154</v>
      </c>
      <c r="I132" t="s">
        <v>222</v>
      </c>
    </row>
    <row r="133" spans="1:9" x14ac:dyDescent="0.2">
      <c r="A133" t="s">
        <v>363</v>
      </c>
      <c r="B133" t="s">
        <v>1284</v>
      </c>
      <c r="C133">
        <v>3</v>
      </c>
      <c r="D133" t="s">
        <v>1285</v>
      </c>
      <c r="E133">
        <v>1</v>
      </c>
      <c r="F133" t="s">
        <v>178</v>
      </c>
      <c r="G133" t="s">
        <v>55</v>
      </c>
      <c r="H133" t="s">
        <v>154</v>
      </c>
      <c r="I133" t="s">
        <v>222</v>
      </c>
    </row>
    <row r="134" spans="1:9" x14ac:dyDescent="0.2">
      <c r="A134" t="s">
        <v>363</v>
      </c>
      <c r="B134" t="s">
        <v>1286</v>
      </c>
      <c r="C134">
        <v>4</v>
      </c>
      <c r="D134" t="s">
        <v>1287</v>
      </c>
      <c r="E134">
        <v>2</v>
      </c>
      <c r="F134" t="s">
        <v>224</v>
      </c>
      <c r="G134" t="s">
        <v>61</v>
      </c>
      <c r="H134" t="s">
        <v>145</v>
      </c>
      <c r="I134" t="s">
        <v>222</v>
      </c>
    </row>
    <row r="135" spans="1:9" x14ac:dyDescent="0.2">
      <c r="A135" t="s">
        <v>363</v>
      </c>
      <c r="B135" t="s">
        <v>1288</v>
      </c>
      <c r="C135">
        <v>5</v>
      </c>
      <c r="D135" t="s">
        <v>1289</v>
      </c>
      <c r="E135">
        <v>3</v>
      </c>
      <c r="F135" t="s">
        <v>243</v>
      </c>
      <c r="H135" t="s">
        <v>148</v>
      </c>
      <c r="I135" t="s">
        <v>218</v>
      </c>
    </row>
    <row r="136" spans="1:9" x14ac:dyDescent="0.2">
      <c r="A136" t="s">
        <v>363</v>
      </c>
      <c r="B136" t="s">
        <v>1290</v>
      </c>
      <c r="C136">
        <v>6</v>
      </c>
      <c r="D136" t="s">
        <v>1291</v>
      </c>
      <c r="E136">
        <v>4</v>
      </c>
      <c r="F136" t="s">
        <v>256</v>
      </c>
      <c r="H136" t="s">
        <v>148</v>
      </c>
      <c r="I136" t="s">
        <v>218</v>
      </c>
    </row>
    <row r="137" spans="1:9" x14ac:dyDescent="0.2">
      <c r="A137" t="s">
        <v>364</v>
      </c>
      <c r="B137" t="s">
        <v>1292</v>
      </c>
      <c r="C137">
        <v>1</v>
      </c>
      <c r="D137" t="s">
        <v>1293</v>
      </c>
      <c r="E137">
        <v>0</v>
      </c>
      <c r="F137" t="s">
        <v>1294</v>
      </c>
      <c r="G137" t="s">
        <v>55</v>
      </c>
      <c r="H137" t="s">
        <v>156</v>
      </c>
      <c r="I137" t="s">
        <v>222</v>
      </c>
    </row>
    <row r="138" spans="1:9" x14ac:dyDescent="0.2">
      <c r="A138" t="s">
        <v>364</v>
      </c>
      <c r="B138" t="s">
        <v>1295</v>
      </c>
      <c r="C138">
        <v>2</v>
      </c>
      <c r="D138" t="s">
        <v>1296</v>
      </c>
      <c r="E138">
        <v>1</v>
      </c>
      <c r="F138" t="s">
        <v>266</v>
      </c>
      <c r="G138" t="s">
        <v>63</v>
      </c>
      <c r="H138" t="s">
        <v>156</v>
      </c>
      <c r="I138" t="s">
        <v>222</v>
      </c>
    </row>
    <row r="139" spans="1:9" x14ac:dyDescent="0.2">
      <c r="A139" t="s">
        <v>364</v>
      </c>
      <c r="B139" t="s">
        <v>1297</v>
      </c>
      <c r="C139">
        <v>3</v>
      </c>
      <c r="D139" t="s">
        <v>1298</v>
      </c>
      <c r="E139">
        <v>2</v>
      </c>
      <c r="F139" t="s">
        <v>262</v>
      </c>
      <c r="H139" t="s">
        <v>135</v>
      </c>
      <c r="I139" t="s">
        <v>222</v>
      </c>
    </row>
    <row r="140" spans="1:9" x14ac:dyDescent="0.2">
      <c r="A140" t="s">
        <v>364</v>
      </c>
      <c r="B140" t="s">
        <v>1299</v>
      </c>
      <c r="C140">
        <v>4</v>
      </c>
      <c r="D140" t="s">
        <v>1300</v>
      </c>
      <c r="E140">
        <v>3</v>
      </c>
      <c r="F140" t="s">
        <v>243</v>
      </c>
      <c r="H140" t="s">
        <v>148</v>
      </c>
      <c r="I140" t="s">
        <v>218</v>
      </c>
    </row>
    <row r="141" spans="1:9" x14ac:dyDescent="0.2">
      <c r="A141" t="s">
        <v>365</v>
      </c>
      <c r="B141" t="s">
        <v>1301</v>
      </c>
      <c r="C141">
        <v>1</v>
      </c>
      <c r="D141" t="s">
        <v>1017</v>
      </c>
      <c r="E141">
        <v>0</v>
      </c>
      <c r="F141" t="s">
        <v>273</v>
      </c>
      <c r="G141" t="s">
        <v>65</v>
      </c>
      <c r="H141" t="s">
        <v>157</v>
      </c>
      <c r="I141" t="s">
        <v>222</v>
      </c>
    </row>
    <row r="142" spans="1:9" x14ac:dyDescent="0.2">
      <c r="A142" t="s">
        <v>365</v>
      </c>
      <c r="B142" t="s">
        <v>1302</v>
      </c>
      <c r="C142">
        <v>2</v>
      </c>
      <c r="D142" t="s">
        <v>1303</v>
      </c>
      <c r="E142">
        <v>0</v>
      </c>
      <c r="F142" t="s">
        <v>1304</v>
      </c>
      <c r="G142" t="s">
        <v>55</v>
      </c>
      <c r="H142" t="s">
        <v>154</v>
      </c>
      <c r="I142" t="s">
        <v>222</v>
      </c>
    </row>
    <row r="143" spans="1:9" x14ac:dyDescent="0.2">
      <c r="A143" t="s">
        <v>365</v>
      </c>
      <c r="B143" t="s">
        <v>1305</v>
      </c>
      <c r="C143">
        <v>3</v>
      </c>
      <c r="D143" t="s">
        <v>1306</v>
      </c>
      <c r="E143">
        <v>1</v>
      </c>
      <c r="F143" t="s">
        <v>180</v>
      </c>
      <c r="G143" t="s">
        <v>57</v>
      </c>
      <c r="H143" t="s">
        <v>158</v>
      </c>
      <c r="I143" t="s">
        <v>222</v>
      </c>
    </row>
    <row r="144" spans="1:9" x14ac:dyDescent="0.2">
      <c r="A144" t="s">
        <v>365</v>
      </c>
      <c r="B144" t="s">
        <v>1307</v>
      </c>
      <c r="C144">
        <v>4</v>
      </c>
      <c r="D144" t="s">
        <v>1308</v>
      </c>
      <c r="E144">
        <v>2</v>
      </c>
      <c r="F144" t="s">
        <v>259</v>
      </c>
      <c r="G144" t="s">
        <v>61</v>
      </c>
      <c r="H144" t="s">
        <v>143</v>
      </c>
      <c r="I144" t="s">
        <v>222</v>
      </c>
    </row>
    <row r="145" spans="1:10" x14ac:dyDescent="0.2">
      <c r="A145" t="s">
        <v>365</v>
      </c>
      <c r="B145" t="s">
        <v>1309</v>
      </c>
      <c r="C145">
        <v>5</v>
      </c>
      <c r="D145" t="s">
        <v>1310</v>
      </c>
      <c r="E145">
        <v>3</v>
      </c>
      <c r="F145" t="s">
        <v>243</v>
      </c>
      <c r="H145" t="s">
        <v>148</v>
      </c>
      <c r="I145" t="s">
        <v>218</v>
      </c>
    </row>
    <row r="146" spans="1:10" x14ac:dyDescent="0.2">
      <c r="A146" t="s">
        <v>365</v>
      </c>
      <c r="B146" t="s">
        <v>1311</v>
      </c>
      <c r="C146">
        <v>6</v>
      </c>
      <c r="D146" t="s">
        <v>1312</v>
      </c>
      <c r="E146">
        <v>4</v>
      </c>
      <c r="F146" t="s">
        <v>256</v>
      </c>
      <c r="H146" t="s">
        <v>148</v>
      </c>
      <c r="I146" t="s">
        <v>218</v>
      </c>
    </row>
    <row r="147" spans="1:10" x14ac:dyDescent="0.2">
      <c r="A147" t="s">
        <v>366</v>
      </c>
      <c r="B147" t="s">
        <v>1313</v>
      </c>
      <c r="C147">
        <v>1</v>
      </c>
      <c r="D147" t="s">
        <v>1017</v>
      </c>
      <c r="E147">
        <v>0</v>
      </c>
      <c r="F147" t="s">
        <v>273</v>
      </c>
      <c r="G147" t="s">
        <v>65</v>
      </c>
      <c r="H147" t="s">
        <v>77</v>
      </c>
      <c r="I147" t="s">
        <v>222</v>
      </c>
    </row>
    <row r="148" spans="1:10" x14ac:dyDescent="0.2">
      <c r="A148" t="s">
        <v>366</v>
      </c>
      <c r="B148" t="s">
        <v>1314</v>
      </c>
      <c r="C148">
        <v>2</v>
      </c>
      <c r="D148" t="s">
        <v>1315</v>
      </c>
      <c r="E148">
        <v>0</v>
      </c>
      <c r="F148" t="s">
        <v>242</v>
      </c>
      <c r="G148" t="s">
        <v>62</v>
      </c>
      <c r="H148" t="s">
        <v>83</v>
      </c>
      <c r="I148" t="s">
        <v>222</v>
      </c>
    </row>
    <row r="149" spans="1:10" x14ac:dyDescent="0.2">
      <c r="A149" t="s">
        <v>366</v>
      </c>
      <c r="B149" t="s">
        <v>1316</v>
      </c>
      <c r="C149">
        <v>3</v>
      </c>
      <c r="D149" t="s">
        <v>1317</v>
      </c>
      <c r="E149">
        <v>1</v>
      </c>
      <c r="F149" t="s">
        <v>1035</v>
      </c>
      <c r="G149" t="s">
        <v>63</v>
      </c>
      <c r="H149" t="s">
        <v>166</v>
      </c>
      <c r="I149" t="s">
        <v>222</v>
      </c>
    </row>
    <row r="150" spans="1:10" x14ac:dyDescent="0.2">
      <c r="A150" t="s">
        <v>366</v>
      </c>
      <c r="B150" t="s">
        <v>1318</v>
      </c>
      <c r="C150">
        <v>4</v>
      </c>
      <c r="D150" t="s">
        <v>1319</v>
      </c>
      <c r="E150">
        <v>2</v>
      </c>
      <c r="F150" t="s">
        <v>259</v>
      </c>
      <c r="G150" t="s">
        <v>61</v>
      </c>
      <c r="H150" t="s">
        <v>132</v>
      </c>
      <c r="I150" t="s">
        <v>222</v>
      </c>
    </row>
    <row r="151" spans="1:10" x14ac:dyDescent="0.2">
      <c r="A151" t="s">
        <v>366</v>
      </c>
      <c r="B151" t="s">
        <v>1320</v>
      </c>
      <c r="C151">
        <v>5</v>
      </c>
      <c r="D151" t="s">
        <v>1321</v>
      </c>
      <c r="E151">
        <v>3</v>
      </c>
      <c r="F151" t="s">
        <v>243</v>
      </c>
      <c r="H151" t="s">
        <v>148</v>
      </c>
      <c r="I151" t="s">
        <v>218</v>
      </c>
    </row>
    <row r="152" spans="1:10" x14ac:dyDescent="0.2">
      <c r="A152" t="s">
        <v>366</v>
      </c>
      <c r="B152" t="s">
        <v>1322</v>
      </c>
      <c r="C152">
        <v>6</v>
      </c>
      <c r="D152" t="s">
        <v>1323</v>
      </c>
      <c r="E152">
        <v>4</v>
      </c>
      <c r="F152" t="s">
        <v>256</v>
      </c>
      <c r="H152" t="s">
        <v>148</v>
      </c>
      <c r="I152" t="s">
        <v>218</v>
      </c>
    </row>
    <row r="153" spans="1:10" x14ac:dyDescent="0.2">
      <c r="A153" t="s">
        <v>367</v>
      </c>
      <c r="B153" t="s">
        <v>1324</v>
      </c>
      <c r="C153">
        <v>1</v>
      </c>
      <c r="D153" t="s">
        <v>1325</v>
      </c>
      <c r="E153">
        <v>0</v>
      </c>
      <c r="F153" t="s">
        <v>242</v>
      </c>
      <c r="G153" t="s">
        <v>60</v>
      </c>
      <c r="H153" t="s">
        <v>100</v>
      </c>
      <c r="I153" t="s">
        <v>222</v>
      </c>
    </row>
    <row r="154" spans="1:10" x14ac:dyDescent="0.2">
      <c r="A154" t="s">
        <v>367</v>
      </c>
      <c r="B154" t="s">
        <v>1326</v>
      </c>
      <c r="C154">
        <v>2</v>
      </c>
      <c r="D154" t="s">
        <v>1327</v>
      </c>
      <c r="E154">
        <v>1</v>
      </c>
      <c r="F154" t="s">
        <v>266</v>
      </c>
      <c r="G154" t="s">
        <v>63</v>
      </c>
      <c r="H154" t="s">
        <v>121</v>
      </c>
      <c r="I154" t="s">
        <v>222</v>
      </c>
    </row>
    <row r="155" spans="1:10" x14ac:dyDescent="0.2">
      <c r="A155" t="s">
        <v>367</v>
      </c>
      <c r="B155" t="s">
        <v>1328</v>
      </c>
      <c r="C155">
        <v>3</v>
      </c>
      <c r="D155" t="s">
        <v>1329</v>
      </c>
      <c r="E155">
        <v>2</v>
      </c>
      <c r="F155" t="s">
        <v>243</v>
      </c>
      <c r="H155" t="s">
        <v>148</v>
      </c>
      <c r="I155" t="s">
        <v>218</v>
      </c>
      <c r="J155" t="s">
        <v>1330</v>
      </c>
    </row>
    <row r="156" spans="1:10" x14ac:dyDescent="0.2">
      <c r="A156" t="s">
        <v>367</v>
      </c>
      <c r="B156" t="s">
        <v>1331</v>
      </c>
      <c r="C156">
        <v>4</v>
      </c>
      <c r="D156" t="s">
        <v>1332</v>
      </c>
      <c r="E156">
        <v>3</v>
      </c>
      <c r="F156" t="s">
        <v>256</v>
      </c>
      <c r="H156" t="s">
        <v>148</v>
      </c>
      <c r="I156" t="s">
        <v>218</v>
      </c>
    </row>
    <row r="157" spans="1:10" x14ac:dyDescent="0.2">
      <c r="A157" t="s">
        <v>368</v>
      </c>
      <c r="B157" t="s">
        <v>1333</v>
      </c>
      <c r="C157">
        <v>1</v>
      </c>
      <c r="D157" t="s">
        <v>1017</v>
      </c>
      <c r="E157">
        <v>0</v>
      </c>
      <c r="F157" t="s">
        <v>273</v>
      </c>
      <c r="G157" t="s">
        <v>65</v>
      </c>
      <c r="H157" t="s">
        <v>139</v>
      </c>
      <c r="I157" t="s">
        <v>222</v>
      </c>
    </row>
    <row r="158" spans="1:10" x14ac:dyDescent="0.2">
      <c r="A158" t="s">
        <v>368</v>
      </c>
      <c r="B158" t="s">
        <v>1334</v>
      </c>
      <c r="C158">
        <v>2</v>
      </c>
      <c r="D158" t="s">
        <v>1335</v>
      </c>
      <c r="E158">
        <v>0</v>
      </c>
      <c r="F158" t="s">
        <v>249</v>
      </c>
      <c r="G158" t="s">
        <v>59</v>
      </c>
      <c r="H158" t="s">
        <v>139</v>
      </c>
      <c r="I158" t="s">
        <v>222</v>
      </c>
    </row>
    <row r="159" spans="1:10" x14ac:dyDescent="0.2">
      <c r="A159" t="s">
        <v>368</v>
      </c>
      <c r="B159" t="s">
        <v>1336</v>
      </c>
      <c r="C159">
        <v>3</v>
      </c>
      <c r="D159" t="s">
        <v>1337</v>
      </c>
      <c r="E159">
        <v>1</v>
      </c>
      <c r="F159" t="s">
        <v>249</v>
      </c>
      <c r="G159" t="s">
        <v>59</v>
      </c>
      <c r="H159" t="s">
        <v>139</v>
      </c>
      <c r="I159" t="s">
        <v>222</v>
      </c>
    </row>
    <row r="160" spans="1:10" x14ac:dyDescent="0.2">
      <c r="A160" t="s">
        <v>368</v>
      </c>
      <c r="B160" t="s">
        <v>1338</v>
      </c>
      <c r="C160">
        <v>4</v>
      </c>
      <c r="D160" t="s">
        <v>1339</v>
      </c>
      <c r="E160">
        <v>2</v>
      </c>
      <c r="F160" t="s">
        <v>245</v>
      </c>
      <c r="G160" t="s">
        <v>60</v>
      </c>
      <c r="H160" t="s">
        <v>161</v>
      </c>
      <c r="I160" t="s">
        <v>222</v>
      </c>
    </row>
    <row r="161" spans="1:9" x14ac:dyDescent="0.2">
      <c r="A161" t="s">
        <v>368</v>
      </c>
      <c r="B161" t="s">
        <v>1340</v>
      </c>
      <c r="C161">
        <v>5</v>
      </c>
      <c r="D161" t="s">
        <v>1341</v>
      </c>
      <c r="E161">
        <v>3</v>
      </c>
      <c r="F161" t="s">
        <v>243</v>
      </c>
      <c r="H161" t="s">
        <v>148</v>
      </c>
      <c r="I161" t="s">
        <v>218</v>
      </c>
    </row>
    <row r="162" spans="1:9" x14ac:dyDescent="0.2">
      <c r="A162" t="s">
        <v>368</v>
      </c>
      <c r="B162" t="s">
        <v>1342</v>
      </c>
      <c r="C162">
        <v>6</v>
      </c>
      <c r="D162" t="s">
        <v>1343</v>
      </c>
      <c r="E162">
        <v>4</v>
      </c>
      <c r="F162" t="s">
        <v>256</v>
      </c>
      <c r="H162" t="s">
        <v>148</v>
      </c>
      <c r="I162" t="s">
        <v>218</v>
      </c>
    </row>
    <row r="163" spans="1:9" x14ac:dyDescent="0.2">
      <c r="A163" t="s">
        <v>369</v>
      </c>
      <c r="B163" t="s">
        <v>1344</v>
      </c>
      <c r="C163">
        <v>1</v>
      </c>
      <c r="D163" t="s">
        <v>1017</v>
      </c>
      <c r="E163">
        <v>0</v>
      </c>
      <c r="F163" t="s">
        <v>273</v>
      </c>
      <c r="G163" t="s">
        <v>65</v>
      </c>
      <c r="H163" t="s">
        <v>74</v>
      </c>
      <c r="I163" t="s">
        <v>222</v>
      </c>
    </row>
    <row r="164" spans="1:9" x14ac:dyDescent="0.2">
      <c r="A164" t="s">
        <v>369</v>
      </c>
      <c r="B164" t="s">
        <v>1345</v>
      </c>
      <c r="C164">
        <v>2</v>
      </c>
      <c r="D164" t="s">
        <v>1346</v>
      </c>
      <c r="E164">
        <v>0</v>
      </c>
      <c r="F164" t="s">
        <v>267</v>
      </c>
      <c r="G164" t="s">
        <v>62</v>
      </c>
      <c r="H164" t="s">
        <v>105</v>
      </c>
      <c r="I164" t="s">
        <v>222</v>
      </c>
    </row>
    <row r="165" spans="1:9" x14ac:dyDescent="0.2">
      <c r="A165" t="s">
        <v>369</v>
      </c>
      <c r="B165" t="s">
        <v>1347</v>
      </c>
      <c r="C165">
        <v>3</v>
      </c>
      <c r="D165" t="s">
        <v>1348</v>
      </c>
      <c r="E165">
        <v>1</v>
      </c>
      <c r="F165" t="s">
        <v>246</v>
      </c>
      <c r="G165" t="s">
        <v>63</v>
      </c>
      <c r="H165" t="s">
        <v>120</v>
      </c>
      <c r="I165" t="s">
        <v>222</v>
      </c>
    </row>
    <row r="166" spans="1:9" x14ac:dyDescent="0.2">
      <c r="A166" t="s">
        <v>369</v>
      </c>
      <c r="B166" t="s">
        <v>1349</v>
      </c>
      <c r="C166">
        <v>4</v>
      </c>
      <c r="D166" t="s">
        <v>1350</v>
      </c>
      <c r="E166">
        <v>2</v>
      </c>
      <c r="F166" t="s">
        <v>259</v>
      </c>
      <c r="G166" t="s">
        <v>61</v>
      </c>
      <c r="H166" t="s">
        <v>136</v>
      </c>
      <c r="I166" t="s">
        <v>222</v>
      </c>
    </row>
    <row r="167" spans="1:9" x14ac:dyDescent="0.2">
      <c r="A167" t="s">
        <v>369</v>
      </c>
      <c r="B167" t="s">
        <v>1351</v>
      </c>
      <c r="C167">
        <v>5</v>
      </c>
      <c r="D167" t="s">
        <v>1352</v>
      </c>
      <c r="E167">
        <v>3</v>
      </c>
      <c r="F167" t="s">
        <v>243</v>
      </c>
      <c r="H167" t="s">
        <v>148</v>
      </c>
      <c r="I167" t="s">
        <v>218</v>
      </c>
    </row>
    <row r="168" spans="1:9" x14ac:dyDescent="0.2">
      <c r="A168" t="s">
        <v>369</v>
      </c>
      <c r="B168" t="s">
        <v>1353</v>
      </c>
      <c r="C168">
        <v>6</v>
      </c>
      <c r="D168" t="s">
        <v>1354</v>
      </c>
      <c r="E168">
        <v>4</v>
      </c>
      <c r="F168" t="s">
        <v>256</v>
      </c>
      <c r="H168" t="s">
        <v>148</v>
      </c>
      <c r="I168" t="s">
        <v>218</v>
      </c>
    </row>
    <row r="169" spans="1:9" x14ac:dyDescent="0.2">
      <c r="A169" t="s">
        <v>370</v>
      </c>
      <c r="B169" t="s">
        <v>1355</v>
      </c>
      <c r="C169">
        <v>1</v>
      </c>
      <c r="D169" t="s">
        <v>1356</v>
      </c>
      <c r="E169">
        <v>0</v>
      </c>
      <c r="F169" t="s">
        <v>242</v>
      </c>
      <c r="G169" t="s">
        <v>62</v>
      </c>
      <c r="H169" t="s">
        <v>105</v>
      </c>
      <c r="I169" t="s">
        <v>222</v>
      </c>
    </row>
    <row r="170" spans="1:9" x14ac:dyDescent="0.2">
      <c r="A170" t="s">
        <v>370</v>
      </c>
      <c r="B170" t="s">
        <v>1357</v>
      </c>
      <c r="C170">
        <v>2</v>
      </c>
      <c r="D170" t="s">
        <v>1358</v>
      </c>
      <c r="E170">
        <v>1</v>
      </c>
      <c r="F170" t="s">
        <v>266</v>
      </c>
      <c r="G170" t="s">
        <v>63</v>
      </c>
      <c r="H170" t="s">
        <v>120</v>
      </c>
      <c r="I170" t="s">
        <v>222</v>
      </c>
    </row>
    <row r="171" spans="1:9" x14ac:dyDescent="0.2">
      <c r="A171" t="s">
        <v>370</v>
      </c>
      <c r="B171" t="s">
        <v>1359</v>
      </c>
      <c r="C171">
        <v>3</v>
      </c>
      <c r="D171" t="s">
        <v>1360</v>
      </c>
      <c r="E171">
        <v>2</v>
      </c>
      <c r="F171" t="s">
        <v>174</v>
      </c>
      <c r="G171" t="s">
        <v>63</v>
      </c>
      <c r="H171" t="s">
        <v>85</v>
      </c>
      <c r="I171" t="s">
        <v>222</v>
      </c>
    </row>
    <row r="172" spans="1:9" x14ac:dyDescent="0.2">
      <c r="A172" t="s">
        <v>370</v>
      </c>
      <c r="B172" t="s">
        <v>1361</v>
      </c>
      <c r="C172">
        <v>4</v>
      </c>
      <c r="D172" t="s">
        <v>1362</v>
      </c>
      <c r="E172">
        <v>3</v>
      </c>
      <c r="F172" t="s">
        <v>243</v>
      </c>
      <c r="H172" t="s">
        <v>148</v>
      </c>
      <c r="I172" t="s">
        <v>218</v>
      </c>
    </row>
    <row r="173" spans="1:9" x14ac:dyDescent="0.2">
      <c r="A173" t="s">
        <v>371</v>
      </c>
      <c r="B173" t="s">
        <v>1363</v>
      </c>
      <c r="C173">
        <v>1</v>
      </c>
      <c r="D173" t="s">
        <v>1017</v>
      </c>
      <c r="E173">
        <v>0</v>
      </c>
      <c r="F173" t="s">
        <v>273</v>
      </c>
      <c r="G173" t="s">
        <v>65</v>
      </c>
      <c r="H173" t="s">
        <v>147</v>
      </c>
      <c r="I173" t="s">
        <v>222</v>
      </c>
    </row>
    <row r="174" spans="1:9" x14ac:dyDescent="0.2">
      <c r="A174" t="s">
        <v>371</v>
      </c>
      <c r="B174" t="s">
        <v>1364</v>
      </c>
      <c r="C174">
        <v>2</v>
      </c>
      <c r="D174" t="s">
        <v>1365</v>
      </c>
      <c r="E174">
        <v>0</v>
      </c>
      <c r="F174" t="s">
        <v>242</v>
      </c>
      <c r="G174" t="s">
        <v>62</v>
      </c>
      <c r="H174" t="s">
        <v>147</v>
      </c>
      <c r="I174" t="s">
        <v>222</v>
      </c>
    </row>
    <row r="175" spans="1:9" x14ac:dyDescent="0.2">
      <c r="A175" t="s">
        <v>371</v>
      </c>
      <c r="B175" t="s">
        <v>1366</v>
      </c>
      <c r="C175">
        <v>3</v>
      </c>
      <c r="D175" t="s">
        <v>1367</v>
      </c>
      <c r="E175">
        <v>1</v>
      </c>
      <c r="F175" t="s">
        <v>259</v>
      </c>
      <c r="G175" t="s">
        <v>61</v>
      </c>
      <c r="H175" t="s">
        <v>131</v>
      </c>
      <c r="I175" t="s">
        <v>222</v>
      </c>
    </row>
    <row r="176" spans="1:9" x14ac:dyDescent="0.2">
      <c r="A176" t="s">
        <v>371</v>
      </c>
      <c r="B176" t="s">
        <v>1368</v>
      </c>
      <c r="C176">
        <v>4</v>
      </c>
      <c r="D176" t="s">
        <v>1369</v>
      </c>
      <c r="E176">
        <v>2</v>
      </c>
      <c r="F176" t="s">
        <v>245</v>
      </c>
      <c r="G176" t="s">
        <v>60</v>
      </c>
      <c r="H176" t="s">
        <v>131</v>
      </c>
      <c r="I176" t="s">
        <v>222</v>
      </c>
    </row>
    <row r="177" spans="1:9" x14ac:dyDescent="0.2">
      <c r="A177" t="s">
        <v>371</v>
      </c>
      <c r="B177" t="s">
        <v>1370</v>
      </c>
      <c r="C177">
        <v>5</v>
      </c>
      <c r="D177" t="s">
        <v>1371</v>
      </c>
      <c r="E177">
        <v>3</v>
      </c>
      <c r="F177" t="s">
        <v>243</v>
      </c>
      <c r="H177" t="s">
        <v>148</v>
      </c>
      <c r="I177" t="s">
        <v>218</v>
      </c>
    </row>
    <row r="178" spans="1:9" x14ac:dyDescent="0.2">
      <c r="A178" t="s">
        <v>371</v>
      </c>
      <c r="B178" t="s">
        <v>1372</v>
      </c>
      <c r="C178">
        <v>6</v>
      </c>
      <c r="D178" t="s">
        <v>1373</v>
      </c>
      <c r="E178">
        <v>4</v>
      </c>
      <c r="F178" t="s">
        <v>256</v>
      </c>
      <c r="H178" t="s">
        <v>148</v>
      </c>
      <c r="I178" t="s">
        <v>218</v>
      </c>
    </row>
    <row r="179" spans="1:9" x14ac:dyDescent="0.2">
      <c r="A179" t="s">
        <v>372</v>
      </c>
      <c r="B179" t="s">
        <v>1374</v>
      </c>
      <c r="C179">
        <v>1</v>
      </c>
      <c r="D179" t="s">
        <v>1017</v>
      </c>
      <c r="E179">
        <v>0</v>
      </c>
      <c r="F179" t="s">
        <v>273</v>
      </c>
      <c r="G179" t="s">
        <v>65</v>
      </c>
      <c r="H179" t="s">
        <v>103</v>
      </c>
      <c r="I179" t="s">
        <v>222</v>
      </c>
    </row>
    <row r="180" spans="1:9" x14ac:dyDescent="0.2">
      <c r="A180" t="s">
        <v>372</v>
      </c>
      <c r="B180" t="s">
        <v>1375</v>
      </c>
      <c r="C180">
        <v>2</v>
      </c>
      <c r="D180" t="s">
        <v>1376</v>
      </c>
      <c r="E180">
        <v>0</v>
      </c>
      <c r="F180" t="s">
        <v>242</v>
      </c>
      <c r="G180" t="s">
        <v>62</v>
      </c>
      <c r="H180" t="s">
        <v>103</v>
      </c>
      <c r="I180" t="s">
        <v>222</v>
      </c>
    </row>
    <row r="181" spans="1:9" x14ac:dyDescent="0.2">
      <c r="A181" t="s">
        <v>372</v>
      </c>
      <c r="B181" t="s">
        <v>1377</v>
      </c>
      <c r="C181">
        <v>3</v>
      </c>
      <c r="D181" t="s">
        <v>1378</v>
      </c>
      <c r="E181">
        <v>1</v>
      </c>
      <c r="F181" t="s">
        <v>216</v>
      </c>
      <c r="G181" t="s">
        <v>60</v>
      </c>
      <c r="H181" t="s">
        <v>103</v>
      </c>
      <c r="I181" t="s">
        <v>222</v>
      </c>
    </row>
    <row r="182" spans="1:9" x14ac:dyDescent="0.2">
      <c r="A182" t="s">
        <v>372</v>
      </c>
      <c r="B182" t="s">
        <v>1379</v>
      </c>
      <c r="C182">
        <v>4</v>
      </c>
      <c r="D182" t="s">
        <v>1380</v>
      </c>
      <c r="E182">
        <v>2</v>
      </c>
      <c r="F182" t="s">
        <v>259</v>
      </c>
      <c r="G182" t="s">
        <v>61</v>
      </c>
      <c r="H182" t="s">
        <v>113</v>
      </c>
      <c r="I182" t="s">
        <v>222</v>
      </c>
    </row>
    <row r="183" spans="1:9" x14ac:dyDescent="0.2">
      <c r="A183" t="s">
        <v>372</v>
      </c>
      <c r="B183" t="s">
        <v>1381</v>
      </c>
      <c r="C183">
        <v>5</v>
      </c>
      <c r="D183" t="s">
        <v>1382</v>
      </c>
      <c r="E183">
        <v>3</v>
      </c>
      <c r="F183" t="s">
        <v>243</v>
      </c>
      <c r="H183" t="s">
        <v>148</v>
      </c>
      <c r="I183" t="s">
        <v>218</v>
      </c>
    </row>
    <row r="184" spans="1:9" x14ac:dyDescent="0.2">
      <c r="A184" t="s">
        <v>372</v>
      </c>
      <c r="B184" t="s">
        <v>1383</v>
      </c>
      <c r="C184">
        <v>6</v>
      </c>
      <c r="D184" t="s">
        <v>1384</v>
      </c>
      <c r="E184">
        <v>4</v>
      </c>
      <c r="F184" t="s">
        <v>256</v>
      </c>
      <c r="H184" t="s">
        <v>148</v>
      </c>
      <c r="I184" t="s">
        <v>218</v>
      </c>
    </row>
    <row r="185" spans="1:9" x14ac:dyDescent="0.2">
      <c r="A185" t="s">
        <v>373</v>
      </c>
      <c r="B185" t="s">
        <v>1385</v>
      </c>
      <c r="C185">
        <v>1</v>
      </c>
      <c r="D185" t="s">
        <v>1017</v>
      </c>
      <c r="E185">
        <v>0</v>
      </c>
      <c r="F185" t="s">
        <v>273</v>
      </c>
      <c r="G185" t="s">
        <v>65</v>
      </c>
      <c r="H185" t="s">
        <v>95</v>
      </c>
      <c r="I185" t="s">
        <v>222</v>
      </c>
    </row>
    <row r="186" spans="1:9" x14ac:dyDescent="0.2">
      <c r="A186" t="s">
        <v>373</v>
      </c>
      <c r="B186" t="s">
        <v>1386</v>
      </c>
      <c r="C186">
        <v>2</v>
      </c>
      <c r="D186" t="s">
        <v>1387</v>
      </c>
      <c r="E186">
        <v>0</v>
      </c>
      <c r="F186" t="s">
        <v>237</v>
      </c>
      <c r="G186" t="s">
        <v>58</v>
      </c>
      <c r="H186" t="s">
        <v>95</v>
      </c>
      <c r="I186" t="s">
        <v>222</v>
      </c>
    </row>
    <row r="187" spans="1:9" x14ac:dyDescent="0.2">
      <c r="A187" t="s">
        <v>373</v>
      </c>
      <c r="B187" t="s">
        <v>1388</v>
      </c>
      <c r="C187">
        <v>3</v>
      </c>
      <c r="D187" t="s">
        <v>1389</v>
      </c>
      <c r="E187">
        <v>1</v>
      </c>
      <c r="F187" t="s">
        <v>246</v>
      </c>
      <c r="G187" t="s">
        <v>60</v>
      </c>
      <c r="H187" t="s">
        <v>95</v>
      </c>
      <c r="I187" t="s">
        <v>222</v>
      </c>
    </row>
    <row r="188" spans="1:9" x14ac:dyDescent="0.2">
      <c r="A188" t="s">
        <v>373</v>
      </c>
      <c r="B188" t="s">
        <v>1390</v>
      </c>
      <c r="C188">
        <v>4</v>
      </c>
      <c r="D188" t="s">
        <v>1391</v>
      </c>
      <c r="E188">
        <v>2</v>
      </c>
      <c r="F188" t="s">
        <v>259</v>
      </c>
      <c r="G188" t="s">
        <v>61</v>
      </c>
      <c r="H188" t="s">
        <v>126</v>
      </c>
      <c r="I188" t="s">
        <v>222</v>
      </c>
    </row>
    <row r="189" spans="1:9" x14ac:dyDescent="0.2">
      <c r="A189" t="s">
        <v>373</v>
      </c>
      <c r="B189" t="s">
        <v>1392</v>
      </c>
      <c r="C189">
        <v>5</v>
      </c>
      <c r="D189" t="s">
        <v>1393</v>
      </c>
      <c r="E189">
        <v>3</v>
      </c>
      <c r="F189" t="s">
        <v>243</v>
      </c>
      <c r="H189" t="s">
        <v>148</v>
      </c>
      <c r="I189" t="s">
        <v>218</v>
      </c>
    </row>
    <row r="190" spans="1:9" x14ac:dyDescent="0.2">
      <c r="A190" t="s">
        <v>373</v>
      </c>
      <c r="B190" t="s">
        <v>1394</v>
      </c>
      <c r="C190">
        <v>6</v>
      </c>
      <c r="D190" t="s">
        <v>1395</v>
      </c>
      <c r="E190">
        <v>4</v>
      </c>
      <c r="F190" t="s">
        <v>256</v>
      </c>
      <c r="H190" t="s">
        <v>148</v>
      </c>
      <c r="I190" t="s">
        <v>218</v>
      </c>
    </row>
    <row r="191" spans="1:9" x14ac:dyDescent="0.2">
      <c r="A191" t="s">
        <v>374</v>
      </c>
      <c r="B191" t="s">
        <v>1396</v>
      </c>
      <c r="C191">
        <v>1</v>
      </c>
      <c r="D191" t="s">
        <v>1017</v>
      </c>
      <c r="E191">
        <v>0</v>
      </c>
      <c r="F191" t="s">
        <v>273</v>
      </c>
      <c r="G191" t="s">
        <v>65</v>
      </c>
      <c r="H191" t="s">
        <v>102</v>
      </c>
      <c r="I191" t="s">
        <v>222</v>
      </c>
    </row>
    <row r="192" spans="1:9" x14ac:dyDescent="0.2">
      <c r="A192" t="s">
        <v>374</v>
      </c>
      <c r="B192" t="s">
        <v>1397</v>
      </c>
      <c r="C192">
        <v>2</v>
      </c>
      <c r="D192" t="s">
        <v>1398</v>
      </c>
      <c r="E192">
        <v>0</v>
      </c>
      <c r="F192" t="s">
        <v>242</v>
      </c>
      <c r="G192" t="s">
        <v>60</v>
      </c>
      <c r="H192" t="s">
        <v>102</v>
      </c>
      <c r="I192" t="s">
        <v>222</v>
      </c>
    </row>
    <row r="193" spans="1:9" x14ac:dyDescent="0.2">
      <c r="A193" t="s">
        <v>374</v>
      </c>
      <c r="B193" t="s">
        <v>1399</v>
      </c>
      <c r="C193">
        <v>3</v>
      </c>
      <c r="D193" t="s">
        <v>1400</v>
      </c>
      <c r="E193">
        <v>1</v>
      </c>
      <c r="F193" t="s">
        <v>275</v>
      </c>
      <c r="G193" t="s">
        <v>61</v>
      </c>
      <c r="H193" t="s">
        <v>168</v>
      </c>
      <c r="I193" t="s">
        <v>222</v>
      </c>
    </row>
    <row r="194" spans="1:9" x14ac:dyDescent="0.2">
      <c r="A194" t="s">
        <v>374</v>
      </c>
      <c r="B194" t="s">
        <v>1401</v>
      </c>
      <c r="C194">
        <v>4</v>
      </c>
      <c r="D194" t="s">
        <v>1402</v>
      </c>
      <c r="E194">
        <v>2</v>
      </c>
      <c r="F194" t="s">
        <v>172</v>
      </c>
      <c r="G194" t="s">
        <v>61</v>
      </c>
      <c r="H194" t="s">
        <v>168</v>
      </c>
      <c r="I194" t="s">
        <v>222</v>
      </c>
    </row>
    <row r="195" spans="1:9" x14ac:dyDescent="0.2">
      <c r="A195" t="s">
        <v>374</v>
      </c>
      <c r="B195" t="s">
        <v>1403</v>
      </c>
      <c r="C195">
        <v>5</v>
      </c>
      <c r="D195" t="s">
        <v>1404</v>
      </c>
      <c r="E195">
        <v>3</v>
      </c>
      <c r="F195" t="s">
        <v>243</v>
      </c>
      <c r="H195" t="s">
        <v>148</v>
      </c>
      <c r="I195" t="s">
        <v>218</v>
      </c>
    </row>
    <row r="196" spans="1:9" x14ac:dyDescent="0.2">
      <c r="A196" t="s">
        <v>374</v>
      </c>
      <c r="B196" t="s">
        <v>1405</v>
      </c>
      <c r="C196">
        <v>6</v>
      </c>
      <c r="D196" t="s">
        <v>1406</v>
      </c>
      <c r="E196">
        <v>4</v>
      </c>
      <c r="F196" t="s">
        <v>256</v>
      </c>
      <c r="H196" t="s">
        <v>148</v>
      </c>
      <c r="I196" t="s">
        <v>218</v>
      </c>
    </row>
    <row r="197" spans="1:9" x14ac:dyDescent="0.2">
      <c r="A197" t="s">
        <v>375</v>
      </c>
      <c r="B197" t="s">
        <v>1407</v>
      </c>
      <c r="C197">
        <v>1</v>
      </c>
      <c r="D197" t="s">
        <v>1408</v>
      </c>
      <c r="E197">
        <v>0</v>
      </c>
      <c r="F197" t="s">
        <v>242</v>
      </c>
      <c r="G197" t="s">
        <v>60</v>
      </c>
      <c r="H197" t="s">
        <v>92</v>
      </c>
      <c r="I197" t="s">
        <v>222</v>
      </c>
    </row>
    <row r="198" spans="1:9" x14ac:dyDescent="0.2">
      <c r="A198" t="s">
        <v>375</v>
      </c>
      <c r="B198" t="s">
        <v>1409</v>
      </c>
      <c r="C198">
        <v>2</v>
      </c>
      <c r="D198" t="s">
        <v>1410</v>
      </c>
      <c r="E198">
        <v>1</v>
      </c>
      <c r="F198" t="s">
        <v>266</v>
      </c>
      <c r="G198" t="s">
        <v>63</v>
      </c>
      <c r="H198" t="s">
        <v>122</v>
      </c>
      <c r="I198" t="s">
        <v>222</v>
      </c>
    </row>
    <row r="199" spans="1:9" x14ac:dyDescent="0.2">
      <c r="A199" t="s">
        <v>375</v>
      </c>
      <c r="B199" t="s">
        <v>1411</v>
      </c>
      <c r="C199">
        <v>3</v>
      </c>
      <c r="D199" t="s">
        <v>1412</v>
      </c>
      <c r="E199">
        <v>2</v>
      </c>
      <c r="F199" t="s">
        <v>245</v>
      </c>
      <c r="G199" t="s">
        <v>60</v>
      </c>
      <c r="H199" t="s">
        <v>89</v>
      </c>
      <c r="I199" t="s">
        <v>222</v>
      </c>
    </row>
    <row r="200" spans="1:9" x14ac:dyDescent="0.2">
      <c r="A200" t="s">
        <v>375</v>
      </c>
      <c r="B200" t="s">
        <v>1413</v>
      </c>
      <c r="C200">
        <v>4</v>
      </c>
      <c r="D200" t="s">
        <v>1414</v>
      </c>
      <c r="E200">
        <v>3</v>
      </c>
      <c r="F200" t="s">
        <v>243</v>
      </c>
      <c r="H200" t="s">
        <v>148</v>
      </c>
      <c r="I200" t="s">
        <v>218</v>
      </c>
    </row>
    <row r="201" spans="1:9" x14ac:dyDescent="0.2">
      <c r="A201" t="s">
        <v>376</v>
      </c>
      <c r="B201" t="s">
        <v>1415</v>
      </c>
      <c r="C201">
        <v>1</v>
      </c>
      <c r="D201" t="s">
        <v>1017</v>
      </c>
      <c r="E201">
        <v>0</v>
      </c>
      <c r="F201" t="s">
        <v>273</v>
      </c>
      <c r="G201" t="s">
        <v>65</v>
      </c>
      <c r="H201" t="s">
        <v>99</v>
      </c>
      <c r="I201" t="s">
        <v>222</v>
      </c>
    </row>
    <row r="202" spans="1:9" x14ac:dyDescent="0.2">
      <c r="A202" t="s">
        <v>376</v>
      </c>
      <c r="B202" t="s">
        <v>1416</v>
      </c>
      <c r="C202">
        <v>2</v>
      </c>
      <c r="D202" t="s">
        <v>1417</v>
      </c>
      <c r="E202">
        <v>0</v>
      </c>
      <c r="F202" t="s">
        <v>242</v>
      </c>
      <c r="G202" t="s">
        <v>60</v>
      </c>
      <c r="H202" t="s">
        <v>155</v>
      </c>
      <c r="I202" t="s">
        <v>222</v>
      </c>
    </row>
    <row r="203" spans="1:9" x14ac:dyDescent="0.2">
      <c r="A203" t="s">
        <v>376</v>
      </c>
      <c r="B203" t="s">
        <v>1418</v>
      </c>
      <c r="C203">
        <v>3</v>
      </c>
      <c r="D203" t="s">
        <v>1419</v>
      </c>
      <c r="E203">
        <v>1</v>
      </c>
      <c r="F203" t="s">
        <v>252</v>
      </c>
      <c r="G203" t="s">
        <v>60</v>
      </c>
      <c r="H203" t="s">
        <v>155</v>
      </c>
      <c r="I203" t="s">
        <v>222</v>
      </c>
    </row>
    <row r="204" spans="1:9" x14ac:dyDescent="0.2">
      <c r="A204" t="s">
        <v>376</v>
      </c>
      <c r="B204" t="s">
        <v>1420</v>
      </c>
      <c r="C204">
        <v>4</v>
      </c>
      <c r="D204" t="s">
        <v>1421</v>
      </c>
      <c r="E204">
        <v>2</v>
      </c>
      <c r="F204" t="s">
        <v>259</v>
      </c>
      <c r="G204" t="s">
        <v>61</v>
      </c>
      <c r="H204" t="s">
        <v>130</v>
      </c>
      <c r="I204" t="s">
        <v>222</v>
      </c>
    </row>
    <row r="205" spans="1:9" x14ac:dyDescent="0.2">
      <c r="A205" t="s">
        <v>376</v>
      </c>
      <c r="B205" t="s">
        <v>1422</v>
      </c>
      <c r="C205">
        <v>5</v>
      </c>
      <c r="D205" t="s">
        <v>1423</v>
      </c>
      <c r="E205">
        <v>3</v>
      </c>
      <c r="F205" t="s">
        <v>243</v>
      </c>
      <c r="H205" t="s">
        <v>148</v>
      </c>
      <c r="I205" t="s">
        <v>218</v>
      </c>
    </row>
    <row r="206" spans="1:9" x14ac:dyDescent="0.2">
      <c r="A206" t="s">
        <v>376</v>
      </c>
      <c r="B206" t="s">
        <v>1424</v>
      </c>
      <c r="C206">
        <v>6</v>
      </c>
      <c r="D206" t="s">
        <v>1425</v>
      </c>
      <c r="E206">
        <v>4</v>
      </c>
      <c r="F206" t="s">
        <v>256</v>
      </c>
      <c r="H206" t="s">
        <v>148</v>
      </c>
      <c r="I206" t="s">
        <v>218</v>
      </c>
    </row>
    <row r="207" spans="1:9" x14ac:dyDescent="0.2">
      <c r="A207" t="s">
        <v>377</v>
      </c>
      <c r="B207" t="s">
        <v>1426</v>
      </c>
      <c r="C207">
        <v>1</v>
      </c>
      <c r="D207" t="s">
        <v>1017</v>
      </c>
      <c r="E207">
        <v>0</v>
      </c>
      <c r="F207" t="s">
        <v>273</v>
      </c>
      <c r="G207" t="s">
        <v>65</v>
      </c>
      <c r="H207" t="s">
        <v>146</v>
      </c>
      <c r="I207" t="s">
        <v>222</v>
      </c>
    </row>
    <row r="208" spans="1:9" x14ac:dyDescent="0.2">
      <c r="A208" t="s">
        <v>377</v>
      </c>
      <c r="B208" t="s">
        <v>1427</v>
      </c>
      <c r="C208">
        <v>2</v>
      </c>
      <c r="D208" t="s">
        <v>1428</v>
      </c>
      <c r="E208">
        <v>0</v>
      </c>
      <c r="F208" t="s">
        <v>242</v>
      </c>
      <c r="G208" t="s">
        <v>61</v>
      </c>
      <c r="H208" t="s">
        <v>146</v>
      </c>
      <c r="I208" t="s">
        <v>222</v>
      </c>
    </row>
    <row r="209" spans="1:10" x14ac:dyDescent="0.2">
      <c r="A209" t="s">
        <v>377</v>
      </c>
      <c r="B209" t="s">
        <v>1429</v>
      </c>
      <c r="C209">
        <v>3</v>
      </c>
      <c r="D209" t="s">
        <v>1430</v>
      </c>
      <c r="E209">
        <v>1</v>
      </c>
      <c r="F209" t="s">
        <v>264</v>
      </c>
      <c r="G209" t="s">
        <v>61</v>
      </c>
      <c r="H209" t="s">
        <v>146</v>
      </c>
      <c r="I209" t="s">
        <v>222</v>
      </c>
    </row>
    <row r="210" spans="1:10" x14ac:dyDescent="0.2">
      <c r="A210" t="s">
        <v>377</v>
      </c>
      <c r="B210" t="s">
        <v>1431</v>
      </c>
      <c r="C210">
        <v>4</v>
      </c>
      <c r="D210" t="s">
        <v>1432</v>
      </c>
      <c r="E210">
        <v>2</v>
      </c>
      <c r="F210" t="s">
        <v>259</v>
      </c>
      <c r="G210" t="s">
        <v>61</v>
      </c>
      <c r="H210" t="s">
        <v>81</v>
      </c>
      <c r="I210" t="s">
        <v>222</v>
      </c>
    </row>
    <row r="211" spans="1:10" x14ac:dyDescent="0.2">
      <c r="A211" t="s">
        <v>377</v>
      </c>
      <c r="B211" t="s">
        <v>1433</v>
      </c>
      <c r="C211">
        <v>5</v>
      </c>
      <c r="D211" t="s">
        <v>1434</v>
      </c>
      <c r="E211">
        <v>3</v>
      </c>
      <c r="F211" t="s">
        <v>243</v>
      </c>
      <c r="H211" t="s">
        <v>148</v>
      </c>
      <c r="I211" t="s">
        <v>218</v>
      </c>
    </row>
    <row r="212" spans="1:10" x14ac:dyDescent="0.2">
      <c r="A212" t="s">
        <v>377</v>
      </c>
      <c r="B212" t="s">
        <v>1435</v>
      </c>
      <c r="C212">
        <v>6</v>
      </c>
      <c r="D212" t="s">
        <v>1436</v>
      </c>
      <c r="E212">
        <v>4</v>
      </c>
      <c r="F212" t="s">
        <v>256</v>
      </c>
      <c r="H212" t="s">
        <v>148</v>
      </c>
      <c r="I212" t="s">
        <v>218</v>
      </c>
    </row>
    <row r="213" spans="1:10" x14ac:dyDescent="0.2">
      <c r="A213" t="s">
        <v>378</v>
      </c>
      <c r="B213" t="s">
        <v>1437</v>
      </c>
      <c r="C213">
        <v>1</v>
      </c>
      <c r="D213" t="s">
        <v>1438</v>
      </c>
      <c r="E213">
        <v>0</v>
      </c>
      <c r="F213" t="s">
        <v>251</v>
      </c>
      <c r="G213" t="s">
        <v>60</v>
      </c>
      <c r="H213" t="s">
        <v>1439</v>
      </c>
      <c r="I213" t="s">
        <v>222</v>
      </c>
    </row>
    <row r="214" spans="1:10" x14ac:dyDescent="0.2">
      <c r="A214" t="s">
        <v>378</v>
      </c>
      <c r="B214" t="s">
        <v>1440</v>
      </c>
      <c r="C214">
        <v>2</v>
      </c>
      <c r="D214" t="s">
        <v>1441</v>
      </c>
      <c r="E214">
        <v>0</v>
      </c>
      <c r="F214" t="s">
        <v>172</v>
      </c>
      <c r="G214" t="s">
        <v>60</v>
      </c>
      <c r="H214" t="s">
        <v>1442</v>
      </c>
      <c r="I214" t="s">
        <v>222</v>
      </c>
    </row>
    <row r="215" spans="1:10" x14ac:dyDescent="0.2">
      <c r="A215" t="s">
        <v>378</v>
      </c>
      <c r="B215" t="s">
        <v>1443</v>
      </c>
      <c r="C215">
        <v>3</v>
      </c>
      <c r="D215" t="s">
        <v>1444</v>
      </c>
      <c r="E215">
        <v>1</v>
      </c>
      <c r="F215" t="s">
        <v>174</v>
      </c>
      <c r="G215" t="s">
        <v>60</v>
      </c>
      <c r="H215" t="s">
        <v>1445</v>
      </c>
      <c r="I215" t="s">
        <v>222</v>
      </c>
      <c r="J215" t="s">
        <v>1446</v>
      </c>
    </row>
    <row r="216" spans="1:10" x14ac:dyDescent="0.2">
      <c r="A216" t="s">
        <v>378</v>
      </c>
      <c r="B216" t="s">
        <v>1447</v>
      </c>
      <c r="C216">
        <v>4</v>
      </c>
      <c r="D216" t="s">
        <v>1448</v>
      </c>
      <c r="E216">
        <v>2</v>
      </c>
      <c r="G216" t="s">
        <v>60</v>
      </c>
      <c r="H216" t="s">
        <v>1449</v>
      </c>
      <c r="I216" t="s">
        <v>222</v>
      </c>
      <c r="J216" t="s">
        <v>1450</v>
      </c>
    </row>
    <row r="217" spans="1:10" x14ac:dyDescent="0.2">
      <c r="A217" t="s">
        <v>378</v>
      </c>
      <c r="B217" t="s">
        <v>1451</v>
      </c>
      <c r="C217">
        <v>5</v>
      </c>
      <c r="D217" t="s">
        <v>1452</v>
      </c>
      <c r="E217">
        <v>3</v>
      </c>
      <c r="G217" t="s">
        <v>60</v>
      </c>
      <c r="H217" t="s">
        <v>1453</v>
      </c>
      <c r="I217" t="s">
        <v>222</v>
      </c>
      <c r="J217" t="s">
        <v>1454</v>
      </c>
    </row>
    <row r="218" spans="1:10" x14ac:dyDescent="0.2">
      <c r="A218" t="s">
        <v>378</v>
      </c>
      <c r="B218" t="s">
        <v>1455</v>
      </c>
      <c r="C218">
        <v>6</v>
      </c>
      <c r="D218" t="s">
        <v>1456</v>
      </c>
      <c r="E218">
        <v>4</v>
      </c>
      <c r="G218" t="s">
        <v>60</v>
      </c>
      <c r="H218" t="s">
        <v>1457</v>
      </c>
      <c r="I218" t="s">
        <v>222</v>
      </c>
      <c r="J218" t="s">
        <v>1458</v>
      </c>
    </row>
    <row r="219" spans="1:10" x14ac:dyDescent="0.2">
      <c r="A219" t="s">
        <v>379</v>
      </c>
      <c r="B219" t="s">
        <v>1459</v>
      </c>
      <c r="C219">
        <v>1</v>
      </c>
      <c r="D219" t="s">
        <v>1460</v>
      </c>
      <c r="E219">
        <v>0</v>
      </c>
      <c r="F219" t="s">
        <v>172</v>
      </c>
      <c r="G219" t="s">
        <v>60</v>
      </c>
      <c r="H219" t="s">
        <v>1461</v>
      </c>
      <c r="I219" t="s">
        <v>222</v>
      </c>
    </row>
    <row r="220" spans="1:10" x14ac:dyDescent="0.2">
      <c r="A220" t="s">
        <v>379</v>
      </c>
      <c r="B220" t="s">
        <v>1462</v>
      </c>
      <c r="C220">
        <v>2</v>
      </c>
      <c r="D220" t="s">
        <v>1463</v>
      </c>
      <c r="E220">
        <v>1</v>
      </c>
      <c r="F220" t="s">
        <v>1464</v>
      </c>
      <c r="G220" t="s">
        <v>60</v>
      </c>
      <c r="H220" t="s">
        <v>1465</v>
      </c>
      <c r="I220" t="s">
        <v>222</v>
      </c>
    </row>
    <row r="221" spans="1:10" x14ac:dyDescent="0.2">
      <c r="A221" t="s">
        <v>379</v>
      </c>
      <c r="B221" t="s">
        <v>1466</v>
      </c>
      <c r="C221">
        <v>3</v>
      </c>
      <c r="D221" t="s">
        <v>1467</v>
      </c>
      <c r="E221">
        <v>2</v>
      </c>
      <c r="G221" t="s">
        <v>60</v>
      </c>
      <c r="H221" t="s">
        <v>1468</v>
      </c>
      <c r="I221" t="s">
        <v>222</v>
      </c>
      <c r="J221" t="s">
        <v>1469</v>
      </c>
    </row>
    <row r="222" spans="1:10" x14ac:dyDescent="0.2">
      <c r="A222" t="s">
        <v>379</v>
      </c>
      <c r="B222" t="s">
        <v>1470</v>
      </c>
      <c r="C222">
        <v>4</v>
      </c>
      <c r="D222" t="s">
        <v>1471</v>
      </c>
      <c r="E222">
        <v>3</v>
      </c>
      <c r="G222" t="s">
        <v>60</v>
      </c>
      <c r="H222" t="s">
        <v>1472</v>
      </c>
      <c r="I222" t="s">
        <v>222</v>
      </c>
      <c r="J222" t="s">
        <v>1473</v>
      </c>
    </row>
    <row r="223" spans="1:10" x14ac:dyDescent="0.2">
      <c r="A223" t="s">
        <v>380</v>
      </c>
      <c r="B223" t="s">
        <v>1474</v>
      </c>
      <c r="C223">
        <v>1</v>
      </c>
      <c r="D223" t="s">
        <v>1475</v>
      </c>
      <c r="E223">
        <v>0</v>
      </c>
      <c r="F223" t="s">
        <v>172</v>
      </c>
      <c r="G223" t="s">
        <v>60</v>
      </c>
      <c r="H223" t="s">
        <v>1476</v>
      </c>
      <c r="I223" t="s">
        <v>222</v>
      </c>
    </row>
    <row r="224" spans="1:10" x14ac:dyDescent="0.2">
      <c r="A224" t="s">
        <v>380</v>
      </c>
      <c r="B224" t="s">
        <v>1477</v>
      </c>
      <c r="C224">
        <v>2</v>
      </c>
      <c r="D224" t="s">
        <v>1478</v>
      </c>
      <c r="E224">
        <v>1</v>
      </c>
      <c r="F224" t="s">
        <v>247</v>
      </c>
      <c r="G224" t="s">
        <v>60</v>
      </c>
      <c r="H224" t="s">
        <v>1479</v>
      </c>
      <c r="I224" t="s">
        <v>222</v>
      </c>
    </row>
    <row r="225" spans="1:10" x14ac:dyDescent="0.2">
      <c r="A225" t="s">
        <v>380</v>
      </c>
      <c r="B225" t="s">
        <v>1480</v>
      </c>
      <c r="C225">
        <v>3</v>
      </c>
      <c r="D225" t="s">
        <v>1481</v>
      </c>
      <c r="E225">
        <v>2</v>
      </c>
      <c r="G225" t="s">
        <v>60</v>
      </c>
      <c r="H225" t="s">
        <v>1482</v>
      </c>
      <c r="I225" t="s">
        <v>222</v>
      </c>
      <c r="J225" t="s">
        <v>1483</v>
      </c>
    </row>
    <row r="226" spans="1:10" x14ac:dyDescent="0.2">
      <c r="A226" t="s">
        <v>380</v>
      </c>
      <c r="B226" t="s">
        <v>1484</v>
      </c>
      <c r="C226">
        <v>4</v>
      </c>
      <c r="D226" t="s">
        <v>1485</v>
      </c>
      <c r="E226">
        <v>3</v>
      </c>
      <c r="G226" t="s">
        <v>60</v>
      </c>
      <c r="H226" t="s">
        <v>1486</v>
      </c>
      <c r="I226" t="s">
        <v>222</v>
      </c>
      <c r="J226" t="s">
        <v>1487</v>
      </c>
    </row>
    <row r="227" spans="1:10" x14ac:dyDescent="0.2">
      <c r="A227" t="s">
        <v>380</v>
      </c>
      <c r="B227" t="s">
        <v>1488</v>
      </c>
      <c r="C227">
        <v>5</v>
      </c>
      <c r="D227" t="s">
        <v>1489</v>
      </c>
      <c r="E227">
        <v>4</v>
      </c>
      <c r="G227" t="s">
        <v>60</v>
      </c>
      <c r="H227" t="s">
        <v>1490</v>
      </c>
      <c r="I227" t="s">
        <v>222</v>
      </c>
      <c r="J227" t="s">
        <v>1491</v>
      </c>
    </row>
    <row r="228" spans="1:10" x14ac:dyDescent="0.2">
      <c r="A228" t="s">
        <v>381</v>
      </c>
      <c r="B228" t="s">
        <v>1492</v>
      </c>
      <c r="C228">
        <v>1</v>
      </c>
      <c r="D228" t="s">
        <v>1493</v>
      </c>
      <c r="E228">
        <v>0</v>
      </c>
      <c r="F228" t="s">
        <v>172</v>
      </c>
      <c r="G228" t="s">
        <v>60</v>
      </c>
      <c r="H228" t="s">
        <v>1494</v>
      </c>
      <c r="I228" t="s">
        <v>222</v>
      </c>
    </row>
    <row r="229" spans="1:10" x14ac:dyDescent="0.2">
      <c r="A229" t="s">
        <v>381</v>
      </c>
      <c r="B229" t="s">
        <v>1495</v>
      </c>
      <c r="C229">
        <v>2</v>
      </c>
      <c r="D229" t="s">
        <v>1496</v>
      </c>
      <c r="E229">
        <v>1</v>
      </c>
      <c r="F229" t="s">
        <v>174</v>
      </c>
      <c r="G229" t="s">
        <v>60</v>
      </c>
      <c r="H229" t="s">
        <v>1497</v>
      </c>
      <c r="I229" t="s">
        <v>222</v>
      </c>
      <c r="J229" t="s">
        <v>1498</v>
      </c>
    </row>
    <row r="230" spans="1:10" x14ac:dyDescent="0.2">
      <c r="A230" t="s">
        <v>381</v>
      </c>
      <c r="B230" t="s">
        <v>1499</v>
      </c>
      <c r="C230">
        <v>3</v>
      </c>
      <c r="D230" t="s">
        <v>1500</v>
      </c>
      <c r="E230">
        <v>2</v>
      </c>
      <c r="G230" t="s">
        <v>60</v>
      </c>
      <c r="H230" t="s">
        <v>1501</v>
      </c>
      <c r="I230" t="s">
        <v>222</v>
      </c>
      <c r="J230" t="s">
        <v>1502</v>
      </c>
    </row>
    <row r="231" spans="1:10" x14ac:dyDescent="0.2">
      <c r="A231" t="s">
        <v>381</v>
      </c>
      <c r="B231" t="s">
        <v>1503</v>
      </c>
      <c r="C231">
        <v>4</v>
      </c>
      <c r="D231" t="s">
        <v>1504</v>
      </c>
      <c r="E231">
        <v>3</v>
      </c>
      <c r="G231" t="s">
        <v>59</v>
      </c>
      <c r="H231" t="s">
        <v>1505</v>
      </c>
      <c r="I231" t="s">
        <v>222</v>
      </c>
      <c r="J231" t="s">
        <v>1506</v>
      </c>
    </row>
    <row r="232" spans="1:10" x14ac:dyDescent="0.2">
      <c r="A232" t="s">
        <v>381</v>
      </c>
      <c r="B232" t="s">
        <v>1507</v>
      </c>
      <c r="C232">
        <v>5</v>
      </c>
      <c r="D232" t="s">
        <v>1508</v>
      </c>
      <c r="E232">
        <v>4</v>
      </c>
      <c r="G232" t="s">
        <v>59</v>
      </c>
      <c r="H232" t="s">
        <v>1509</v>
      </c>
      <c r="I232" t="s">
        <v>222</v>
      </c>
      <c r="J232" t="s">
        <v>1510</v>
      </c>
    </row>
    <row r="233" spans="1:10" x14ac:dyDescent="0.2">
      <c r="A233" t="s">
        <v>382</v>
      </c>
      <c r="B233" t="s">
        <v>1511</v>
      </c>
      <c r="C233">
        <v>1</v>
      </c>
      <c r="D233" t="s">
        <v>1438</v>
      </c>
      <c r="E233">
        <v>0</v>
      </c>
      <c r="F233" t="s">
        <v>251</v>
      </c>
      <c r="G233" t="s">
        <v>58</v>
      </c>
      <c r="H233" t="s">
        <v>1512</v>
      </c>
      <c r="I233" t="s">
        <v>222</v>
      </c>
    </row>
    <row r="234" spans="1:10" x14ac:dyDescent="0.2">
      <c r="A234" t="s">
        <v>382</v>
      </c>
      <c r="B234" t="s">
        <v>1513</v>
      </c>
      <c r="C234">
        <v>2</v>
      </c>
      <c r="D234" t="s">
        <v>1514</v>
      </c>
      <c r="E234">
        <v>0</v>
      </c>
      <c r="F234" t="s">
        <v>1239</v>
      </c>
      <c r="G234" t="s">
        <v>58</v>
      </c>
      <c r="H234" t="s">
        <v>1515</v>
      </c>
      <c r="I234" t="s">
        <v>222</v>
      </c>
    </row>
    <row r="235" spans="1:10" x14ac:dyDescent="0.2">
      <c r="A235" t="s">
        <v>382</v>
      </c>
      <c r="B235" t="s">
        <v>1516</v>
      </c>
      <c r="C235">
        <v>3</v>
      </c>
      <c r="D235" t="s">
        <v>1517</v>
      </c>
      <c r="E235">
        <v>1</v>
      </c>
      <c r="F235" t="s">
        <v>237</v>
      </c>
      <c r="G235" t="s">
        <v>58</v>
      </c>
      <c r="H235" t="s">
        <v>1518</v>
      </c>
      <c r="I235" t="s">
        <v>222</v>
      </c>
      <c r="J235" t="s">
        <v>1519</v>
      </c>
    </row>
    <row r="236" spans="1:10" x14ac:dyDescent="0.2">
      <c r="A236" t="s">
        <v>382</v>
      </c>
      <c r="B236" t="s">
        <v>1520</v>
      </c>
      <c r="C236">
        <v>4</v>
      </c>
      <c r="D236" t="s">
        <v>1521</v>
      </c>
      <c r="E236">
        <v>2</v>
      </c>
      <c r="G236" t="s">
        <v>58</v>
      </c>
      <c r="H236" t="s">
        <v>1522</v>
      </c>
      <c r="I236" t="s">
        <v>222</v>
      </c>
      <c r="J236" t="s">
        <v>1523</v>
      </c>
    </row>
    <row r="237" spans="1:10" x14ac:dyDescent="0.2">
      <c r="A237" t="s">
        <v>382</v>
      </c>
      <c r="B237" t="s">
        <v>1524</v>
      </c>
      <c r="C237">
        <v>5</v>
      </c>
      <c r="D237" t="s">
        <v>1525</v>
      </c>
      <c r="E237">
        <v>3</v>
      </c>
      <c r="G237" t="s">
        <v>58</v>
      </c>
      <c r="H237" t="s">
        <v>1526</v>
      </c>
      <c r="I237" t="s">
        <v>222</v>
      </c>
      <c r="J237" t="s">
        <v>1527</v>
      </c>
    </row>
    <row r="238" spans="1:10" x14ac:dyDescent="0.2">
      <c r="A238" t="s">
        <v>382</v>
      </c>
      <c r="B238" t="s">
        <v>1528</v>
      </c>
      <c r="C238">
        <v>6</v>
      </c>
      <c r="D238" t="s">
        <v>1529</v>
      </c>
      <c r="E238">
        <v>4</v>
      </c>
      <c r="G238" t="s">
        <v>58</v>
      </c>
      <c r="H238" t="s">
        <v>1530</v>
      </c>
      <c r="I238" t="s">
        <v>222</v>
      </c>
      <c r="J238" t="s">
        <v>1531</v>
      </c>
    </row>
    <row r="239" spans="1:10" x14ac:dyDescent="0.2">
      <c r="A239" t="s">
        <v>383</v>
      </c>
      <c r="B239" t="s">
        <v>1532</v>
      </c>
      <c r="C239">
        <v>1</v>
      </c>
      <c r="D239" t="s">
        <v>1533</v>
      </c>
      <c r="E239">
        <v>0</v>
      </c>
      <c r="F239" t="s">
        <v>237</v>
      </c>
      <c r="G239" t="s">
        <v>58</v>
      </c>
      <c r="H239" t="s">
        <v>1534</v>
      </c>
      <c r="I239" t="s">
        <v>222</v>
      </c>
    </row>
    <row r="240" spans="1:10" x14ac:dyDescent="0.2">
      <c r="A240" t="s">
        <v>383</v>
      </c>
      <c r="B240" t="s">
        <v>1535</v>
      </c>
      <c r="C240">
        <v>2</v>
      </c>
      <c r="D240" t="s">
        <v>1536</v>
      </c>
      <c r="E240">
        <v>1</v>
      </c>
      <c r="F240" t="s">
        <v>247</v>
      </c>
      <c r="G240" t="s">
        <v>58</v>
      </c>
      <c r="H240" t="s">
        <v>1537</v>
      </c>
      <c r="I240" t="s">
        <v>222</v>
      </c>
    </row>
    <row r="241" spans="1:10" x14ac:dyDescent="0.2">
      <c r="A241" t="s">
        <v>383</v>
      </c>
      <c r="B241" t="s">
        <v>1538</v>
      </c>
      <c r="C241">
        <v>3</v>
      </c>
      <c r="D241" t="s">
        <v>1539</v>
      </c>
      <c r="E241">
        <v>2</v>
      </c>
      <c r="F241" t="s">
        <v>174</v>
      </c>
      <c r="G241" t="s">
        <v>60</v>
      </c>
      <c r="H241" t="s">
        <v>1540</v>
      </c>
      <c r="I241" t="s">
        <v>222</v>
      </c>
    </row>
    <row r="242" spans="1:10" x14ac:dyDescent="0.2">
      <c r="A242" t="s">
        <v>383</v>
      </c>
      <c r="B242" t="s">
        <v>1541</v>
      </c>
      <c r="C242">
        <v>4</v>
      </c>
      <c r="D242" t="s">
        <v>1542</v>
      </c>
      <c r="E242">
        <v>3</v>
      </c>
      <c r="F242" t="s">
        <v>174</v>
      </c>
      <c r="G242" t="s">
        <v>58</v>
      </c>
      <c r="H242" t="s">
        <v>1543</v>
      </c>
      <c r="I242" t="s">
        <v>222</v>
      </c>
      <c r="J242" t="s">
        <v>1544</v>
      </c>
    </row>
    <row r="243" spans="1:10" x14ac:dyDescent="0.2">
      <c r="A243" t="s">
        <v>384</v>
      </c>
      <c r="B243" t="s">
        <v>1545</v>
      </c>
      <c r="C243">
        <v>1</v>
      </c>
      <c r="D243" t="s">
        <v>1546</v>
      </c>
      <c r="E243">
        <v>0</v>
      </c>
      <c r="F243" t="s">
        <v>1547</v>
      </c>
      <c r="G243" t="s">
        <v>59</v>
      </c>
      <c r="H243" t="s">
        <v>1548</v>
      </c>
      <c r="I243" t="s">
        <v>222</v>
      </c>
    </row>
    <row r="244" spans="1:10" x14ac:dyDescent="0.2">
      <c r="A244" t="s">
        <v>384</v>
      </c>
      <c r="B244" t="s">
        <v>1549</v>
      </c>
      <c r="C244">
        <v>2</v>
      </c>
      <c r="D244" t="s">
        <v>1550</v>
      </c>
      <c r="E244">
        <v>1</v>
      </c>
      <c r="F244" t="s">
        <v>172</v>
      </c>
      <c r="G244" t="s">
        <v>61</v>
      </c>
      <c r="H244" t="s">
        <v>1551</v>
      </c>
      <c r="I244" t="s">
        <v>222</v>
      </c>
      <c r="J244" t="s">
        <v>1552</v>
      </c>
    </row>
    <row r="245" spans="1:10" x14ac:dyDescent="0.2">
      <c r="A245" t="s">
        <v>384</v>
      </c>
      <c r="B245" t="s">
        <v>1553</v>
      </c>
      <c r="C245">
        <v>3</v>
      </c>
      <c r="D245" t="s">
        <v>1554</v>
      </c>
      <c r="E245">
        <v>2</v>
      </c>
      <c r="G245" t="s">
        <v>58</v>
      </c>
      <c r="H245" t="s">
        <v>1555</v>
      </c>
      <c r="I245" t="s">
        <v>222</v>
      </c>
      <c r="J245" t="s">
        <v>1556</v>
      </c>
    </row>
    <row r="246" spans="1:10" x14ac:dyDescent="0.2">
      <c r="A246" t="s">
        <v>384</v>
      </c>
      <c r="B246" t="s">
        <v>1557</v>
      </c>
      <c r="C246">
        <v>4</v>
      </c>
      <c r="D246" t="s">
        <v>1558</v>
      </c>
      <c r="E246">
        <v>3</v>
      </c>
      <c r="G246" t="s">
        <v>58</v>
      </c>
      <c r="H246" t="s">
        <v>1559</v>
      </c>
      <c r="I246" t="s">
        <v>222</v>
      </c>
      <c r="J246" t="s">
        <v>1560</v>
      </c>
    </row>
    <row r="247" spans="1:10" x14ac:dyDescent="0.2">
      <c r="A247" t="s">
        <v>384</v>
      </c>
      <c r="B247" t="s">
        <v>1561</v>
      </c>
      <c r="C247">
        <v>5</v>
      </c>
      <c r="D247" t="s">
        <v>1562</v>
      </c>
      <c r="E247">
        <v>4</v>
      </c>
      <c r="G247" t="s">
        <v>58</v>
      </c>
      <c r="H247" t="s">
        <v>1563</v>
      </c>
      <c r="I247" t="s">
        <v>222</v>
      </c>
      <c r="J247" t="s">
        <v>1564</v>
      </c>
    </row>
    <row r="248" spans="1:10" x14ac:dyDescent="0.2">
      <c r="A248" t="s">
        <v>385</v>
      </c>
      <c r="B248" t="s">
        <v>1565</v>
      </c>
      <c r="C248">
        <v>1</v>
      </c>
      <c r="D248" t="s">
        <v>1566</v>
      </c>
      <c r="E248">
        <v>0</v>
      </c>
      <c r="F248" t="s">
        <v>237</v>
      </c>
      <c r="G248" t="s">
        <v>58</v>
      </c>
      <c r="H248" t="s">
        <v>1567</v>
      </c>
      <c r="I248" t="s">
        <v>222</v>
      </c>
    </row>
    <row r="249" spans="1:10" x14ac:dyDescent="0.2">
      <c r="A249" t="s">
        <v>385</v>
      </c>
      <c r="B249" t="s">
        <v>1568</v>
      </c>
      <c r="C249">
        <v>2</v>
      </c>
      <c r="D249" t="s">
        <v>1569</v>
      </c>
      <c r="E249">
        <v>1</v>
      </c>
      <c r="F249" t="s">
        <v>255</v>
      </c>
      <c r="G249" t="s">
        <v>60</v>
      </c>
      <c r="H249" t="s">
        <v>1570</v>
      </c>
      <c r="I249" t="s">
        <v>222</v>
      </c>
    </row>
    <row r="250" spans="1:10" x14ac:dyDescent="0.2">
      <c r="A250" t="s">
        <v>385</v>
      </c>
      <c r="B250" t="s">
        <v>1571</v>
      </c>
      <c r="C250">
        <v>3</v>
      </c>
      <c r="D250" t="s">
        <v>1572</v>
      </c>
      <c r="E250">
        <v>2</v>
      </c>
      <c r="G250" t="s">
        <v>60</v>
      </c>
      <c r="H250" t="s">
        <v>1573</v>
      </c>
      <c r="I250" t="s">
        <v>222</v>
      </c>
      <c r="J250" t="s">
        <v>1574</v>
      </c>
    </row>
    <row r="251" spans="1:10" x14ac:dyDescent="0.2">
      <c r="A251" t="s">
        <v>385</v>
      </c>
      <c r="B251" t="s">
        <v>1575</v>
      </c>
      <c r="C251">
        <v>4</v>
      </c>
      <c r="D251" t="s">
        <v>1576</v>
      </c>
      <c r="E251">
        <v>3</v>
      </c>
      <c r="G251" t="s">
        <v>60</v>
      </c>
      <c r="H251" t="s">
        <v>1577</v>
      </c>
      <c r="I251" t="s">
        <v>222</v>
      </c>
      <c r="J251" t="s">
        <v>1578</v>
      </c>
    </row>
    <row r="252" spans="1:10" x14ac:dyDescent="0.2">
      <c r="A252" t="s">
        <v>385</v>
      </c>
      <c r="B252" t="s">
        <v>1579</v>
      </c>
      <c r="C252">
        <v>5</v>
      </c>
      <c r="D252" t="s">
        <v>1580</v>
      </c>
      <c r="E252">
        <v>4</v>
      </c>
      <c r="G252" t="s">
        <v>60</v>
      </c>
      <c r="H252" t="s">
        <v>1581</v>
      </c>
      <c r="I252" t="s">
        <v>222</v>
      </c>
      <c r="J252" t="s">
        <v>1582</v>
      </c>
    </row>
    <row r="253" spans="1:10" x14ac:dyDescent="0.2">
      <c r="A253" t="s">
        <v>386</v>
      </c>
      <c r="B253" t="s">
        <v>1583</v>
      </c>
      <c r="C253">
        <v>1</v>
      </c>
      <c r="D253" t="s">
        <v>1438</v>
      </c>
      <c r="E253">
        <v>0</v>
      </c>
      <c r="F253" t="s">
        <v>251</v>
      </c>
      <c r="G253" t="s">
        <v>58</v>
      </c>
      <c r="H253" t="s">
        <v>1584</v>
      </c>
      <c r="I253" t="s">
        <v>222</v>
      </c>
    </row>
    <row r="254" spans="1:10" x14ac:dyDescent="0.2">
      <c r="A254" t="s">
        <v>386</v>
      </c>
      <c r="B254" t="s">
        <v>1585</v>
      </c>
      <c r="C254">
        <v>2</v>
      </c>
      <c r="D254" t="s">
        <v>1586</v>
      </c>
      <c r="E254">
        <v>0</v>
      </c>
      <c r="F254" t="s">
        <v>237</v>
      </c>
      <c r="G254" t="s">
        <v>58</v>
      </c>
      <c r="H254" t="s">
        <v>1587</v>
      </c>
      <c r="I254" t="s">
        <v>222</v>
      </c>
    </row>
    <row r="255" spans="1:10" x14ac:dyDescent="0.2">
      <c r="A255" t="s">
        <v>386</v>
      </c>
      <c r="B255" t="s">
        <v>1588</v>
      </c>
      <c r="C255">
        <v>3</v>
      </c>
      <c r="D255" t="s">
        <v>1589</v>
      </c>
      <c r="E255">
        <v>1</v>
      </c>
      <c r="F255" t="s">
        <v>247</v>
      </c>
      <c r="G255" t="s">
        <v>60</v>
      </c>
      <c r="H255" t="s">
        <v>1590</v>
      </c>
      <c r="I255" t="s">
        <v>222</v>
      </c>
    </row>
    <row r="256" spans="1:10" x14ac:dyDescent="0.2">
      <c r="A256" t="s">
        <v>386</v>
      </c>
      <c r="B256" t="s">
        <v>1591</v>
      </c>
      <c r="C256">
        <v>4</v>
      </c>
      <c r="D256" t="s">
        <v>1592</v>
      </c>
      <c r="E256">
        <v>2</v>
      </c>
      <c r="F256" t="s">
        <v>172</v>
      </c>
      <c r="G256" t="s">
        <v>61</v>
      </c>
      <c r="H256" t="s">
        <v>1593</v>
      </c>
      <c r="I256" t="s">
        <v>222</v>
      </c>
      <c r="J256" t="s">
        <v>1594</v>
      </c>
    </row>
    <row r="257" spans="1:10" x14ac:dyDescent="0.2">
      <c r="A257" t="s">
        <v>386</v>
      </c>
      <c r="B257" t="s">
        <v>1595</v>
      </c>
      <c r="C257">
        <v>5</v>
      </c>
      <c r="D257" t="s">
        <v>1596</v>
      </c>
      <c r="E257">
        <v>3</v>
      </c>
      <c r="G257" t="s">
        <v>58</v>
      </c>
      <c r="H257" t="s">
        <v>1597</v>
      </c>
      <c r="I257" t="s">
        <v>222</v>
      </c>
      <c r="J257" t="s">
        <v>1556</v>
      </c>
    </row>
    <row r="258" spans="1:10" x14ac:dyDescent="0.2">
      <c r="A258" t="s">
        <v>386</v>
      </c>
      <c r="B258" t="s">
        <v>1598</v>
      </c>
      <c r="C258">
        <v>6</v>
      </c>
      <c r="D258" t="s">
        <v>1599</v>
      </c>
      <c r="E258">
        <v>4</v>
      </c>
      <c r="G258" t="s">
        <v>58</v>
      </c>
      <c r="H258" t="s">
        <v>1559</v>
      </c>
      <c r="I258" t="s">
        <v>222</v>
      </c>
      <c r="J258" t="s">
        <v>1600</v>
      </c>
    </row>
    <row r="259" spans="1:10" x14ac:dyDescent="0.2">
      <c r="A259" t="s">
        <v>387</v>
      </c>
      <c r="B259" t="s">
        <v>1601</v>
      </c>
      <c r="C259">
        <v>1</v>
      </c>
      <c r="D259" t="s">
        <v>1602</v>
      </c>
      <c r="E259">
        <v>0</v>
      </c>
      <c r="F259" t="s">
        <v>237</v>
      </c>
      <c r="G259" t="s">
        <v>60</v>
      </c>
      <c r="H259" t="s">
        <v>1603</v>
      </c>
      <c r="I259" t="s">
        <v>222</v>
      </c>
    </row>
    <row r="260" spans="1:10" x14ac:dyDescent="0.2">
      <c r="A260" t="s">
        <v>387</v>
      </c>
      <c r="B260" t="s">
        <v>1604</v>
      </c>
      <c r="C260">
        <v>2</v>
      </c>
      <c r="D260" t="s">
        <v>1605</v>
      </c>
      <c r="E260">
        <v>1</v>
      </c>
      <c r="F260" t="s">
        <v>1464</v>
      </c>
      <c r="G260" t="s">
        <v>60</v>
      </c>
      <c r="H260" t="s">
        <v>1606</v>
      </c>
      <c r="I260" t="s">
        <v>222</v>
      </c>
    </row>
    <row r="261" spans="1:10" x14ac:dyDescent="0.2">
      <c r="A261" t="s">
        <v>387</v>
      </c>
      <c r="B261" t="s">
        <v>1607</v>
      </c>
      <c r="C261">
        <v>3</v>
      </c>
      <c r="D261" t="s">
        <v>1608</v>
      </c>
      <c r="E261">
        <v>2</v>
      </c>
      <c r="F261" t="s">
        <v>174</v>
      </c>
      <c r="G261" t="s">
        <v>60</v>
      </c>
      <c r="H261" t="s">
        <v>1609</v>
      </c>
      <c r="I261" t="s">
        <v>222</v>
      </c>
      <c r="J261" t="s">
        <v>1610</v>
      </c>
    </row>
    <row r="262" spans="1:10" x14ac:dyDescent="0.2">
      <c r="A262" t="s">
        <v>387</v>
      </c>
      <c r="B262" t="s">
        <v>1611</v>
      </c>
      <c r="C262">
        <v>4</v>
      </c>
      <c r="D262" t="s">
        <v>1612</v>
      </c>
      <c r="E262">
        <v>3</v>
      </c>
      <c r="G262" t="s">
        <v>60</v>
      </c>
      <c r="H262" t="s">
        <v>1613</v>
      </c>
      <c r="I262" t="s">
        <v>222</v>
      </c>
      <c r="J262" t="s">
        <v>1614</v>
      </c>
    </row>
    <row r="263" spans="1:10" x14ac:dyDescent="0.2">
      <c r="A263" t="s">
        <v>388</v>
      </c>
      <c r="B263" t="s">
        <v>1615</v>
      </c>
      <c r="C263">
        <v>1</v>
      </c>
      <c r="D263" t="s">
        <v>1616</v>
      </c>
      <c r="E263">
        <v>0</v>
      </c>
      <c r="F263" t="s">
        <v>237</v>
      </c>
      <c r="G263" t="s">
        <v>58</v>
      </c>
      <c r="H263" t="s">
        <v>1617</v>
      </c>
      <c r="I263" t="s">
        <v>222</v>
      </c>
    </row>
    <row r="264" spans="1:10" x14ac:dyDescent="0.2">
      <c r="A264" t="s">
        <v>388</v>
      </c>
      <c r="B264" t="s">
        <v>1618</v>
      </c>
      <c r="C264">
        <v>2</v>
      </c>
      <c r="D264" t="s">
        <v>1619</v>
      </c>
      <c r="E264">
        <v>1</v>
      </c>
      <c r="F264" t="s">
        <v>172</v>
      </c>
      <c r="G264" t="s">
        <v>61</v>
      </c>
      <c r="H264" t="s">
        <v>1620</v>
      </c>
      <c r="I264" t="s">
        <v>222</v>
      </c>
      <c r="J264" t="s">
        <v>1621</v>
      </c>
    </row>
    <row r="265" spans="1:10" x14ac:dyDescent="0.2">
      <c r="A265" t="s">
        <v>388</v>
      </c>
      <c r="B265" t="s">
        <v>1622</v>
      </c>
      <c r="C265">
        <v>3</v>
      </c>
      <c r="D265" t="s">
        <v>1623</v>
      </c>
      <c r="E265">
        <v>2</v>
      </c>
      <c r="G265" t="s">
        <v>58</v>
      </c>
      <c r="H265" t="s">
        <v>1624</v>
      </c>
      <c r="I265" t="s">
        <v>222</v>
      </c>
      <c r="J265" t="s">
        <v>1625</v>
      </c>
    </row>
    <row r="266" spans="1:10" x14ac:dyDescent="0.2">
      <c r="A266" t="s">
        <v>388</v>
      </c>
      <c r="B266" t="s">
        <v>1626</v>
      </c>
      <c r="C266">
        <v>4</v>
      </c>
      <c r="D266" t="s">
        <v>1627</v>
      </c>
      <c r="E266">
        <v>3</v>
      </c>
      <c r="G266" t="s">
        <v>58</v>
      </c>
      <c r="H266" t="s">
        <v>1628</v>
      </c>
      <c r="I266" t="s">
        <v>222</v>
      </c>
      <c r="J266" t="s">
        <v>1629</v>
      </c>
    </row>
    <row r="267" spans="1:10" x14ac:dyDescent="0.2">
      <c r="A267" t="s">
        <v>388</v>
      </c>
      <c r="B267" t="s">
        <v>1630</v>
      </c>
      <c r="C267">
        <v>5</v>
      </c>
      <c r="D267" t="s">
        <v>1631</v>
      </c>
      <c r="E267">
        <v>4</v>
      </c>
      <c r="G267" t="s">
        <v>58</v>
      </c>
      <c r="H267" t="s">
        <v>1530</v>
      </c>
      <c r="I267" t="s">
        <v>222</v>
      </c>
      <c r="J267" t="s">
        <v>1632</v>
      </c>
    </row>
    <row r="268" spans="1:10" x14ac:dyDescent="0.2">
      <c r="A268" t="s">
        <v>389</v>
      </c>
      <c r="B268" t="s">
        <v>1633</v>
      </c>
      <c r="C268">
        <v>1</v>
      </c>
      <c r="D268" t="s">
        <v>1634</v>
      </c>
      <c r="E268">
        <v>0</v>
      </c>
      <c r="F268" t="s">
        <v>1635</v>
      </c>
      <c r="G268" t="s">
        <v>58</v>
      </c>
      <c r="H268" t="s">
        <v>1636</v>
      </c>
      <c r="I268" t="s">
        <v>222</v>
      </c>
    </row>
    <row r="269" spans="1:10" x14ac:dyDescent="0.2">
      <c r="A269" t="s">
        <v>389</v>
      </c>
      <c r="B269" t="s">
        <v>1637</v>
      </c>
      <c r="C269">
        <v>2</v>
      </c>
      <c r="D269" t="s">
        <v>1638</v>
      </c>
      <c r="E269">
        <v>1</v>
      </c>
      <c r="F269" t="s">
        <v>247</v>
      </c>
      <c r="G269" t="s">
        <v>58</v>
      </c>
      <c r="H269" t="s">
        <v>1639</v>
      </c>
      <c r="I269" t="s">
        <v>222</v>
      </c>
    </row>
    <row r="270" spans="1:10" x14ac:dyDescent="0.2">
      <c r="A270" t="s">
        <v>389</v>
      </c>
      <c r="B270" t="s">
        <v>1640</v>
      </c>
      <c r="C270">
        <v>3</v>
      </c>
      <c r="D270" t="s">
        <v>1641</v>
      </c>
      <c r="E270">
        <v>2</v>
      </c>
      <c r="F270" t="s">
        <v>172</v>
      </c>
      <c r="G270" t="s">
        <v>61</v>
      </c>
      <c r="H270" t="s">
        <v>1642</v>
      </c>
      <c r="I270" t="s">
        <v>222</v>
      </c>
    </row>
    <row r="271" spans="1:10" x14ac:dyDescent="0.2">
      <c r="A271" t="s">
        <v>389</v>
      </c>
      <c r="B271" t="s">
        <v>1643</v>
      </c>
      <c r="C271">
        <v>4</v>
      </c>
      <c r="D271" t="s">
        <v>1644</v>
      </c>
      <c r="E271">
        <v>3</v>
      </c>
      <c r="G271" t="s">
        <v>58</v>
      </c>
      <c r="H271" t="s">
        <v>1645</v>
      </c>
      <c r="I271" t="s">
        <v>222</v>
      </c>
      <c r="J271" t="s">
        <v>1646</v>
      </c>
    </row>
    <row r="272" spans="1:10" x14ac:dyDescent="0.2">
      <c r="A272" t="s">
        <v>389</v>
      </c>
      <c r="B272" t="s">
        <v>1647</v>
      </c>
      <c r="C272">
        <v>5</v>
      </c>
      <c r="D272" t="s">
        <v>1648</v>
      </c>
      <c r="E272">
        <v>4</v>
      </c>
      <c r="G272" t="s">
        <v>58</v>
      </c>
      <c r="H272" t="s">
        <v>1530</v>
      </c>
      <c r="I272" t="s">
        <v>222</v>
      </c>
      <c r="J272" t="s">
        <v>1649</v>
      </c>
    </row>
    <row r="273" spans="1:10" x14ac:dyDescent="0.2">
      <c r="A273" t="s">
        <v>390</v>
      </c>
      <c r="B273" t="s">
        <v>1650</v>
      </c>
      <c r="C273">
        <v>1</v>
      </c>
      <c r="D273" t="s">
        <v>1438</v>
      </c>
      <c r="E273">
        <v>0</v>
      </c>
      <c r="F273" t="s">
        <v>251</v>
      </c>
      <c r="G273" t="s">
        <v>60</v>
      </c>
      <c r="H273" t="s">
        <v>1651</v>
      </c>
      <c r="I273" t="s">
        <v>222</v>
      </c>
    </row>
    <row r="274" spans="1:10" x14ac:dyDescent="0.2">
      <c r="A274" t="s">
        <v>390</v>
      </c>
      <c r="B274" t="s">
        <v>1652</v>
      </c>
      <c r="C274">
        <v>2</v>
      </c>
      <c r="D274" t="s">
        <v>1653</v>
      </c>
      <c r="E274">
        <v>0</v>
      </c>
      <c r="F274" t="s">
        <v>1654</v>
      </c>
      <c r="G274" t="s">
        <v>57</v>
      </c>
      <c r="H274" t="s">
        <v>1655</v>
      </c>
      <c r="I274" t="s">
        <v>222</v>
      </c>
    </row>
    <row r="275" spans="1:10" x14ac:dyDescent="0.2">
      <c r="A275" t="s">
        <v>390</v>
      </c>
      <c r="B275" t="s">
        <v>1656</v>
      </c>
      <c r="C275">
        <v>3</v>
      </c>
      <c r="D275" t="s">
        <v>1657</v>
      </c>
      <c r="E275">
        <v>1</v>
      </c>
      <c r="F275" t="s">
        <v>174</v>
      </c>
      <c r="G275" t="s">
        <v>60</v>
      </c>
      <c r="H275" t="s">
        <v>1658</v>
      </c>
      <c r="I275" t="s">
        <v>222</v>
      </c>
    </row>
    <row r="276" spans="1:10" x14ac:dyDescent="0.2">
      <c r="A276" t="s">
        <v>390</v>
      </c>
      <c r="B276" t="s">
        <v>1659</v>
      </c>
      <c r="C276">
        <v>4</v>
      </c>
      <c r="D276" t="s">
        <v>1660</v>
      </c>
      <c r="E276">
        <v>2</v>
      </c>
      <c r="G276" t="s">
        <v>60</v>
      </c>
      <c r="H276" t="s">
        <v>1573</v>
      </c>
      <c r="I276" t="s">
        <v>222</v>
      </c>
      <c r="J276" t="s">
        <v>1661</v>
      </c>
    </row>
    <row r="277" spans="1:10" x14ac:dyDescent="0.2">
      <c r="A277" t="s">
        <v>390</v>
      </c>
      <c r="B277" t="s">
        <v>1662</v>
      </c>
      <c r="C277">
        <v>5</v>
      </c>
      <c r="D277" t="s">
        <v>1663</v>
      </c>
      <c r="E277">
        <v>3</v>
      </c>
      <c r="G277" t="s">
        <v>60</v>
      </c>
      <c r="H277" t="s">
        <v>1559</v>
      </c>
      <c r="I277" t="s">
        <v>222</v>
      </c>
      <c r="J277" t="s">
        <v>1664</v>
      </c>
    </row>
    <row r="278" spans="1:10" x14ac:dyDescent="0.2">
      <c r="A278" t="s">
        <v>390</v>
      </c>
      <c r="B278" t="s">
        <v>1665</v>
      </c>
      <c r="C278">
        <v>6</v>
      </c>
      <c r="D278" t="s">
        <v>1666</v>
      </c>
      <c r="E278">
        <v>4</v>
      </c>
      <c r="G278" t="s">
        <v>60</v>
      </c>
      <c r="H278" t="s">
        <v>1530</v>
      </c>
      <c r="I278" t="s">
        <v>222</v>
      </c>
      <c r="J278" t="s">
        <v>1667</v>
      </c>
    </row>
    <row r="279" spans="1:10" x14ac:dyDescent="0.2">
      <c r="A279" t="s">
        <v>391</v>
      </c>
      <c r="B279" t="s">
        <v>1668</v>
      </c>
      <c r="C279">
        <v>1</v>
      </c>
      <c r="D279" t="s">
        <v>1669</v>
      </c>
      <c r="E279">
        <v>0</v>
      </c>
      <c r="F279" t="s">
        <v>236</v>
      </c>
      <c r="G279" t="s">
        <v>57</v>
      </c>
      <c r="H279" t="s">
        <v>1670</v>
      </c>
      <c r="I279" t="s">
        <v>222</v>
      </c>
    </row>
    <row r="280" spans="1:10" x14ac:dyDescent="0.2">
      <c r="A280" t="s">
        <v>391</v>
      </c>
      <c r="B280" t="s">
        <v>1671</v>
      </c>
      <c r="C280">
        <v>2</v>
      </c>
      <c r="D280" t="s">
        <v>1672</v>
      </c>
      <c r="E280">
        <v>1</v>
      </c>
      <c r="F280" t="s">
        <v>1464</v>
      </c>
      <c r="G280" t="s">
        <v>57</v>
      </c>
      <c r="H280" t="s">
        <v>1673</v>
      </c>
      <c r="I280" t="s">
        <v>222</v>
      </c>
    </row>
    <row r="281" spans="1:10" x14ac:dyDescent="0.2">
      <c r="A281" t="s">
        <v>391</v>
      </c>
      <c r="B281" t="s">
        <v>1674</v>
      </c>
      <c r="C281">
        <v>3</v>
      </c>
      <c r="D281" t="s">
        <v>1675</v>
      </c>
      <c r="E281">
        <v>2</v>
      </c>
      <c r="G281" t="s">
        <v>60</v>
      </c>
      <c r="H281" t="s">
        <v>1676</v>
      </c>
      <c r="I281" t="s">
        <v>222</v>
      </c>
      <c r="J281" t="s">
        <v>1677</v>
      </c>
    </row>
    <row r="282" spans="1:10" x14ac:dyDescent="0.2">
      <c r="A282" t="s">
        <v>391</v>
      </c>
      <c r="B282" t="s">
        <v>1678</v>
      </c>
      <c r="C282">
        <v>4</v>
      </c>
      <c r="D282" t="s">
        <v>1679</v>
      </c>
      <c r="E282">
        <v>3</v>
      </c>
      <c r="G282" t="s">
        <v>60</v>
      </c>
      <c r="H282" t="s">
        <v>1680</v>
      </c>
      <c r="I282" t="s">
        <v>222</v>
      </c>
      <c r="J282" t="s">
        <v>1681</v>
      </c>
    </row>
    <row r="283" spans="1:10" x14ac:dyDescent="0.2">
      <c r="A283" t="s">
        <v>392</v>
      </c>
      <c r="B283" t="s">
        <v>1682</v>
      </c>
      <c r="C283">
        <v>1</v>
      </c>
      <c r="D283" t="s">
        <v>1683</v>
      </c>
      <c r="E283">
        <v>0</v>
      </c>
      <c r="F283" t="s">
        <v>236</v>
      </c>
      <c r="G283" t="s">
        <v>57</v>
      </c>
      <c r="H283" t="s">
        <v>1684</v>
      </c>
      <c r="I283" t="s">
        <v>222</v>
      </c>
    </row>
    <row r="284" spans="1:10" x14ac:dyDescent="0.2">
      <c r="A284" t="s">
        <v>392</v>
      </c>
      <c r="B284" t="s">
        <v>1685</v>
      </c>
      <c r="C284">
        <v>2</v>
      </c>
      <c r="D284" t="s">
        <v>1686</v>
      </c>
      <c r="E284">
        <v>1</v>
      </c>
      <c r="F284" t="s">
        <v>174</v>
      </c>
      <c r="G284" t="s">
        <v>60</v>
      </c>
      <c r="H284" t="s">
        <v>1687</v>
      </c>
      <c r="I284" t="s">
        <v>222</v>
      </c>
    </row>
    <row r="285" spans="1:10" x14ac:dyDescent="0.2">
      <c r="A285" t="s">
        <v>392</v>
      </c>
      <c r="B285" t="s">
        <v>1688</v>
      </c>
      <c r="C285">
        <v>3</v>
      </c>
      <c r="D285" t="s">
        <v>1689</v>
      </c>
      <c r="E285">
        <v>2</v>
      </c>
      <c r="F285" t="s">
        <v>172</v>
      </c>
      <c r="G285" t="s">
        <v>61</v>
      </c>
      <c r="H285" t="s">
        <v>1501</v>
      </c>
      <c r="I285" t="s">
        <v>222</v>
      </c>
      <c r="J285" t="s">
        <v>1690</v>
      </c>
    </row>
    <row r="286" spans="1:10" x14ac:dyDescent="0.2">
      <c r="A286" t="s">
        <v>392</v>
      </c>
      <c r="B286" t="s">
        <v>1691</v>
      </c>
      <c r="C286">
        <v>4</v>
      </c>
      <c r="D286" t="s">
        <v>1692</v>
      </c>
      <c r="E286">
        <v>3</v>
      </c>
      <c r="G286" t="s">
        <v>57</v>
      </c>
      <c r="H286" t="s">
        <v>1693</v>
      </c>
      <c r="I286" t="s">
        <v>222</v>
      </c>
      <c r="J286" t="s">
        <v>1694</v>
      </c>
    </row>
    <row r="287" spans="1:10" x14ac:dyDescent="0.2">
      <c r="A287" t="s">
        <v>392</v>
      </c>
      <c r="B287" t="s">
        <v>1695</v>
      </c>
      <c r="C287">
        <v>5</v>
      </c>
      <c r="D287" t="s">
        <v>1696</v>
      </c>
      <c r="E287">
        <v>4</v>
      </c>
      <c r="G287" t="s">
        <v>59</v>
      </c>
      <c r="H287" t="s">
        <v>1530</v>
      </c>
      <c r="I287" t="s">
        <v>222</v>
      </c>
      <c r="J287" t="s">
        <v>1697</v>
      </c>
    </row>
    <row r="288" spans="1:10" x14ac:dyDescent="0.2">
      <c r="A288" t="s">
        <v>393</v>
      </c>
      <c r="B288" t="s">
        <v>1698</v>
      </c>
      <c r="C288">
        <v>1</v>
      </c>
      <c r="D288" t="s">
        <v>1699</v>
      </c>
      <c r="E288">
        <v>0</v>
      </c>
      <c r="F288" t="s">
        <v>248</v>
      </c>
      <c r="G288" t="s">
        <v>59</v>
      </c>
      <c r="H288" t="s">
        <v>1700</v>
      </c>
      <c r="I288" t="s">
        <v>222</v>
      </c>
    </row>
    <row r="289" spans="1:10" x14ac:dyDescent="0.2">
      <c r="A289" t="s">
        <v>393</v>
      </c>
      <c r="B289" t="s">
        <v>1701</v>
      </c>
      <c r="C289">
        <v>2</v>
      </c>
      <c r="D289" t="s">
        <v>1702</v>
      </c>
      <c r="E289">
        <v>1</v>
      </c>
      <c r="F289" t="s">
        <v>172</v>
      </c>
      <c r="G289" t="s">
        <v>61</v>
      </c>
      <c r="H289" t="s">
        <v>1703</v>
      </c>
      <c r="I289" t="s">
        <v>222</v>
      </c>
      <c r="J289" t="s">
        <v>1704</v>
      </c>
    </row>
    <row r="290" spans="1:10" x14ac:dyDescent="0.2">
      <c r="A290" t="s">
        <v>393</v>
      </c>
      <c r="B290" t="s">
        <v>1705</v>
      </c>
      <c r="C290">
        <v>3</v>
      </c>
      <c r="D290" t="s">
        <v>1706</v>
      </c>
      <c r="E290">
        <v>2</v>
      </c>
      <c r="G290" t="s">
        <v>59</v>
      </c>
      <c r="H290" t="s">
        <v>1707</v>
      </c>
      <c r="I290" t="s">
        <v>222</v>
      </c>
    </row>
    <row r="291" spans="1:10" x14ac:dyDescent="0.2">
      <c r="A291" t="s">
        <v>393</v>
      </c>
      <c r="B291" t="s">
        <v>1708</v>
      </c>
      <c r="C291">
        <v>4</v>
      </c>
      <c r="D291" t="s">
        <v>1709</v>
      </c>
      <c r="E291">
        <v>3</v>
      </c>
      <c r="G291" t="s">
        <v>59</v>
      </c>
      <c r="H291" t="s">
        <v>1710</v>
      </c>
      <c r="I291" t="s">
        <v>222</v>
      </c>
      <c r="J291" t="s">
        <v>1711</v>
      </c>
    </row>
    <row r="292" spans="1:10" x14ac:dyDescent="0.2">
      <c r="A292" t="s">
        <v>393</v>
      </c>
      <c r="B292" t="s">
        <v>1712</v>
      </c>
      <c r="C292">
        <v>5</v>
      </c>
      <c r="D292" t="s">
        <v>1713</v>
      </c>
      <c r="E292">
        <v>4</v>
      </c>
      <c r="G292" t="s">
        <v>59</v>
      </c>
      <c r="H292" t="s">
        <v>1530</v>
      </c>
      <c r="I292" t="s">
        <v>222</v>
      </c>
      <c r="J292" t="s">
        <v>1714</v>
      </c>
    </row>
    <row r="293" spans="1:10" x14ac:dyDescent="0.2">
      <c r="A293" t="s">
        <v>394</v>
      </c>
      <c r="B293" t="s">
        <v>1715</v>
      </c>
      <c r="C293">
        <v>1</v>
      </c>
      <c r="D293" t="s">
        <v>1438</v>
      </c>
      <c r="E293">
        <v>0</v>
      </c>
      <c r="F293" t="s">
        <v>251</v>
      </c>
      <c r="G293" t="s">
        <v>55</v>
      </c>
      <c r="H293" t="s">
        <v>1716</v>
      </c>
      <c r="I293" t="s">
        <v>222</v>
      </c>
    </row>
    <row r="294" spans="1:10" x14ac:dyDescent="0.2">
      <c r="A294" t="s">
        <v>394</v>
      </c>
      <c r="B294" t="s">
        <v>1717</v>
      </c>
      <c r="C294">
        <v>2</v>
      </c>
      <c r="D294" t="s">
        <v>1718</v>
      </c>
      <c r="E294">
        <v>0</v>
      </c>
      <c r="F294" t="s">
        <v>178</v>
      </c>
      <c r="G294" t="s">
        <v>55</v>
      </c>
      <c r="H294" t="s">
        <v>1719</v>
      </c>
      <c r="I294" t="s">
        <v>222</v>
      </c>
    </row>
    <row r="295" spans="1:10" x14ac:dyDescent="0.2">
      <c r="A295" t="s">
        <v>394</v>
      </c>
      <c r="B295" t="s">
        <v>1720</v>
      </c>
      <c r="C295">
        <v>3</v>
      </c>
      <c r="D295" t="s">
        <v>1721</v>
      </c>
      <c r="E295">
        <v>1</v>
      </c>
      <c r="F295" t="s">
        <v>174</v>
      </c>
      <c r="G295" t="s">
        <v>55</v>
      </c>
      <c r="H295" t="s">
        <v>1722</v>
      </c>
      <c r="I295" t="s">
        <v>222</v>
      </c>
    </row>
    <row r="296" spans="1:10" x14ac:dyDescent="0.2">
      <c r="A296" t="s">
        <v>394</v>
      </c>
      <c r="B296" t="s">
        <v>1723</v>
      </c>
      <c r="C296">
        <v>4</v>
      </c>
      <c r="D296" t="s">
        <v>1724</v>
      </c>
      <c r="E296">
        <v>2</v>
      </c>
      <c r="G296" t="s">
        <v>55</v>
      </c>
      <c r="H296" t="s">
        <v>1725</v>
      </c>
      <c r="I296" t="s">
        <v>222</v>
      </c>
      <c r="J296" t="s">
        <v>1726</v>
      </c>
    </row>
    <row r="297" spans="1:10" x14ac:dyDescent="0.2">
      <c r="A297" t="s">
        <v>394</v>
      </c>
      <c r="B297" t="s">
        <v>1727</v>
      </c>
      <c r="C297">
        <v>5</v>
      </c>
      <c r="D297" t="s">
        <v>1728</v>
      </c>
      <c r="E297">
        <v>3</v>
      </c>
      <c r="G297" t="s">
        <v>55</v>
      </c>
      <c r="H297" t="s">
        <v>1729</v>
      </c>
      <c r="I297" t="s">
        <v>222</v>
      </c>
      <c r="J297" t="s">
        <v>1730</v>
      </c>
    </row>
    <row r="298" spans="1:10" x14ac:dyDescent="0.2">
      <c r="A298" t="s">
        <v>394</v>
      </c>
      <c r="B298" t="s">
        <v>1731</v>
      </c>
      <c r="C298">
        <v>6</v>
      </c>
      <c r="D298" t="s">
        <v>1732</v>
      </c>
      <c r="E298">
        <v>4</v>
      </c>
      <c r="G298" t="s">
        <v>55</v>
      </c>
      <c r="H298" t="s">
        <v>1530</v>
      </c>
      <c r="I298" t="s">
        <v>222</v>
      </c>
      <c r="J298" t="s">
        <v>1733</v>
      </c>
    </row>
    <row r="299" spans="1:10" x14ac:dyDescent="0.2">
      <c r="A299" t="s">
        <v>395</v>
      </c>
      <c r="B299" t="s">
        <v>1734</v>
      </c>
      <c r="C299">
        <v>1</v>
      </c>
      <c r="D299" t="s">
        <v>1735</v>
      </c>
      <c r="E299">
        <v>0</v>
      </c>
      <c r="F299" t="s">
        <v>1736</v>
      </c>
      <c r="G299" t="s">
        <v>55</v>
      </c>
      <c r="H299" t="s">
        <v>1737</v>
      </c>
      <c r="I299" t="s">
        <v>222</v>
      </c>
    </row>
    <row r="300" spans="1:10" x14ac:dyDescent="0.2">
      <c r="A300" t="s">
        <v>395</v>
      </c>
      <c r="B300" t="s">
        <v>1738</v>
      </c>
      <c r="C300">
        <v>2</v>
      </c>
      <c r="D300" t="s">
        <v>1739</v>
      </c>
      <c r="E300">
        <v>1</v>
      </c>
      <c r="F300" t="s">
        <v>247</v>
      </c>
      <c r="G300" t="s">
        <v>55</v>
      </c>
      <c r="H300" t="s">
        <v>1740</v>
      </c>
      <c r="I300" t="s">
        <v>222</v>
      </c>
    </row>
    <row r="301" spans="1:10" x14ac:dyDescent="0.2">
      <c r="A301" t="s">
        <v>395</v>
      </c>
      <c r="B301" t="s">
        <v>1741</v>
      </c>
      <c r="C301">
        <v>3</v>
      </c>
      <c r="D301" t="s">
        <v>1742</v>
      </c>
      <c r="E301">
        <v>2</v>
      </c>
      <c r="G301" t="s">
        <v>55</v>
      </c>
      <c r="H301" t="s">
        <v>1743</v>
      </c>
      <c r="I301" t="s">
        <v>222</v>
      </c>
    </row>
    <row r="302" spans="1:10" x14ac:dyDescent="0.2">
      <c r="A302" t="s">
        <v>395</v>
      </c>
      <c r="B302" t="s">
        <v>1744</v>
      </c>
      <c r="C302">
        <v>4</v>
      </c>
      <c r="D302" t="s">
        <v>1745</v>
      </c>
      <c r="E302">
        <v>3</v>
      </c>
      <c r="G302" t="s">
        <v>55</v>
      </c>
      <c r="H302" t="s">
        <v>1645</v>
      </c>
      <c r="I302" t="s">
        <v>222</v>
      </c>
      <c r="J302" t="s">
        <v>1746</v>
      </c>
    </row>
    <row r="303" spans="1:10" x14ac:dyDescent="0.2">
      <c r="A303" t="s">
        <v>396</v>
      </c>
      <c r="B303" t="s">
        <v>1747</v>
      </c>
      <c r="C303">
        <v>1</v>
      </c>
      <c r="D303" t="s">
        <v>1748</v>
      </c>
      <c r="E303">
        <v>0</v>
      </c>
      <c r="F303" t="s">
        <v>178</v>
      </c>
      <c r="G303" t="s">
        <v>55</v>
      </c>
      <c r="H303" t="s">
        <v>1749</v>
      </c>
      <c r="I303" t="s">
        <v>222</v>
      </c>
    </row>
    <row r="304" spans="1:10" x14ac:dyDescent="0.2">
      <c r="A304" t="s">
        <v>396</v>
      </c>
      <c r="B304" t="s">
        <v>1750</v>
      </c>
      <c r="C304">
        <v>2</v>
      </c>
      <c r="D304" t="s">
        <v>1751</v>
      </c>
      <c r="E304">
        <v>1</v>
      </c>
      <c r="F304" t="s">
        <v>172</v>
      </c>
      <c r="G304" t="s">
        <v>61</v>
      </c>
      <c r="H304" t="s">
        <v>1752</v>
      </c>
      <c r="I304" t="s">
        <v>222</v>
      </c>
    </row>
    <row r="305" spans="1:10" x14ac:dyDescent="0.2">
      <c r="A305" t="s">
        <v>396</v>
      </c>
      <c r="B305" t="s">
        <v>1753</v>
      </c>
      <c r="C305">
        <v>3</v>
      </c>
      <c r="D305" t="s">
        <v>1754</v>
      </c>
      <c r="E305">
        <v>2</v>
      </c>
      <c r="G305" t="s">
        <v>55</v>
      </c>
      <c r="H305" t="s">
        <v>1755</v>
      </c>
      <c r="I305" t="s">
        <v>222</v>
      </c>
      <c r="J305" t="s">
        <v>1756</v>
      </c>
    </row>
    <row r="306" spans="1:10" x14ac:dyDescent="0.2">
      <c r="A306" t="s">
        <v>396</v>
      </c>
      <c r="B306" t="s">
        <v>1757</v>
      </c>
      <c r="C306">
        <v>4</v>
      </c>
      <c r="D306" t="s">
        <v>1758</v>
      </c>
      <c r="E306">
        <v>3</v>
      </c>
      <c r="G306" t="s">
        <v>55</v>
      </c>
      <c r="H306" t="s">
        <v>1457</v>
      </c>
      <c r="I306" t="s">
        <v>222</v>
      </c>
      <c r="J306" t="s">
        <v>1759</v>
      </c>
    </row>
    <row r="307" spans="1:10" x14ac:dyDescent="0.2">
      <c r="A307" t="s">
        <v>396</v>
      </c>
      <c r="B307" t="s">
        <v>1760</v>
      </c>
      <c r="C307">
        <v>5</v>
      </c>
      <c r="D307" t="s">
        <v>1761</v>
      </c>
      <c r="E307">
        <v>4</v>
      </c>
      <c r="G307" t="s">
        <v>55</v>
      </c>
      <c r="H307" t="s">
        <v>1530</v>
      </c>
      <c r="I307" t="s">
        <v>222</v>
      </c>
      <c r="J307" t="s">
        <v>1762</v>
      </c>
    </row>
    <row r="308" spans="1:10" x14ac:dyDescent="0.2">
      <c r="A308" t="s">
        <v>397</v>
      </c>
      <c r="B308" t="s">
        <v>1763</v>
      </c>
      <c r="C308">
        <v>1</v>
      </c>
      <c r="D308" t="s">
        <v>1438</v>
      </c>
      <c r="E308">
        <v>0</v>
      </c>
      <c r="F308" t="s">
        <v>251</v>
      </c>
      <c r="G308" t="s">
        <v>57</v>
      </c>
      <c r="H308" t="s">
        <v>1764</v>
      </c>
      <c r="I308" t="s">
        <v>222</v>
      </c>
    </row>
    <row r="309" spans="1:10" x14ac:dyDescent="0.2">
      <c r="A309" t="s">
        <v>397</v>
      </c>
      <c r="B309" t="s">
        <v>1765</v>
      </c>
      <c r="C309">
        <v>2</v>
      </c>
      <c r="D309" t="s">
        <v>1766</v>
      </c>
      <c r="E309">
        <v>0</v>
      </c>
      <c r="F309" t="s">
        <v>236</v>
      </c>
      <c r="G309" t="s">
        <v>57</v>
      </c>
      <c r="H309" t="s">
        <v>1767</v>
      </c>
      <c r="I309" t="s">
        <v>222</v>
      </c>
    </row>
    <row r="310" spans="1:10" x14ac:dyDescent="0.2">
      <c r="A310" t="s">
        <v>397</v>
      </c>
      <c r="B310" t="s">
        <v>1768</v>
      </c>
      <c r="C310">
        <v>3</v>
      </c>
      <c r="D310" t="s">
        <v>1769</v>
      </c>
      <c r="E310">
        <v>1</v>
      </c>
      <c r="F310" t="s">
        <v>174</v>
      </c>
      <c r="G310" t="s">
        <v>57</v>
      </c>
      <c r="H310" t="s">
        <v>1770</v>
      </c>
      <c r="I310" t="s">
        <v>222</v>
      </c>
    </row>
    <row r="311" spans="1:10" x14ac:dyDescent="0.2">
      <c r="A311" t="s">
        <v>397</v>
      </c>
      <c r="B311" t="s">
        <v>1771</v>
      </c>
      <c r="C311">
        <v>4</v>
      </c>
      <c r="D311" t="s">
        <v>1772</v>
      </c>
      <c r="E311">
        <v>2</v>
      </c>
      <c r="G311" t="s">
        <v>57</v>
      </c>
      <c r="H311" t="s">
        <v>1773</v>
      </c>
      <c r="I311" t="s">
        <v>222</v>
      </c>
      <c r="J311" t="s">
        <v>1774</v>
      </c>
    </row>
    <row r="312" spans="1:10" x14ac:dyDescent="0.2">
      <c r="A312" t="s">
        <v>397</v>
      </c>
      <c r="B312" t="s">
        <v>1775</v>
      </c>
      <c r="C312">
        <v>5</v>
      </c>
      <c r="D312" t="s">
        <v>1776</v>
      </c>
      <c r="E312">
        <v>3</v>
      </c>
      <c r="G312" t="s">
        <v>57</v>
      </c>
      <c r="H312" t="s">
        <v>1777</v>
      </c>
      <c r="I312" t="s">
        <v>222</v>
      </c>
      <c r="J312" t="s">
        <v>1778</v>
      </c>
    </row>
    <row r="313" spans="1:10" x14ac:dyDescent="0.2">
      <c r="A313" t="s">
        <v>397</v>
      </c>
      <c r="B313" t="s">
        <v>1779</v>
      </c>
      <c r="C313">
        <v>6</v>
      </c>
      <c r="D313" t="s">
        <v>1780</v>
      </c>
      <c r="E313">
        <v>4</v>
      </c>
      <c r="G313" t="s">
        <v>57</v>
      </c>
      <c r="H313" t="s">
        <v>1581</v>
      </c>
      <c r="I313" t="s">
        <v>222</v>
      </c>
      <c r="J313" t="s">
        <v>1781</v>
      </c>
    </row>
    <row r="314" spans="1:10" x14ac:dyDescent="0.2">
      <c r="A314" t="s">
        <v>398</v>
      </c>
      <c r="B314" t="s">
        <v>1782</v>
      </c>
      <c r="C314">
        <v>1</v>
      </c>
      <c r="D314" t="s">
        <v>1783</v>
      </c>
      <c r="E314">
        <v>0</v>
      </c>
      <c r="F314" t="s">
        <v>236</v>
      </c>
      <c r="G314" t="s">
        <v>57</v>
      </c>
      <c r="H314" t="s">
        <v>1784</v>
      </c>
      <c r="I314" t="s">
        <v>222</v>
      </c>
    </row>
    <row r="315" spans="1:10" x14ac:dyDescent="0.2">
      <c r="A315" t="s">
        <v>398</v>
      </c>
      <c r="B315" t="s">
        <v>1785</v>
      </c>
      <c r="C315">
        <v>2</v>
      </c>
      <c r="D315" t="s">
        <v>1786</v>
      </c>
      <c r="E315">
        <v>1</v>
      </c>
      <c r="F315" t="s">
        <v>174</v>
      </c>
      <c r="G315" t="s">
        <v>57</v>
      </c>
      <c r="H315" t="s">
        <v>1787</v>
      </c>
      <c r="I315" t="s">
        <v>222</v>
      </c>
    </row>
    <row r="316" spans="1:10" x14ac:dyDescent="0.2">
      <c r="A316" t="s">
        <v>398</v>
      </c>
      <c r="B316" t="s">
        <v>1788</v>
      </c>
      <c r="C316">
        <v>3</v>
      </c>
      <c r="D316" t="s">
        <v>1789</v>
      </c>
      <c r="E316">
        <v>2</v>
      </c>
      <c r="G316" t="s">
        <v>57</v>
      </c>
      <c r="H316" t="s">
        <v>1790</v>
      </c>
      <c r="I316" t="s">
        <v>222</v>
      </c>
    </row>
    <row r="317" spans="1:10" x14ac:dyDescent="0.2">
      <c r="A317" t="s">
        <v>398</v>
      </c>
      <c r="B317" t="s">
        <v>1791</v>
      </c>
      <c r="C317">
        <v>4</v>
      </c>
      <c r="D317" t="s">
        <v>1792</v>
      </c>
      <c r="E317">
        <v>3</v>
      </c>
      <c r="G317" t="s">
        <v>57</v>
      </c>
      <c r="H317" t="s">
        <v>1793</v>
      </c>
      <c r="I317" t="s">
        <v>222</v>
      </c>
      <c r="J317" t="s">
        <v>1794</v>
      </c>
    </row>
    <row r="318" spans="1:10" x14ac:dyDescent="0.2">
      <c r="A318" t="s">
        <v>399</v>
      </c>
      <c r="B318" t="s">
        <v>1795</v>
      </c>
      <c r="C318">
        <v>1</v>
      </c>
      <c r="D318" t="s">
        <v>1796</v>
      </c>
      <c r="E318">
        <v>0</v>
      </c>
      <c r="F318" t="s">
        <v>236</v>
      </c>
      <c r="G318" t="s">
        <v>57</v>
      </c>
      <c r="H318" t="s">
        <v>1797</v>
      </c>
      <c r="I318" t="s">
        <v>222</v>
      </c>
    </row>
    <row r="319" spans="1:10" x14ac:dyDescent="0.2">
      <c r="A319" t="s">
        <v>399</v>
      </c>
      <c r="B319" t="s">
        <v>1798</v>
      </c>
      <c r="C319">
        <v>2</v>
      </c>
      <c r="D319" t="s">
        <v>1799</v>
      </c>
      <c r="E319">
        <v>1</v>
      </c>
      <c r="F319" t="s">
        <v>172</v>
      </c>
      <c r="G319" t="s">
        <v>61</v>
      </c>
      <c r="H319" t="s">
        <v>1800</v>
      </c>
      <c r="I319" t="s">
        <v>222</v>
      </c>
      <c r="J319" t="s">
        <v>1801</v>
      </c>
    </row>
    <row r="320" spans="1:10" x14ac:dyDescent="0.2">
      <c r="A320" t="s">
        <v>399</v>
      </c>
      <c r="B320" t="s">
        <v>1802</v>
      </c>
      <c r="C320">
        <v>3</v>
      </c>
      <c r="D320" t="s">
        <v>1803</v>
      </c>
      <c r="E320">
        <v>2</v>
      </c>
      <c r="G320" t="s">
        <v>57</v>
      </c>
      <c r="H320" t="s">
        <v>1804</v>
      </c>
      <c r="I320" t="s">
        <v>222</v>
      </c>
    </row>
    <row r="321" spans="1:10" x14ac:dyDescent="0.2">
      <c r="A321" t="s">
        <v>399</v>
      </c>
      <c r="B321" t="s">
        <v>1805</v>
      </c>
      <c r="C321">
        <v>4</v>
      </c>
      <c r="D321" t="s">
        <v>1806</v>
      </c>
      <c r="E321">
        <v>3</v>
      </c>
      <c r="G321" t="s">
        <v>57</v>
      </c>
      <c r="H321" t="s">
        <v>1807</v>
      </c>
      <c r="I321" t="s">
        <v>222</v>
      </c>
      <c r="J321" t="s">
        <v>1808</v>
      </c>
    </row>
    <row r="322" spans="1:10" x14ac:dyDescent="0.2">
      <c r="A322" t="s">
        <v>399</v>
      </c>
      <c r="B322" t="s">
        <v>1809</v>
      </c>
      <c r="C322">
        <v>5</v>
      </c>
      <c r="D322" t="s">
        <v>1810</v>
      </c>
      <c r="E322">
        <v>4</v>
      </c>
      <c r="G322" t="s">
        <v>57</v>
      </c>
      <c r="H322" t="s">
        <v>1530</v>
      </c>
      <c r="I322" t="s">
        <v>222</v>
      </c>
      <c r="J322" t="s">
        <v>1811</v>
      </c>
    </row>
    <row r="323" spans="1:10" x14ac:dyDescent="0.2">
      <c r="A323" t="s">
        <v>400</v>
      </c>
      <c r="B323" t="s">
        <v>1812</v>
      </c>
      <c r="C323">
        <v>1</v>
      </c>
      <c r="D323" t="s">
        <v>1438</v>
      </c>
      <c r="E323">
        <v>0</v>
      </c>
      <c r="F323" t="s">
        <v>251</v>
      </c>
      <c r="G323" t="s">
        <v>59</v>
      </c>
      <c r="H323" t="s">
        <v>1813</v>
      </c>
      <c r="I323" t="s">
        <v>222</v>
      </c>
    </row>
    <row r="324" spans="1:10" x14ac:dyDescent="0.2">
      <c r="A324" t="s">
        <v>400</v>
      </c>
      <c r="B324" t="s">
        <v>1814</v>
      </c>
      <c r="C324">
        <v>2</v>
      </c>
      <c r="D324" t="s">
        <v>1815</v>
      </c>
      <c r="E324">
        <v>0</v>
      </c>
      <c r="F324" t="s">
        <v>248</v>
      </c>
      <c r="G324" t="s">
        <v>60</v>
      </c>
      <c r="H324" t="s">
        <v>1816</v>
      </c>
      <c r="I324" t="s">
        <v>222</v>
      </c>
    </row>
    <row r="325" spans="1:10" x14ac:dyDescent="0.2">
      <c r="A325" t="s">
        <v>400</v>
      </c>
      <c r="B325" t="s">
        <v>1817</v>
      </c>
      <c r="C325">
        <v>3</v>
      </c>
      <c r="D325" t="s">
        <v>1818</v>
      </c>
      <c r="E325">
        <v>1</v>
      </c>
      <c r="F325" t="s">
        <v>174</v>
      </c>
      <c r="G325" t="s">
        <v>60</v>
      </c>
      <c r="H325" t="s">
        <v>1819</v>
      </c>
      <c r="I325" t="s">
        <v>222</v>
      </c>
    </row>
    <row r="326" spans="1:10" x14ac:dyDescent="0.2">
      <c r="A326" t="s">
        <v>400</v>
      </c>
      <c r="B326" t="s">
        <v>1820</v>
      </c>
      <c r="C326">
        <v>4</v>
      </c>
      <c r="D326" t="s">
        <v>1821</v>
      </c>
      <c r="E326">
        <v>2</v>
      </c>
      <c r="F326" t="s">
        <v>172</v>
      </c>
      <c r="G326" t="s">
        <v>61</v>
      </c>
      <c r="H326" t="s">
        <v>1822</v>
      </c>
      <c r="I326" t="s">
        <v>222</v>
      </c>
      <c r="J326" t="s">
        <v>1823</v>
      </c>
    </row>
    <row r="327" spans="1:10" x14ac:dyDescent="0.2">
      <c r="A327" t="s">
        <v>400</v>
      </c>
      <c r="B327" t="s">
        <v>1824</v>
      </c>
      <c r="C327">
        <v>5</v>
      </c>
      <c r="D327" t="s">
        <v>1825</v>
      </c>
      <c r="E327">
        <v>3</v>
      </c>
      <c r="G327" t="s">
        <v>59</v>
      </c>
      <c r="H327" t="s">
        <v>1693</v>
      </c>
      <c r="I327" t="s">
        <v>222</v>
      </c>
      <c r="J327" t="s">
        <v>1826</v>
      </c>
    </row>
    <row r="328" spans="1:10" x14ac:dyDescent="0.2">
      <c r="A328" t="s">
        <v>400</v>
      </c>
      <c r="B328" t="s">
        <v>1827</v>
      </c>
      <c r="C328">
        <v>6</v>
      </c>
      <c r="D328" t="s">
        <v>1828</v>
      </c>
      <c r="E328">
        <v>4</v>
      </c>
      <c r="G328" t="s">
        <v>59</v>
      </c>
      <c r="H328" t="s">
        <v>1581</v>
      </c>
      <c r="I328" t="s">
        <v>222</v>
      </c>
      <c r="J328" t="s">
        <v>1829</v>
      </c>
    </row>
    <row r="329" spans="1:10" x14ac:dyDescent="0.2">
      <c r="A329" t="s">
        <v>401</v>
      </c>
      <c r="B329" t="s">
        <v>1830</v>
      </c>
      <c r="C329">
        <v>1</v>
      </c>
      <c r="D329" t="s">
        <v>1831</v>
      </c>
      <c r="E329">
        <v>0</v>
      </c>
      <c r="F329" t="s">
        <v>248</v>
      </c>
      <c r="G329" t="s">
        <v>59</v>
      </c>
      <c r="H329" t="s">
        <v>1832</v>
      </c>
      <c r="I329" t="s">
        <v>222</v>
      </c>
    </row>
    <row r="330" spans="1:10" x14ac:dyDescent="0.2">
      <c r="A330" t="s">
        <v>401</v>
      </c>
      <c r="B330" t="s">
        <v>1833</v>
      </c>
      <c r="C330">
        <v>2</v>
      </c>
      <c r="D330" t="s">
        <v>1834</v>
      </c>
      <c r="E330">
        <v>1</v>
      </c>
      <c r="F330" t="s">
        <v>172</v>
      </c>
      <c r="G330" t="s">
        <v>61</v>
      </c>
      <c r="H330" t="s">
        <v>1835</v>
      </c>
      <c r="I330" t="s">
        <v>222</v>
      </c>
    </row>
    <row r="331" spans="1:10" x14ac:dyDescent="0.2">
      <c r="A331" t="s">
        <v>401</v>
      </c>
      <c r="B331" t="s">
        <v>1836</v>
      </c>
      <c r="C331">
        <v>3</v>
      </c>
      <c r="D331" t="s">
        <v>1837</v>
      </c>
      <c r="E331">
        <v>2</v>
      </c>
      <c r="G331" t="s">
        <v>59</v>
      </c>
      <c r="H331" t="s">
        <v>1838</v>
      </c>
      <c r="I331" t="s">
        <v>222</v>
      </c>
    </row>
    <row r="332" spans="1:10" x14ac:dyDescent="0.2">
      <c r="A332" t="s">
        <v>401</v>
      </c>
      <c r="B332" t="s">
        <v>1839</v>
      </c>
      <c r="C332">
        <v>4</v>
      </c>
      <c r="D332" t="s">
        <v>1840</v>
      </c>
      <c r="E332">
        <v>3</v>
      </c>
      <c r="F332" t="s">
        <v>174</v>
      </c>
      <c r="G332" t="s">
        <v>59</v>
      </c>
      <c r="H332" t="s">
        <v>1841</v>
      </c>
      <c r="I332" t="s">
        <v>222</v>
      </c>
      <c r="J332" t="s">
        <v>1842</v>
      </c>
    </row>
    <row r="333" spans="1:10" x14ac:dyDescent="0.2">
      <c r="A333" t="s">
        <v>402</v>
      </c>
      <c r="B333" t="s">
        <v>1843</v>
      </c>
      <c r="C333">
        <v>1</v>
      </c>
      <c r="D333" t="s">
        <v>1844</v>
      </c>
      <c r="E333">
        <v>0</v>
      </c>
      <c r="F333" t="s">
        <v>176</v>
      </c>
      <c r="G333" t="s">
        <v>64</v>
      </c>
      <c r="H333" t="s">
        <v>1845</v>
      </c>
      <c r="I333" t="s">
        <v>222</v>
      </c>
    </row>
    <row r="334" spans="1:10" x14ac:dyDescent="0.2">
      <c r="A334" t="s">
        <v>402</v>
      </c>
      <c r="B334" t="s">
        <v>1846</v>
      </c>
      <c r="C334">
        <v>2</v>
      </c>
      <c r="D334" t="s">
        <v>1847</v>
      </c>
      <c r="E334">
        <v>1</v>
      </c>
      <c r="F334" t="s">
        <v>237</v>
      </c>
      <c r="G334" t="s">
        <v>58</v>
      </c>
      <c r="H334" t="s">
        <v>1848</v>
      </c>
      <c r="I334" t="s">
        <v>222</v>
      </c>
    </row>
    <row r="335" spans="1:10" x14ac:dyDescent="0.2">
      <c r="A335" t="s">
        <v>402</v>
      </c>
      <c r="B335" t="s">
        <v>1849</v>
      </c>
      <c r="C335">
        <v>3</v>
      </c>
      <c r="D335" t="s">
        <v>1850</v>
      </c>
      <c r="E335">
        <v>2</v>
      </c>
      <c r="G335" t="s">
        <v>58</v>
      </c>
      <c r="H335" t="s">
        <v>1851</v>
      </c>
      <c r="I335" t="s">
        <v>222</v>
      </c>
      <c r="J335" t="s">
        <v>1852</v>
      </c>
    </row>
    <row r="336" spans="1:10" x14ac:dyDescent="0.2">
      <c r="A336" t="s">
        <v>402</v>
      </c>
      <c r="B336" t="s">
        <v>1853</v>
      </c>
      <c r="C336">
        <v>4</v>
      </c>
      <c r="D336" t="s">
        <v>1854</v>
      </c>
      <c r="E336">
        <v>3</v>
      </c>
      <c r="G336" t="s">
        <v>58</v>
      </c>
      <c r="H336" t="s">
        <v>1563</v>
      </c>
      <c r="I336" t="s">
        <v>222</v>
      </c>
      <c r="J336" t="s">
        <v>1855</v>
      </c>
    </row>
    <row r="337" spans="1:10" x14ac:dyDescent="0.2">
      <c r="A337" t="s">
        <v>402</v>
      </c>
      <c r="B337" t="s">
        <v>1856</v>
      </c>
      <c r="C337">
        <v>5</v>
      </c>
      <c r="D337" t="s">
        <v>1857</v>
      </c>
      <c r="E337">
        <v>4</v>
      </c>
      <c r="G337" t="s">
        <v>58</v>
      </c>
      <c r="H337" t="s">
        <v>1530</v>
      </c>
      <c r="I337" t="s">
        <v>222</v>
      </c>
      <c r="J337" t="s">
        <v>1858</v>
      </c>
    </row>
    <row r="338" spans="1:10" x14ac:dyDescent="0.2">
      <c r="A338" t="s">
        <v>403</v>
      </c>
      <c r="B338" t="s">
        <v>1859</v>
      </c>
      <c r="C338">
        <v>1</v>
      </c>
      <c r="D338" t="s">
        <v>1860</v>
      </c>
      <c r="E338">
        <v>0</v>
      </c>
      <c r="F338" t="s">
        <v>172</v>
      </c>
      <c r="G338" t="s">
        <v>61</v>
      </c>
      <c r="H338" t="s">
        <v>1861</v>
      </c>
      <c r="I338" t="s">
        <v>222</v>
      </c>
    </row>
    <row r="339" spans="1:10" x14ac:dyDescent="0.2">
      <c r="A339" t="s">
        <v>403</v>
      </c>
      <c r="B339" t="s">
        <v>1862</v>
      </c>
      <c r="C339">
        <v>2</v>
      </c>
      <c r="D339" t="s">
        <v>1863</v>
      </c>
      <c r="E339">
        <v>1</v>
      </c>
      <c r="F339" t="s">
        <v>174</v>
      </c>
      <c r="G339" t="s">
        <v>60</v>
      </c>
      <c r="H339" t="s">
        <v>1864</v>
      </c>
      <c r="I339" t="s">
        <v>222</v>
      </c>
    </row>
    <row r="340" spans="1:10" x14ac:dyDescent="0.2">
      <c r="A340" t="s">
        <v>403</v>
      </c>
      <c r="B340" t="s">
        <v>1865</v>
      </c>
      <c r="C340">
        <v>3</v>
      </c>
      <c r="D340" t="s">
        <v>1866</v>
      </c>
      <c r="E340">
        <v>2</v>
      </c>
      <c r="G340" t="s">
        <v>60</v>
      </c>
      <c r="H340" t="s">
        <v>1867</v>
      </c>
      <c r="I340" t="s">
        <v>222</v>
      </c>
      <c r="J340" t="s">
        <v>1868</v>
      </c>
    </row>
    <row r="341" spans="1:10" x14ac:dyDescent="0.2">
      <c r="A341" t="s">
        <v>403</v>
      </c>
      <c r="B341" t="s">
        <v>1869</v>
      </c>
      <c r="C341">
        <v>4</v>
      </c>
      <c r="D341" t="s">
        <v>1870</v>
      </c>
      <c r="E341">
        <v>3</v>
      </c>
      <c r="G341" t="s">
        <v>60</v>
      </c>
      <c r="H341" t="s">
        <v>1729</v>
      </c>
      <c r="I341" t="s">
        <v>222</v>
      </c>
      <c r="J341" t="s">
        <v>1730</v>
      </c>
    </row>
    <row r="342" spans="1:10" x14ac:dyDescent="0.2">
      <c r="A342" t="s">
        <v>403</v>
      </c>
      <c r="B342" t="s">
        <v>1871</v>
      </c>
      <c r="C342">
        <v>5</v>
      </c>
      <c r="D342" t="s">
        <v>1872</v>
      </c>
      <c r="E342">
        <v>4</v>
      </c>
      <c r="G342" t="s">
        <v>58</v>
      </c>
      <c r="H342" t="s">
        <v>1530</v>
      </c>
      <c r="I342" t="s">
        <v>222</v>
      </c>
      <c r="J342" t="s">
        <v>1873</v>
      </c>
    </row>
    <row r="343" spans="1:10" x14ac:dyDescent="0.2">
      <c r="A343" t="s">
        <v>404</v>
      </c>
      <c r="B343" t="s">
        <v>1874</v>
      </c>
      <c r="C343">
        <v>1</v>
      </c>
      <c r="D343" t="s">
        <v>1438</v>
      </c>
      <c r="E343">
        <v>0</v>
      </c>
      <c r="F343" t="s">
        <v>251</v>
      </c>
      <c r="G343" t="s">
        <v>60</v>
      </c>
      <c r="H343" t="s">
        <v>1875</v>
      </c>
      <c r="I343" t="s">
        <v>222</v>
      </c>
    </row>
    <row r="344" spans="1:10" x14ac:dyDescent="0.2">
      <c r="A344" t="s">
        <v>404</v>
      </c>
      <c r="B344" t="s">
        <v>1876</v>
      </c>
      <c r="C344">
        <v>2</v>
      </c>
      <c r="D344" t="s">
        <v>1877</v>
      </c>
      <c r="E344">
        <v>0</v>
      </c>
      <c r="F344" t="s">
        <v>172</v>
      </c>
      <c r="G344" t="s">
        <v>61</v>
      </c>
      <c r="H344" t="s">
        <v>1878</v>
      </c>
      <c r="I344" t="s">
        <v>222</v>
      </c>
    </row>
    <row r="345" spans="1:10" x14ac:dyDescent="0.2">
      <c r="A345" t="s">
        <v>404</v>
      </c>
      <c r="B345" t="s">
        <v>1879</v>
      </c>
      <c r="C345">
        <v>3</v>
      </c>
      <c r="D345" t="s">
        <v>1880</v>
      </c>
      <c r="E345">
        <v>1</v>
      </c>
      <c r="F345" t="s">
        <v>236</v>
      </c>
      <c r="G345" t="s">
        <v>57</v>
      </c>
      <c r="H345" t="s">
        <v>1881</v>
      </c>
      <c r="I345" t="s">
        <v>222</v>
      </c>
    </row>
    <row r="346" spans="1:10" x14ac:dyDescent="0.2">
      <c r="A346" t="s">
        <v>404</v>
      </c>
      <c r="B346" t="s">
        <v>1882</v>
      </c>
      <c r="C346">
        <v>4</v>
      </c>
      <c r="D346" t="s">
        <v>1883</v>
      </c>
      <c r="E346">
        <v>2</v>
      </c>
      <c r="G346" t="s">
        <v>60</v>
      </c>
      <c r="H346" t="s">
        <v>1884</v>
      </c>
      <c r="I346" t="s">
        <v>222</v>
      </c>
      <c r="J346" t="s">
        <v>1885</v>
      </c>
    </row>
    <row r="347" spans="1:10" x14ac:dyDescent="0.2">
      <c r="A347" t="s">
        <v>404</v>
      </c>
      <c r="B347" t="s">
        <v>1886</v>
      </c>
      <c r="C347">
        <v>5</v>
      </c>
      <c r="D347" t="s">
        <v>1887</v>
      </c>
      <c r="E347">
        <v>3</v>
      </c>
      <c r="G347" t="s">
        <v>60</v>
      </c>
      <c r="H347" t="s">
        <v>1807</v>
      </c>
      <c r="I347" t="s">
        <v>222</v>
      </c>
      <c r="J347" t="s">
        <v>1888</v>
      </c>
    </row>
    <row r="348" spans="1:10" x14ac:dyDescent="0.2">
      <c r="A348" t="s">
        <v>404</v>
      </c>
      <c r="B348" t="s">
        <v>1889</v>
      </c>
      <c r="C348">
        <v>6</v>
      </c>
      <c r="D348" t="s">
        <v>1890</v>
      </c>
      <c r="E348">
        <v>4</v>
      </c>
      <c r="G348" t="s">
        <v>58</v>
      </c>
      <c r="H348" t="s">
        <v>1530</v>
      </c>
      <c r="I348" t="s">
        <v>222</v>
      </c>
      <c r="J348" t="s">
        <v>1891</v>
      </c>
    </row>
    <row r="349" spans="1:10" x14ac:dyDescent="0.2">
      <c r="A349" t="s">
        <v>405</v>
      </c>
      <c r="B349" t="s">
        <v>1892</v>
      </c>
      <c r="C349">
        <v>1</v>
      </c>
      <c r="D349" t="s">
        <v>1893</v>
      </c>
      <c r="E349">
        <v>0</v>
      </c>
      <c r="F349" t="s">
        <v>172</v>
      </c>
      <c r="G349" t="s">
        <v>61</v>
      </c>
      <c r="H349" t="s">
        <v>1894</v>
      </c>
      <c r="I349" t="s">
        <v>222</v>
      </c>
    </row>
    <row r="350" spans="1:10" x14ac:dyDescent="0.2">
      <c r="A350" t="s">
        <v>405</v>
      </c>
      <c r="B350" t="s">
        <v>1895</v>
      </c>
      <c r="C350">
        <v>2</v>
      </c>
      <c r="D350" t="s">
        <v>1896</v>
      </c>
      <c r="E350">
        <v>1</v>
      </c>
      <c r="F350" t="s">
        <v>174</v>
      </c>
      <c r="G350" t="s">
        <v>58</v>
      </c>
      <c r="H350" t="s">
        <v>1897</v>
      </c>
      <c r="I350" t="s">
        <v>222</v>
      </c>
    </row>
    <row r="351" spans="1:10" x14ac:dyDescent="0.2">
      <c r="A351" t="s">
        <v>405</v>
      </c>
      <c r="B351" t="s">
        <v>1898</v>
      </c>
      <c r="C351">
        <v>3</v>
      </c>
      <c r="D351" t="s">
        <v>1899</v>
      </c>
      <c r="E351">
        <v>2</v>
      </c>
      <c r="G351" t="s">
        <v>58</v>
      </c>
      <c r="H351" t="s">
        <v>1900</v>
      </c>
      <c r="I351" t="s">
        <v>222</v>
      </c>
      <c r="J351" t="s">
        <v>1901</v>
      </c>
    </row>
    <row r="352" spans="1:10" x14ac:dyDescent="0.2">
      <c r="A352" t="s">
        <v>405</v>
      </c>
      <c r="B352" t="s">
        <v>1902</v>
      </c>
      <c r="C352">
        <v>4</v>
      </c>
      <c r="D352" t="s">
        <v>1903</v>
      </c>
      <c r="E352">
        <v>3</v>
      </c>
      <c r="G352" t="s">
        <v>58</v>
      </c>
      <c r="H352" t="s">
        <v>1793</v>
      </c>
      <c r="I352" t="s">
        <v>222</v>
      </c>
      <c r="J352" t="s">
        <v>1904</v>
      </c>
    </row>
    <row r="353" spans="1:10" x14ac:dyDescent="0.2">
      <c r="A353" t="s">
        <v>406</v>
      </c>
      <c r="B353" t="s">
        <v>1905</v>
      </c>
      <c r="C353">
        <v>1</v>
      </c>
      <c r="D353" t="s">
        <v>1906</v>
      </c>
      <c r="E353">
        <v>0</v>
      </c>
      <c r="F353" t="s">
        <v>255</v>
      </c>
      <c r="G353" t="s">
        <v>60</v>
      </c>
      <c r="H353" t="s">
        <v>1907</v>
      </c>
      <c r="I353" t="s">
        <v>222</v>
      </c>
    </row>
    <row r="354" spans="1:10" x14ac:dyDescent="0.2">
      <c r="A354" t="s">
        <v>406</v>
      </c>
      <c r="B354" t="s">
        <v>1908</v>
      </c>
      <c r="C354">
        <v>2</v>
      </c>
      <c r="D354" t="s">
        <v>1909</v>
      </c>
      <c r="E354">
        <v>1</v>
      </c>
      <c r="F354" t="s">
        <v>172</v>
      </c>
      <c r="G354" t="s">
        <v>61</v>
      </c>
      <c r="H354" t="s">
        <v>1910</v>
      </c>
      <c r="I354" t="s">
        <v>222</v>
      </c>
    </row>
    <row r="355" spans="1:10" x14ac:dyDescent="0.2">
      <c r="A355" t="s">
        <v>406</v>
      </c>
      <c r="B355" t="s">
        <v>1911</v>
      </c>
      <c r="C355">
        <v>3</v>
      </c>
      <c r="D355" t="s">
        <v>1912</v>
      </c>
      <c r="E355">
        <v>2</v>
      </c>
      <c r="G355" t="s">
        <v>60</v>
      </c>
      <c r="H355" t="s">
        <v>1913</v>
      </c>
      <c r="I355" t="s">
        <v>222</v>
      </c>
      <c r="J355" t="s">
        <v>1914</v>
      </c>
    </row>
    <row r="356" spans="1:10" x14ac:dyDescent="0.2">
      <c r="A356" t="s">
        <v>406</v>
      </c>
      <c r="B356" t="s">
        <v>1915</v>
      </c>
      <c r="C356">
        <v>4</v>
      </c>
      <c r="D356" t="s">
        <v>1916</v>
      </c>
      <c r="E356">
        <v>3</v>
      </c>
      <c r="G356" t="s">
        <v>60</v>
      </c>
      <c r="H356" t="s">
        <v>1917</v>
      </c>
      <c r="I356" t="s">
        <v>222</v>
      </c>
      <c r="J356" t="s">
        <v>1918</v>
      </c>
    </row>
    <row r="357" spans="1:10" x14ac:dyDescent="0.2">
      <c r="A357" t="s">
        <v>406</v>
      </c>
      <c r="B357" t="s">
        <v>1919</v>
      </c>
      <c r="C357">
        <v>5</v>
      </c>
      <c r="D357" t="s">
        <v>1920</v>
      </c>
      <c r="E357">
        <v>4</v>
      </c>
      <c r="G357" t="s">
        <v>58</v>
      </c>
      <c r="H357" t="s">
        <v>1530</v>
      </c>
      <c r="I357" t="s">
        <v>222</v>
      </c>
      <c r="J357" t="s">
        <v>1921</v>
      </c>
    </row>
    <row r="358" spans="1:10" x14ac:dyDescent="0.2">
      <c r="A358" t="s">
        <v>407</v>
      </c>
      <c r="B358" t="s">
        <v>1922</v>
      </c>
      <c r="C358">
        <v>1</v>
      </c>
      <c r="D358" t="s">
        <v>1923</v>
      </c>
      <c r="E358">
        <v>0</v>
      </c>
      <c r="F358" t="s">
        <v>273</v>
      </c>
      <c r="G358" t="s">
        <v>65</v>
      </c>
      <c r="H358" t="s">
        <v>74</v>
      </c>
      <c r="I358" t="s">
        <v>222</v>
      </c>
    </row>
    <row r="359" spans="1:10" x14ac:dyDescent="0.2">
      <c r="A359" t="s">
        <v>407</v>
      </c>
      <c r="B359" t="s">
        <v>1924</v>
      </c>
      <c r="C359">
        <v>2</v>
      </c>
      <c r="D359" t="s">
        <v>1925</v>
      </c>
      <c r="E359">
        <v>0</v>
      </c>
      <c r="F359" t="s">
        <v>172</v>
      </c>
      <c r="G359" t="s">
        <v>61</v>
      </c>
      <c r="H359" t="s">
        <v>83</v>
      </c>
      <c r="I359" t="s">
        <v>222</v>
      </c>
    </row>
    <row r="360" spans="1:10" x14ac:dyDescent="0.2">
      <c r="A360" t="s">
        <v>407</v>
      </c>
      <c r="B360" t="s">
        <v>1926</v>
      </c>
      <c r="C360">
        <v>3</v>
      </c>
      <c r="D360" t="s">
        <v>1927</v>
      </c>
      <c r="E360">
        <v>1</v>
      </c>
      <c r="F360" t="s">
        <v>174</v>
      </c>
      <c r="G360" t="s">
        <v>63</v>
      </c>
      <c r="H360" t="s">
        <v>84</v>
      </c>
      <c r="I360" t="s">
        <v>222</v>
      </c>
      <c r="J360" t="s">
        <v>1928</v>
      </c>
    </row>
    <row r="361" spans="1:10" x14ac:dyDescent="0.2">
      <c r="A361" t="s">
        <v>407</v>
      </c>
      <c r="B361" t="s">
        <v>1929</v>
      </c>
      <c r="C361">
        <v>4</v>
      </c>
      <c r="D361" t="s">
        <v>1930</v>
      </c>
      <c r="E361">
        <v>2</v>
      </c>
      <c r="G361" t="s">
        <v>60</v>
      </c>
      <c r="H361" t="s">
        <v>77</v>
      </c>
      <c r="I361" t="s">
        <v>222</v>
      </c>
      <c r="J361" t="s">
        <v>1931</v>
      </c>
    </row>
    <row r="362" spans="1:10" x14ac:dyDescent="0.2">
      <c r="A362" t="s">
        <v>407</v>
      </c>
      <c r="B362" t="s">
        <v>1932</v>
      </c>
      <c r="C362">
        <v>5</v>
      </c>
      <c r="D362" t="s">
        <v>1933</v>
      </c>
      <c r="E362">
        <v>3</v>
      </c>
      <c r="G362" t="s">
        <v>60</v>
      </c>
      <c r="H362" t="s">
        <v>74</v>
      </c>
      <c r="I362" t="s">
        <v>218</v>
      </c>
      <c r="J362" t="s">
        <v>1934</v>
      </c>
    </row>
    <row r="363" spans="1:10" x14ac:dyDescent="0.2">
      <c r="A363" t="s">
        <v>407</v>
      </c>
      <c r="B363" t="s">
        <v>1935</v>
      </c>
      <c r="C363">
        <v>6</v>
      </c>
      <c r="D363" t="s">
        <v>1936</v>
      </c>
      <c r="E363">
        <v>4</v>
      </c>
      <c r="G363" t="s">
        <v>62</v>
      </c>
      <c r="H363" t="s">
        <v>132</v>
      </c>
      <c r="I363" t="s">
        <v>218</v>
      </c>
      <c r="J363" t="s">
        <v>1937</v>
      </c>
    </row>
    <row r="364" spans="1:10" x14ac:dyDescent="0.2">
      <c r="A364" t="s">
        <v>408</v>
      </c>
      <c r="B364" t="s">
        <v>1938</v>
      </c>
      <c r="C364">
        <v>1</v>
      </c>
      <c r="D364" t="s">
        <v>1939</v>
      </c>
      <c r="E364">
        <v>0</v>
      </c>
      <c r="F364" t="s">
        <v>172</v>
      </c>
      <c r="G364" t="s">
        <v>61</v>
      </c>
      <c r="H364" t="s">
        <v>83</v>
      </c>
      <c r="I364" t="s">
        <v>222</v>
      </c>
    </row>
    <row r="365" spans="1:10" x14ac:dyDescent="0.2">
      <c r="A365" t="s">
        <v>408</v>
      </c>
      <c r="B365" t="s">
        <v>1940</v>
      </c>
      <c r="C365">
        <v>2</v>
      </c>
      <c r="D365" t="s">
        <v>1941</v>
      </c>
      <c r="E365">
        <v>2</v>
      </c>
      <c r="F365" t="s">
        <v>174</v>
      </c>
      <c r="G365" t="s">
        <v>63</v>
      </c>
      <c r="H365" t="s">
        <v>84</v>
      </c>
      <c r="I365" t="s">
        <v>222</v>
      </c>
      <c r="J365" t="s">
        <v>1942</v>
      </c>
    </row>
    <row r="366" spans="1:10" x14ac:dyDescent="0.2">
      <c r="A366" t="s">
        <v>408</v>
      </c>
      <c r="B366" t="s">
        <v>1943</v>
      </c>
      <c r="C366">
        <v>3</v>
      </c>
      <c r="D366" t="s">
        <v>1944</v>
      </c>
      <c r="E366">
        <v>3</v>
      </c>
      <c r="F366" t="s">
        <v>174</v>
      </c>
      <c r="G366" t="s">
        <v>63</v>
      </c>
      <c r="H366" t="s">
        <v>73</v>
      </c>
      <c r="I366" t="s">
        <v>218</v>
      </c>
      <c r="J366" t="s">
        <v>1945</v>
      </c>
    </row>
    <row r="367" spans="1:10" x14ac:dyDescent="0.2">
      <c r="A367" t="s">
        <v>409</v>
      </c>
      <c r="B367" t="s">
        <v>1946</v>
      </c>
      <c r="C367">
        <v>1</v>
      </c>
      <c r="D367" t="s">
        <v>1947</v>
      </c>
      <c r="E367">
        <v>0</v>
      </c>
      <c r="G367" t="s">
        <v>60</v>
      </c>
      <c r="H367" t="s">
        <v>74</v>
      </c>
      <c r="I367" t="s">
        <v>222</v>
      </c>
    </row>
    <row r="368" spans="1:10" x14ac:dyDescent="0.2">
      <c r="A368" t="s">
        <v>409</v>
      </c>
      <c r="B368" t="s">
        <v>1948</v>
      </c>
      <c r="C368">
        <v>2</v>
      </c>
      <c r="D368" t="s">
        <v>1949</v>
      </c>
      <c r="E368">
        <v>1</v>
      </c>
      <c r="F368" t="s">
        <v>172</v>
      </c>
      <c r="G368" t="s">
        <v>61</v>
      </c>
      <c r="H368" t="s">
        <v>73</v>
      </c>
      <c r="I368" t="s">
        <v>222</v>
      </c>
    </row>
    <row r="369" spans="1:10" x14ac:dyDescent="0.2">
      <c r="A369" t="s">
        <v>409</v>
      </c>
      <c r="B369" t="s">
        <v>1950</v>
      </c>
      <c r="C369">
        <v>3</v>
      </c>
      <c r="D369" t="s">
        <v>1951</v>
      </c>
      <c r="E369">
        <v>2</v>
      </c>
      <c r="G369" t="s">
        <v>60</v>
      </c>
      <c r="H369" t="s">
        <v>74</v>
      </c>
      <c r="I369" t="s">
        <v>218</v>
      </c>
      <c r="J369" t="s">
        <v>1952</v>
      </c>
    </row>
    <row r="370" spans="1:10" x14ac:dyDescent="0.2">
      <c r="A370" t="s">
        <v>409</v>
      </c>
      <c r="B370" t="s">
        <v>1953</v>
      </c>
      <c r="C370">
        <v>4</v>
      </c>
      <c r="D370" t="s">
        <v>1954</v>
      </c>
      <c r="E370">
        <v>3</v>
      </c>
      <c r="G370" t="s">
        <v>62</v>
      </c>
      <c r="H370" t="s">
        <v>136</v>
      </c>
      <c r="I370" t="s">
        <v>218</v>
      </c>
      <c r="J370" t="s">
        <v>1955</v>
      </c>
    </row>
    <row r="371" spans="1:10" x14ac:dyDescent="0.2">
      <c r="A371" t="s">
        <v>409</v>
      </c>
      <c r="B371" t="s">
        <v>1956</v>
      </c>
      <c r="C371">
        <v>5</v>
      </c>
      <c r="D371" t="s">
        <v>1957</v>
      </c>
      <c r="E371">
        <v>4</v>
      </c>
      <c r="G371" t="s">
        <v>62</v>
      </c>
      <c r="H371" t="s">
        <v>132</v>
      </c>
      <c r="I371" t="s">
        <v>218</v>
      </c>
      <c r="J371" t="s">
        <v>1958</v>
      </c>
    </row>
    <row r="372" spans="1:10" x14ac:dyDescent="0.2">
      <c r="A372" t="s">
        <v>410</v>
      </c>
      <c r="B372" t="s">
        <v>1959</v>
      </c>
      <c r="C372">
        <v>1</v>
      </c>
      <c r="D372" t="s">
        <v>1923</v>
      </c>
      <c r="E372">
        <v>0</v>
      </c>
      <c r="F372" t="s">
        <v>273</v>
      </c>
      <c r="G372" t="s">
        <v>65</v>
      </c>
      <c r="H372" t="s">
        <v>135</v>
      </c>
      <c r="I372" t="s">
        <v>222</v>
      </c>
    </row>
    <row r="373" spans="1:10" x14ac:dyDescent="0.2">
      <c r="A373" t="s">
        <v>410</v>
      </c>
      <c r="B373" t="s">
        <v>1960</v>
      </c>
      <c r="C373">
        <v>2</v>
      </c>
      <c r="D373" t="s">
        <v>1961</v>
      </c>
      <c r="E373">
        <v>0</v>
      </c>
      <c r="F373" t="s">
        <v>276</v>
      </c>
      <c r="G373" t="s">
        <v>66</v>
      </c>
      <c r="H373" t="s">
        <v>135</v>
      </c>
      <c r="I373" t="s">
        <v>222</v>
      </c>
    </row>
    <row r="374" spans="1:10" x14ac:dyDescent="0.2">
      <c r="A374" t="s">
        <v>410</v>
      </c>
      <c r="B374" t="s">
        <v>1962</v>
      </c>
      <c r="C374">
        <v>3</v>
      </c>
      <c r="D374" t="s">
        <v>1963</v>
      </c>
      <c r="E374">
        <v>2</v>
      </c>
      <c r="G374" t="s">
        <v>66</v>
      </c>
      <c r="H374" t="s">
        <v>77</v>
      </c>
      <c r="I374" t="s">
        <v>222</v>
      </c>
      <c r="J374" t="s">
        <v>1964</v>
      </c>
    </row>
    <row r="375" spans="1:10" x14ac:dyDescent="0.2">
      <c r="A375" t="s">
        <v>410</v>
      </c>
      <c r="B375" t="s">
        <v>1965</v>
      </c>
      <c r="C375">
        <v>4</v>
      </c>
      <c r="D375" t="s">
        <v>1966</v>
      </c>
      <c r="E375">
        <v>3</v>
      </c>
      <c r="G375" t="s">
        <v>66</v>
      </c>
      <c r="H375" t="s">
        <v>146</v>
      </c>
      <c r="I375" t="s">
        <v>218</v>
      </c>
      <c r="J375" t="s">
        <v>1967</v>
      </c>
    </row>
    <row r="376" spans="1:10" x14ac:dyDescent="0.2">
      <c r="A376" t="s">
        <v>410</v>
      </c>
      <c r="B376" t="s">
        <v>1968</v>
      </c>
      <c r="C376">
        <v>5</v>
      </c>
      <c r="D376" t="s">
        <v>1969</v>
      </c>
      <c r="E376">
        <v>4</v>
      </c>
      <c r="G376" t="s">
        <v>66</v>
      </c>
      <c r="H376" t="s">
        <v>146</v>
      </c>
      <c r="I376" t="s">
        <v>218</v>
      </c>
      <c r="J376" t="s">
        <v>1970</v>
      </c>
    </row>
    <row r="377" spans="1:10" x14ac:dyDescent="0.2">
      <c r="A377" t="s">
        <v>411</v>
      </c>
      <c r="B377" t="s">
        <v>1971</v>
      </c>
      <c r="C377">
        <v>1</v>
      </c>
      <c r="D377" t="s">
        <v>1972</v>
      </c>
      <c r="E377">
        <v>0</v>
      </c>
      <c r="F377" t="s">
        <v>276</v>
      </c>
      <c r="G377" t="s">
        <v>66</v>
      </c>
      <c r="H377" t="s">
        <v>135</v>
      </c>
      <c r="I377" t="s">
        <v>222</v>
      </c>
    </row>
    <row r="378" spans="1:10" x14ac:dyDescent="0.2">
      <c r="A378" t="s">
        <v>411</v>
      </c>
      <c r="B378" t="s">
        <v>1973</v>
      </c>
      <c r="C378">
        <v>2</v>
      </c>
      <c r="D378" t="s">
        <v>1974</v>
      </c>
      <c r="E378">
        <v>2</v>
      </c>
      <c r="F378" t="s">
        <v>174</v>
      </c>
      <c r="G378" t="s">
        <v>66</v>
      </c>
      <c r="H378" t="s">
        <v>71</v>
      </c>
      <c r="I378" t="s">
        <v>222</v>
      </c>
      <c r="J378" t="s">
        <v>1975</v>
      </c>
    </row>
    <row r="379" spans="1:10" x14ac:dyDescent="0.2">
      <c r="A379" t="s">
        <v>411</v>
      </c>
      <c r="B379" t="s">
        <v>1976</v>
      </c>
      <c r="C379">
        <v>3</v>
      </c>
      <c r="D379" t="s">
        <v>1977</v>
      </c>
      <c r="E379">
        <v>3</v>
      </c>
      <c r="G379" t="s">
        <v>66</v>
      </c>
      <c r="H379" t="s">
        <v>71</v>
      </c>
      <c r="I379" t="s">
        <v>218</v>
      </c>
      <c r="J379" t="s">
        <v>1978</v>
      </c>
    </row>
    <row r="380" spans="1:10" x14ac:dyDescent="0.2">
      <c r="A380" t="s">
        <v>412</v>
      </c>
      <c r="B380" t="s">
        <v>1979</v>
      </c>
      <c r="C380">
        <v>1</v>
      </c>
      <c r="D380" t="s">
        <v>1980</v>
      </c>
      <c r="E380">
        <v>0</v>
      </c>
      <c r="F380" t="s">
        <v>178</v>
      </c>
      <c r="G380" t="s">
        <v>60</v>
      </c>
      <c r="H380" t="s">
        <v>74</v>
      </c>
      <c r="I380" t="s">
        <v>222</v>
      </c>
    </row>
    <row r="381" spans="1:10" x14ac:dyDescent="0.2">
      <c r="A381" t="s">
        <v>412</v>
      </c>
      <c r="B381" t="s">
        <v>1981</v>
      </c>
      <c r="C381">
        <v>2</v>
      </c>
      <c r="D381" t="s">
        <v>1982</v>
      </c>
      <c r="E381">
        <v>2</v>
      </c>
      <c r="G381" t="s">
        <v>60</v>
      </c>
      <c r="H381" t="s">
        <v>77</v>
      </c>
      <c r="I381" t="s">
        <v>222</v>
      </c>
      <c r="J381" t="s">
        <v>1983</v>
      </c>
    </row>
    <row r="382" spans="1:10" x14ac:dyDescent="0.2">
      <c r="A382" t="s">
        <v>412</v>
      </c>
      <c r="B382" t="s">
        <v>1984</v>
      </c>
      <c r="C382">
        <v>3</v>
      </c>
      <c r="D382" t="s">
        <v>1985</v>
      </c>
      <c r="E382">
        <v>3</v>
      </c>
      <c r="G382" t="s">
        <v>60</v>
      </c>
      <c r="H382" t="s">
        <v>77</v>
      </c>
      <c r="I382" t="s">
        <v>218</v>
      </c>
      <c r="J382" t="s">
        <v>1986</v>
      </c>
    </row>
    <row r="383" spans="1:10" x14ac:dyDescent="0.2">
      <c r="A383" t="s">
        <v>412</v>
      </c>
      <c r="B383" t="s">
        <v>1987</v>
      </c>
      <c r="C383">
        <v>4</v>
      </c>
      <c r="D383" t="s">
        <v>1988</v>
      </c>
      <c r="E383">
        <v>4</v>
      </c>
      <c r="G383" t="s">
        <v>62</v>
      </c>
      <c r="H383" t="s">
        <v>83</v>
      </c>
      <c r="I383" t="s">
        <v>218</v>
      </c>
      <c r="J383" t="s">
        <v>1989</v>
      </c>
    </row>
    <row r="384" spans="1:10" x14ac:dyDescent="0.2">
      <c r="A384" t="s">
        <v>413</v>
      </c>
      <c r="B384" t="s">
        <v>1990</v>
      </c>
      <c r="C384">
        <v>1</v>
      </c>
      <c r="D384" t="s">
        <v>1991</v>
      </c>
      <c r="E384">
        <v>0</v>
      </c>
      <c r="F384" t="s">
        <v>172</v>
      </c>
      <c r="G384" t="s">
        <v>61</v>
      </c>
      <c r="H384" t="s">
        <v>83</v>
      </c>
      <c r="I384" t="s">
        <v>222</v>
      </c>
    </row>
    <row r="385" spans="1:10" x14ac:dyDescent="0.2">
      <c r="A385" t="s">
        <v>413</v>
      </c>
      <c r="B385" t="s">
        <v>1992</v>
      </c>
      <c r="C385">
        <v>2</v>
      </c>
      <c r="D385" t="s">
        <v>1993</v>
      </c>
      <c r="E385">
        <v>1</v>
      </c>
      <c r="F385" t="s">
        <v>172</v>
      </c>
      <c r="G385" t="s">
        <v>61</v>
      </c>
      <c r="H385" t="s">
        <v>77</v>
      </c>
      <c r="I385" t="s">
        <v>222</v>
      </c>
    </row>
    <row r="386" spans="1:10" x14ac:dyDescent="0.2">
      <c r="A386" t="s">
        <v>413</v>
      </c>
      <c r="B386" t="s">
        <v>1994</v>
      </c>
      <c r="C386">
        <v>3</v>
      </c>
      <c r="D386" t="s">
        <v>1995</v>
      </c>
      <c r="E386">
        <v>2</v>
      </c>
      <c r="G386" t="s">
        <v>66</v>
      </c>
      <c r="H386" t="s">
        <v>72</v>
      </c>
      <c r="I386" t="s">
        <v>222</v>
      </c>
      <c r="J386" t="s">
        <v>1996</v>
      </c>
    </row>
    <row r="387" spans="1:10" x14ac:dyDescent="0.2">
      <c r="A387" t="s">
        <v>413</v>
      </c>
      <c r="B387" t="s">
        <v>1997</v>
      </c>
      <c r="C387">
        <v>4</v>
      </c>
      <c r="D387" t="s">
        <v>1998</v>
      </c>
      <c r="E387">
        <v>3</v>
      </c>
      <c r="G387" t="s">
        <v>62</v>
      </c>
      <c r="H387" t="s">
        <v>77</v>
      </c>
      <c r="I387" t="s">
        <v>218</v>
      </c>
      <c r="J387" t="s">
        <v>1999</v>
      </c>
    </row>
    <row r="388" spans="1:10" x14ac:dyDescent="0.2">
      <c r="A388" t="s">
        <v>413</v>
      </c>
      <c r="B388" t="s">
        <v>2000</v>
      </c>
      <c r="C388">
        <v>5</v>
      </c>
      <c r="D388" t="s">
        <v>2001</v>
      </c>
      <c r="E388">
        <v>4</v>
      </c>
      <c r="G388" t="s">
        <v>62</v>
      </c>
      <c r="H388" t="s">
        <v>132</v>
      </c>
      <c r="I388" t="s">
        <v>218</v>
      </c>
      <c r="J388" t="s">
        <v>2002</v>
      </c>
    </row>
    <row r="389" spans="1:10" x14ac:dyDescent="0.2">
      <c r="A389" t="s">
        <v>414</v>
      </c>
      <c r="B389" t="s">
        <v>2003</v>
      </c>
      <c r="C389">
        <v>1</v>
      </c>
      <c r="D389" t="s">
        <v>2004</v>
      </c>
      <c r="E389">
        <v>0</v>
      </c>
      <c r="F389" t="s">
        <v>172</v>
      </c>
      <c r="G389" t="s">
        <v>61</v>
      </c>
      <c r="H389" t="s">
        <v>77</v>
      </c>
      <c r="I389" t="s">
        <v>222</v>
      </c>
    </row>
    <row r="390" spans="1:10" x14ac:dyDescent="0.2">
      <c r="A390" t="s">
        <v>414</v>
      </c>
      <c r="B390" t="s">
        <v>2005</v>
      </c>
      <c r="C390">
        <v>2</v>
      </c>
      <c r="D390" t="s">
        <v>2006</v>
      </c>
      <c r="E390">
        <v>2</v>
      </c>
      <c r="G390" t="s">
        <v>60</v>
      </c>
      <c r="H390" t="s">
        <v>74</v>
      </c>
      <c r="I390" t="s">
        <v>222</v>
      </c>
    </row>
    <row r="391" spans="1:10" x14ac:dyDescent="0.2">
      <c r="A391" t="s">
        <v>414</v>
      </c>
      <c r="B391" t="s">
        <v>2007</v>
      </c>
      <c r="C391">
        <v>3</v>
      </c>
      <c r="D391" t="s">
        <v>2008</v>
      </c>
      <c r="E391">
        <v>3</v>
      </c>
      <c r="G391" t="s">
        <v>62</v>
      </c>
      <c r="H391" t="s">
        <v>74</v>
      </c>
      <c r="I391" t="s">
        <v>218</v>
      </c>
      <c r="J391" t="s">
        <v>2009</v>
      </c>
    </row>
    <row r="392" spans="1:10" x14ac:dyDescent="0.2">
      <c r="A392" t="s">
        <v>415</v>
      </c>
      <c r="B392" t="s">
        <v>2010</v>
      </c>
      <c r="C392">
        <v>1</v>
      </c>
      <c r="D392" t="s">
        <v>2011</v>
      </c>
      <c r="E392">
        <v>0</v>
      </c>
      <c r="F392" t="s">
        <v>178</v>
      </c>
      <c r="G392" t="s">
        <v>55</v>
      </c>
      <c r="H392" t="s">
        <v>79</v>
      </c>
      <c r="I392" t="s">
        <v>222</v>
      </c>
    </row>
    <row r="393" spans="1:10" x14ac:dyDescent="0.2">
      <c r="A393" t="s">
        <v>415</v>
      </c>
      <c r="B393" t="s">
        <v>2012</v>
      </c>
      <c r="C393">
        <v>2</v>
      </c>
      <c r="D393" t="s">
        <v>2013</v>
      </c>
      <c r="E393">
        <v>1</v>
      </c>
      <c r="F393" t="s">
        <v>178</v>
      </c>
      <c r="G393" t="s">
        <v>55</v>
      </c>
      <c r="H393" t="s">
        <v>145</v>
      </c>
      <c r="I393" t="s">
        <v>222</v>
      </c>
    </row>
    <row r="394" spans="1:10" x14ac:dyDescent="0.2">
      <c r="A394" t="s">
        <v>415</v>
      </c>
      <c r="B394" t="s">
        <v>2014</v>
      </c>
      <c r="C394">
        <v>3</v>
      </c>
      <c r="D394" t="s">
        <v>2015</v>
      </c>
      <c r="E394">
        <v>3</v>
      </c>
      <c r="G394" t="s">
        <v>55</v>
      </c>
      <c r="H394" t="s">
        <v>145</v>
      </c>
      <c r="I394" t="s">
        <v>218</v>
      </c>
      <c r="J394" t="s">
        <v>2016</v>
      </c>
    </row>
    <row r="395" spans="1:10" x14ac:dyDescent="0.2">
      <c r="A395" t="s">
        <v>415</v>
      </c>
      <c r="B395" t="s">
        <v>2017</v>
      </c>
      <c r="C395">
        <v>4</v>
      </c>
      <c r="D395" t="s">
        <v>2018</v>
      </c>
      <c r="E395">
        <v>4</v>
      </c>
      <c r="G395" t="s">
        <v>55</v>
      </c>
      <c r="H395" t="s">
        <v>145</v>
      </c>
      <c r="I395" t="s">
        <v>218</v>
      </c>
      <c r="J395" t="s">
        <v>2019</v>
      </c>
    </row>
    <row r="396" spans="1:10" x14ac:dyDescent="0.2">
      <c r="A396" t="s">
        <v>416</v>
      </c>
      <c r="B396" t="s">
        <v>2020</v>
      </c>
      <c r="C396">
        <v>1</v>
      </c>
      <c r="D396" t="s">
        <v>2021</v>
      </c>
      <c r="E396">
        <v>0</v>
      </c>
      <c r="F396" t="s">
        <v>276</v>
      </c>
      <c r="G396" t="s">
        <v>66</v>
      </c>
      <c r="H396" t="s">
        <v>135</v>
      </c>
      <c r="I396" t="s">
        <v>222</v>
      </c>
    </row>
    <row r="397" spans="1:10" x14ac:dyDescent="0.2">
      <c r="A397" t="s">
        <v>416</v>
      </c>
      <c r="B397" t="s">
        <v>2022</v>
      </c>
      <c r="C397">
        <v>2</v>
      </c>
      <c r="D397" t="s">
        <v>2023</v>
      </c>
      <c r="E397">
        <v>2</v>
      </c>
      <c r="G397" t="s">
        <v>66</v>
      </c>
      <c r="H397" t="s">
        <v>135</v>
      </c>
      <c r="I397" t="s">
        <v>222</v>
      </c>
    </row>
    <row r="398" spans="1:10" x14ac:dyDescent="0.2">
      <c r="A398" t="s">
        <v>416</v>
      </c>
      <c r="B398" t="s">
        <v>2024</v>
      </c>
      <c r="C398">
        <v>3</v>
      </c>
      <c r="D398" t="s">
        <v>2025</v>
      </c>
      <c r="E398">
        <v>3</v>
      </c>
      <c r="G398" t="s">
        <v>66</v>
      </c>
      <c r="H398" t="s">
        <v>77</v>
      </c>
      <c r="I398" t="s">
        <v>218</v>
      </c>
      <c r="J398" t="s">
        <v>2026</v>
      </c>
    </row>
    <row r="399" spans="1:10" x14ac:dyDescent="0.2">
      <c r="A399" t="s">
        <v>416</v>
      </c>
      <c r="B399" t="s">
        <v>2027</v>
      </c>
      <c r="C399">
        <v>4</v>
      </c>
      <c r="D399" t="s">
        <v>2028</v>
      </c>
      <c r="E399">
        <v>4</v>
      </c>
      <c r="G399" t="s">
        <v>66</v>
      </c>
      <c r="H399" t="s">
        <v>146</v>
      </c>
      <c r="I399" t="s">
        <v>218</v>
      </c>
      <c r="J399" t="s">
        <v>2029</v>
      </c>
    </row>
    <row r="400" spans="1:10" x14ac:dyDescent="0.2">
      <c r="A400" t="s">
        <v>417</v>
      </c>
      <c r="B400" t="s">
        <v>2030</v>
      </c>
      <c r="C400">
        <v>1</v>
      </c>
      <c r="D400" t="s">
        <v>2031</v>
      </c>
      <c r="E400">
        <v>0</v>
      </c>
      <c r="F400" t="s">
        <v>276</v>
      </c>
      <c r="G400" t="s">
        <v>66</v>
      </c>
      <c r="H400" t="s">
        <v>135</v>
      </c>
      <c r="I400" t="s">
        <v>222</v>
      </c>
    </row>
    <row r="401" spans="1:10" x14ac:dyDescent="0.2">
      <c r="A401" t="s">
        <v>417</v>
      </c>
      <c r="B401" t="s">
        <v>2032</v>
      </c>
      <c r="C401">
        <v>2</v>
      </c>
      <c r="D401" t="s">
        <v>2033</v>
      </c>
      <c r="E401">
        <v>2</v>
      </c>
      <c r="F401" t="s">
        <v>174</v>
      </c>
      <c r="G401" t="s">
        <v>66</v>
      </c>
      <c r="H401" t="s">
        <v>71</v>
      </c>
      <c r="I401" t="s">
        <v>222</v>
      </c>
    </row>
    <row r="402" spans="1:10" x14ac:dyDescent="0.2">
      <c r="A402" t="s">
        <v>417</v>
      </c>
      <c r="B402" t="s">
        <v>2034</v>
      </c>
      <c r="C402">
        <v>3</v>
      </c>
      <c r="D402" t="s">
        <v>2035</v>
      </c>
      <c r="E402">
        <v>3</v>
      </c>
      <c r="G402" t="s">
        <v>66</v>
      </c>
      <c r="H402" t="s">
        <v>135</v>
      </c>
      <c r="I402" t="s">
        <v>218</v>
      </c>
      <c r="J402" t="s">
        <v>2036</v>
      </c>
    </row>
    <row r="403" spans="1:10" x14ac:dyDescent="0.2">
      <c r="A403" t="s">
        <v>418</v>
      </c>
      <c r="B403" t="s">
        <v>2037</v>
      </c>
      <c r="C403">
        <v>1</v>
      </c>
      <c r="D403" t="s">
        <v>2038</v>
      </c>
      <c r="E403">
        <v>0</v>
      </c>
      <c r="F403" t="s">
        <v>172</v>
      </c>
      <c r="G403" t="s">
        <v>61</v>
      </c>
      <c r="H403" t="s">
        <v>77</v>
      </c>
      <c r="I403" t="s">
        <v>222</v>
      </c>
    </row>
    <row r="404" spans="1:10" x14ac:dyDescent="0.2">
      <c r="A404" t="s">
        <v>418</v>
      </c>
      <c r="B404" t="s">
        <v>2039</v>
      </c>
      <c r="C404">
        <v>2</v>
      </c>
      <c r="D404" t="s">
        <v>2040</v>
      </c>
      <c r="E404">
        <v>1</v>
      </c>
      <c r="F404" t="s">
        <v>172</v>
      </c>
      <c r="G404" t="s">
        <v>61</v>
      </c>
      <c r="H404" t="s">
        <v>77</v>
      </c>
      <c r="I404" t="s">
        <v>222</v>
      </c>
    </row>
    <row r="405" spans="1:10" x14ac:dyDescent="0.2">
      <c r="A405" t="s">
        <v>418</v>
      </c>
      <c r="B405" t="s">
        <v>2041</v>
      </c>
      <c r="C405">
        <v>3</v>
      </c>
      <c r="D405" t="s">
        <v>2042</v>
      </c>
      <c r="E405">
        <v>2</v>
      </c>
      <c r="G405" t="s">
        <v>60</v>
      </c>
      <c r="H405" t="s">
        <v>73</v>
      </c>
      <c r="I405" t="s">
        <v>222</v>
      </c>
    </row>
    <row r="406" spans="1:10" x14ac:dyDescent="0.2">
      <c r="A406" t="s">
        <v>418</v>
      </c>
      <c r="B406" t="s">
        <v>2043</v>
      </c>
      <c r="C406">
        <v>4</v>
      </c>
      <c r="D406" t="s">
        <v>2044</v>
      </c>
      <c r="E406">
        <v>3</v>
      </c>
      <c r="G406" t="s">
        <v>62</v>
      </c>
      <c r="H406" t="s">
        <v>146</v>
      </c>
      <c r="I406" t="s">
        <v>218</v>
      </c>
      <c r="J406" t="s">
        <v>2045</v>
      </c>
    </row>
    <row r="407" spans="1:10" x14ac:dyDescent="0.2">
      <c r="A407" t="s">
        <v>418</v>
      </c>
      <c r="B407" t="s">
        <v>2046</v>
      </c>
      <c r="C407">
        <v>5</v>
      </c>
      <c r="D407" t="s">
        <v>2047</v>
      </c>
      <c r="E407">
        <v>4</v>
      </c>
      <c r="G407" t="s">
        <v>62</v>
      </c>
      <c r="H407" t="s">
        <v>146</v>
      </c>
      <c r="I407" t="s">
        <v>218</v>
      </c>
      <c r="J407" t="s">
        <v>2048</v>
      </c>
    </row>
    <row r="408" spans="1:10" x14ac:dyDescent="0.2">
      <c r="A408" t="s">
        <v>419</v>
      </c>
      <c r="B408" t="s">
        <v>2049</v>
      </c>
      <c r="C408">
        <v>1</v>
      </c>
      <c r="D408" t="s">
        <v>2050</v>
      </c>
      <c r="E408">
        <v>0</v>
      </c>
      <c r="G408" t="s">
        <v>60</v>
      </c>
      <c r="H408" t="s">
        <v>74</v>
      </c>
      <c r="I408" t="s">
        <v>222</v>
      </c>
    </row>
    <row r="409" spans="1:10" x14ac:dyDescent="0.2">
      <c r="A409" t="s">
        <v>419</v>
      </c>
      <c r="B409" t="s">
        <v>2051</v>
      </c>
      <c r="C409">
        <v>2</v>
      </c>
      <c r="D409" t="s">
        <v>2052</v>
      </c>
      <c r="E409">
        <v>2</v>
      </c>
      <c r="G409" t="s">
        <v>60</v>
      </c>
      <c r="H409" t="s">
        <v>74</v>
      </c>
      <c r="I409" t="s">
        <v>222</v>
      </c>
    </row>
    <row r="410" spans="1:10" x14ac:dyDescent="0.2">
      <c r="A410" t="s">
        <v>419</v>
      </c>
      <c r="B410" t="s">
        <v>2053</v>
      </c>
      <c r="C410">
        <v>3</v>
      </c>
      <c r="D410" t="s">
        <v>2054</v>
      </c>
      <c r="E410">
        <v>3</v>
      </c>
      <c r="G410" t="s">
        <v>62</v>
      </c>
      <c r="H410" t="s">
        <v>136</v>
      </c>
      <c r="I410" t="s">
        <v>218</v>
      </c>
      <c r="J410" t="s">
        <v>2055</v>
      </c>
    </row>
    <row r="411" spans="1:10" x14ac:dyDescent="0.2">
      <c r="A411" t="s">
        <v>419</v>
      </c>
      <c r="B411" t="s">
        <v>2056</v>
      </c>
      <c r="C411">
        <v>4</v>
      </c>
      <c r="D411" t="s">
        <v>2057</v>
      </c>
      <c r="E411">
        <v>4</v>
      </c>
      <c r="G411" t="s">
        <v>62</v>
      </c>
      <c r="H411" t="s">
        <v>132</v>
      </c>
      <c r="I411" t="s">
        <v>218</v>
      </c>
      <c r="J411" t="s">
        <v>2058</v>
      </c>
    </row>
    <row r="412" spans="1:10" x14ac:dyDescent="0.2">
      <c r="A412" t="s">
        <v>420</v>
      </c>
      <c r="B412" t="s">
        <v>2059</v>
      </c>
      <c r="C412">
        <v>1</v>
      </c>
      <c r="D412" t="s">
        <v>2060</v>
      </c>
      <c r="E412">
        <v>0</v>
      </c>
      <c r="F412" t="s">
        <v>174</v>
      </c>
      <c r="G412" t="s">
        <v>63</v>
      </c>
      <c r="H412" t="s">
        <v>84</v>
      </c>
      <c r="I412" t="s">
        <v>222</v>
      </c>
    </row>
    <row r="413" spans="1:10" x14ac:dyDescent="0.2">
      <c r="A413" t="s">
        <v>420</v>
      </c>
      <c r="B413" t="s">
        <v>2061</v>
      </c>
      <c r="C413">
        <v>2</v>
      </c>
      <c r="D413" t="s">
        <v>2062</v>
      </c>
      <c r="E413">
        <v>2</v>
      </c>
      <c r="F413" t="s">
        <v>174</v>
      </c>
      <c r="G413" t="s">
        <v>63</v>
      </c>
      <c r="H413" t="s">
        <v>73</v>
      </c>
      <c r="I413" t="s">
        <v>222</v>
      </c>
    </row>
    <row r="414" spans="1:10" x14ac:dyDescent="0.2">
      <c r="A414" t="s">
        <v>420</v>
      </c>
      <c r="B414" t="s">
        <v>2063</v>
      </c>
      <c r="C414">
        <v>3</v>
      </c>
      <c r="D414" t="s">
        <v>2064</v>
      </c>
      <c r="E414">
        <v>3</v>
      </c>
      <c r="F414" t="s">
        <v>174</v>
      </c>
      <c r="G414" t="s">
        <v>63</v>
      </c>
      <c r="H414" t="s">
        <v>84</v>
      </c>
      <c r="I414" t="s">
        <v>218</v>
      </c>
      <c r="J414" t="s">
        <v>2065</v>
      </c>
    </row>
    <row r="415" spans="1:10" x14ac:dyDescent="0.2">
      <c r="A415" t="s">
        <v>421</v>
      </c>
      <c r="B415" t="s">
        <v>2066</v>
      </c>
      <c r="C415">
        <v>1</v>
      </c>
      <c r="D415" t="s">
        <v>2067</v>
      </c>
      <c r="E415">
        <v>0</v>
      </c>
      <c r="F415" t="s">
        <v>176</v>
      </c>
      <c r="G415" t="s">
        <v>64</v>
      </c>
      <c r="H415" t="s">
        <v>68</v>
      </c>
      <c r="I415" t="s">
        <v>222</v>
      </c>
    </row>
    <row r="416" spans="1:10" x14ac:dyDescent="0.2">
      <c r="A416" t="s">
        <v>421</v>
      </c>
      <c r="B416" t="s">
        <v>2068</v>
      </c>
      <c r="C416">
        <v>2</v>
      </c>
      <c r="D416" t="s">
        <v>2069</v>
      </c>
      <c r="E416">
        <v>1</v>
      </c>
      <c r="G416" t="s">
        <v>60</v>
      </c>
      <c r="H416" t="s">
        <v>68</v>
      </c>
      <c r="I416" t="s">
        <v>222</v>
      </c>
    </row>
    <row r="417" spans="1:10" x14ac:dyDescent="0.2">
      <c r="A417" t="s">
        <v>421</v>
      </c>
      <c r="B417" t="s">
        <v>2070</v>
      </c>
      <c r="C417">
        <v>3</v>
      </c>
      <c r="D417" t="s">
        <v>2071</v>
      </c>
      <c r="E417">
        <v>3</v>
      </c>
      <c r="G417" t="s">
        <v>59</v>
      </c>
      <c r="H417" t="s">
        <v>78</v>
      </c>
      <c r="I417" t="s">
        <v>218</v>
      </c>
      <c r="J417" t="s">
        <v>2072</v>
      </c>
    </row>
    <row r="418" spans="1:10" x14ac:dyDescent="0.2">
      <c r="A418" t="s">
        <v>421</v>
      </c>
      <c r="B418" t="s">
        <v>2073</v>
      </c>
      <c r="C418">
        <v>4</v>
      </c>
      <c r="D418" t="s">
        <v>2074</v>
      </c>
      <c r="E418">
        <v>4</v>
      </c>
      <c r="G418" t="s">
        <v>59</v>
      </c>
      <c r="H418" t="s">
        <v>139</v>
      </c>
      <c r="I418" t="s">
        <v>218</v>
      </c>
      <c r="J418" t="s">
        <v>2075</v>
      </c>
    </row>
    <row r="419" spans="1:10" x14ac:dyDescent="0.2">
      <c r="A419" t="s">
        <v>422</v>
      </c>
      <c r="B419" t="s">
        <v>2076</v>
      </c>
      <c r="C419">
        <v>1</v>
      </c>
      <c r="D419" t="s">
        <v>2077</v>
      </c>
      <c r="E419">
        <v>0</v>
      </c>
      <c r="G419" t="s">
        <v>62</v>
      </c>
      <c r="H419" t="s">
        <v>136</v>
      </c>
      <c r="I419" t="s">
        <v>222</v>
      </c>
    </row>
    <row r="420" spans="1:10" x14ac:dyDescent="0.2">
      <c r="A420" t="s">
        <v>422</v>
      </c>
      <c r="B420" t="s">
        <v>2078</v>
      </c>
      <c r="C420">
        <v>2</v>
      </c>
      <c r="D420" t="s">
        <v>2079</v>
      </c>
      <c r="E420">
        <v>2</v>
      </c>
      <c r="G420" t="s">
        <v>62</v>
      </c>
      <c r="H420" t="s">
        <v>136</v>
      </c>
      <c r="I420" t="s">
        <v>222</v>
      </c>
    </row>
    <row r="421" spans="1:10" x14ac:dyDescent="0.2">
      <c r="A421" t="s">
        <v>422</v>
      </c>
      <c r="B421" t="s">
        <v>2080</v>
      </c>
      <c r="C421">
        <v>3</v>
      </c>
      <c r="D421" t="s">
        <v>2081</v>
      </c>
      <c r="E421">
        <v>3</v>
      </c>
      <c r="G421" t="s">
        <v>62</v>
      </c>
      <c r="H421" t="s">
        <v>136</v>
      </c>
      <c r="I421" t="s">
        <v>218</v>
      </c>
      <c r="J421" t="s">
        <v>2082</v>
      </c>
    </row>
    <row r="422" spans="1:10" x14ac:dyDescent="0.2">
      <c r="A422" t="s">
        <v>422</v>
      </c>
      <c r="B422" t="s">
        <v>2083</v>
      </c>
      <c r="C422">
        <v>4</v>
      </c>
      <c r="D422" t="s">
        <v>2084</v>
      </c>
      <c r="E422">
        <v>4</v>
      </c>
      <c r="G422" t="s">
        <v>62</v>
      </c>
      <c r="H422" t="s">
        <v>83</v>
      </c>
      <c r="I422" t="s">
        <v>218</v>
      </c>
      <c r="J422" t="s">
        <v>2085</v>
      </c>
    </row>
    <row r="423" spans="1:10" x14ac:dyDescent="0.2">
      <c r="A423" t="s">
        <v>423</v>
      </c>
      <c r="B423" t="s">
        <v>2086</v>
      </c>
      <c r="C423">
        <v>1</v>
      </c>
      <c r="D423" t="s">
        <v>2087</v>
      </c>
      <c r="E423">
        <v>0</v>
      </c>
      <c r="F423" t="s">
        <v>180</v>
      </c>
      <c r="G423" t="s">
        <v>57</v>
      </c>
      <c r="H423" t="s">
        <v>144</v>
      </c>
      <c r="I423" t="s">
        <v>222</v>
      </c>
    </row>
    <row r="424" spans="1:10" x14ac:dyDescent="0.2">
      <c r="A424" t="s">
        <v>423</v>
      </c>
      <c r="B424" t="s">
        <v>2088</v>
      </c>
      <c r="C424">
        <v>2</v>
      </c>
      <c r="D424" t="s">
        <v>2089</v>
      </c>
      <c r="E424">
        <v>2</v>
      </c>
      <c r="F424" t="s">
        <v>174</v>
      </c>
      <c r="G424" t="s">
        <v>57</v>
      </c>
      <c r="H424" t="s">
        <v>84</v>
      </c>
      <c r="I424" t="s">
        <v>222</v>
      </c>
    </row>
    <row r="425" spans="1:10" x14ac:dyDescent="0.2">
      <c r="A425" t="s">
        <v>423</v>
      </c>
      <c r="B425" t="s">
        <v>2090</v>
      </c>
      <c r="C425">
        <v>3</v>
      </c>
      <c r="D425" t="s">
        <v>2091</v>
      </c>
      <c r="E425">
        <v>3</v>
      </c>
      <c r="G425" t="s">
        <v>57</v>
      </c>
      <c r="H425" t="s">
        <v>144</v>
      </c>
      <c r="I425" t="s">
        <v>218</v>
      </c>
      <c r="J425" t="s">
        <v>2092</v>
      </c>
    </row>
    <row r="426" spans="1:10" x14ac:dyDescent="0.2">
      <c r="A426" t="s">
        <v>424</v>
      </c>
      <c r="B426" t="s">
        <v>2093</v>
      </c>
      <c r="C426">
        <v>1</v>
      </c>
      <c r="D426" t="s">
        <v>2094</v>
      </c>
      <c r="E426">
        <v>0</v>
      </c>
      <c r="F426" t="s">
        <v>2095</v>
      </c>
      <c r="G426" t="s">
        <v>55</v>
      </c>
      <c r="H426" t="s">
        <v>79</v>
      </c>
      <c r="I426" t="s">
        <v>222</v>
      </c>
    </row>
    <row r="427" spans="1:10" x14ac:dyDescent="0.2">
      <c r="A427" t="s">
        <v>424</v>
      </c>
      <c r="B427" t="s">
        <v>2096</v>
      </c>
      <c r="C427">
        <v>2</v>
      </c>
      <c r="D427" t="s">
        <v>2097</v>
      </c>
      <c r="E427">
        <v>1</v>
      </c>
      <c r="F427" t="s">
        <v>172</v>
      </c>
      <c r="G427" t="s">
        <v>61</v>
      </c>
      <c r="H427" t="s">
        <v>79</v>
      </c>
      <c r="I427" t="s">
        <v>222</v>
      </c>
    </row>
    <row r="428" spans="1:10" x14ac:dyDescent="0.2">
      <c r="A428" t="s">
        <v>424</v>
      </c>
      <c r="B428" t="s">
        <v>2098</v>
      </c>
      <c r="C428">
        <v>3</v>
      </c>
      <c r="D428" t="s">
        <v>2099</v>
      </c>
      <c r="E428">
        <v>3</v>
      </c>
      <c r="G428" t="s">
        <v>55</v>
      </c>
      <c r="H428" t="s">
        <v>145</v>
      </c>
      <c r="I428" t="s">
        <v>222</v>
      </c>
    </row>
    <row r="429" spans="1:10" x14ac:dyDescent="0.2">
      <c r="A429" t="s">
        <v>424</v>
      </c>
      <c r="B429" t="s">
        <v>2100</v>
      </c>
      <c r="C429">
        <v>4</v>
      </c>
      <c r="D429" t="s">
        <v>2101</v>
      </c>
      <c r="E429">
        <v>4</v>
      </c>
      <c r="G429" t="s">
        <v>55</v>
      </c>
      <c r="H429" t="s">
        <v>145</v>
      </c>
      <c r="I429" t="s">
        <v>218</v>
      </c>
      <c r="J429" t="s">
        <v>2102</v>
      </c>
    </row>
    <row r="430" spans="1:10" x14ac:dyDescent="0.2">
      <c r="A430" t="s">
        <v>425</v>
      </c>
      <c r="B430" t="s">
        <v>2103</v>
      </c>
      <c r="C430">
        <v>1</v>
      </c>
      <c r="D430" t="s">
        <v>2104</v>
      </c>
      <c r="E430">
        <v>0</v>
      </c>
      <c r="F430" t="s">
        <v>248</v>
      </c>
      <c r="G430" t="s">
        <v>59</v>
      </c>
      <c r="H430" t="s">
        <v>78</v>
      </c>
      <c r="I430" t="s">
        <v>222</v>
      </c>
    </row>
    <row r="431" spans="1:10" x14ac:dyDescent="0.2">
      <c r="A431" t="s">
        <v>425</v>
      </c>
      <c r="B431" t="s">
        <v>2105</v>
      </c>
      <c r="C431">
        <v>2</v>
      </c>
      <c r="D431" t="s">
        <v>2106</v>
      </c>
      <c r="E431">
        <v>2</v>
      </c>
      <c r="G431" t="s">
        <v>59</v>
      </c>
      <c r="H431" t="s">
        <v>78</v>
      </c>
      <c r="I431" t="s">
        <v>222</v>
      </c>
    </row>
    <row r="432" spans="1:10" x14ac:dyDescent="0.2">
      <c r="A432" t="s">
        <v>425</v>
      </c>
      <c r="B432" t="s">
        <v>2107</v>
      </c>
      <c r="C432">
        <v>3</v>
      </c>
      <c r="D432" t="s">
        <v>2108</v>
      </c>
      <c r="E432">
        <v>3</v>
      </c>
      <c r="G432" t="s">
        <v>59</v>
      </c>
      <c r="H432" t="s">
        <v>139</v>
      </c>
      <c r="I432" t="s">
        <v>218</v>
      </c>
      <c r="J432" t="s">
        <v>2109</v>
      </c>
    </row>
    <row r="433" spans="1:10" x14ac:dyDescent="0.2">
      <c r="A433" t="s">
        <v>425</v>
      </c>
      <c r="B433" t="s">
        <v>2110</v>
      </c>
      <c r="C433">
        <v>4</v>
      </c>
      <c r="D433" t="s">
        <v>2111</v>
      </c>
      <c r="E433">
        <v>4</v>
      </c>
      <c r="G433" t="s">
        <v>59</v>
      </c>
      <c r="H433" t="s">
        <v>139</v>
      </c>
      <c r="I433" t="s">
        <v>218</v>
      </c>
      <c r="J433" t="s">
        <v>2112</v>
      </c>
    </row>
    <row r="434" spans="1:10" x14ac:dyDescent="0.2">
      <c r="A434" t="s">
        <v>426</v>
      </c>
      <c r="B434" t="s">
        <v>2113</v>
      </c>
      <c r="C434">
        <v>1</v>
      </c>
      <c r="D434" t="s">
        <v>2114</v>
      </c>
      <c r="E434">
        <v>0</v>
      </c>
      <c r="F434" t="s">
        <v>174</v>
      </c>
      <c r="G434" t="s">
        <v>63</v>
      </c>
      <c r="H434" t="s">
        <v>78</v>
      </c>
      <c r="I434" t="s">
        <v>222</v>
      </c>
    </row>
    <row r="435" spans="1:10" x14ac:dyDescent="0.2">
      <c r="A435" t="s">
        <v>426</v>
      </c>
      <c r="B435" t="s">
        <v>2115</v>
      </c>
      <c r="C435">
        <v>2</v>
      </c>
      <c r="D435" t="s">
        <v>2116</v>
      </c>
      <c r="E435">
        <v>2</v>
      </c>
      <c r="G435" t="s">
        <v>60</v>
      </c>
      <c r="H435" t="s">
        <v>78</v>
      </c>
      <c r="I435" t="s">
        <v>222</v>
      </c>
    </row>
    <row r="436" spans="1:10" x14ac:dyDescent="0.2">
      <c r="A436" t="s">
        <v>426</v>
      </c>
      <c r="B436" t="s">
        <v>2117</v>
      </c>
      <c r="C436">
        <v>3</v>
      </c>
      <c r="D436" t="s">
        <v>2118</v>
      </c>
      <c r="E436">
        <v>3</v>
      </c>
      <c r="G436" t="s">
        <v>62</v>
      </c>
      <c r="H436" t="s">
        <v>78</v>
      </c>
      <c r="I436" t="s">
        <v>218</v>
      </c>
      <c r="J436" t="s">
        <v>2119</v>
      </c>
    </row>
    <row r="437" spans="1:10" x14ac:dyDescent="0.2">
      <c r="A437" t="s">
        <v>427</v>
      </c>
      <c r="B437" t="s">
        <v>2120</v>
      </c>
      <c r="C437">
        <v>1</v>
      </c>
      <c r="D437" t="s">
        <v>2121</v>
      </c>
      <c r="E437">
        <v>0</v>
      </c>
      <c r="F437" t="s">
        <v>248</v>
      </c>
      <c r="G437" t="s">
        <v>59</v>
      </c>
      <c r="H437" t="s">
        <v>78</v>
      </c>
      <c r="I437" t="s">
        <v>222</v>
      </c>
    </row>
    <row r="438" spans="1:10" x14ac:dyDescent="0.2">
      <c r="A438" t="s">
        <v>427</v>
      </c>
      <c r="B438" t="s">
        <v>2122</v>
      </c>
      <c r="C438">
        <v>2</v>
      </c>
      <c r="D438" t="s">
        <v>2123</v>
      </c>
      <c r="E438">
        <v>2</v>
      </c>
      <c r="G438" t="s">
        <v>59</v>
      </c>
      <c r="H438" t="s">
        <v>76</v>
      </c>
      <c r="I438" t="s">
        <v>222</v>
      </c>
    </row>
    <row r="439" spans="1:10" x14ac:dyDescent="0.2">
      <c r="A439" t="s">
        <v>427</v>
      </c>
      <c r="B439" t="s">
        <v>2124</v>
      </c>
      <c r="C439">
        <v>3</v>
      </c>
      <c r="D439" t="s">
        <v>2125</v>
      </c>
      <c r="E439">
        <v>3</v>
      </c>
      <c r="G439" t="s">
        <v>59</v>
      </c>
      <c r="H439" t="s">
        <v>139</v>
      </c>
      <c r="I439" t="s">
        <v>218</v>
      </c>
      <c r="J439" t="s">
        <v>2126</v>
      </c>
    </row>
    <row r="440" spans="1:10" x14ac:dyDescent="0.2">
      <c r="A440" t="s">
        <v>427</v>
      </c>
      <c r="B440" t="s">
        <v>2127</v>
      </c>
      <c r="C440">
        <v>4</v>
      </c>
      <c r="D440" t="s">
        <v>2128</v>
      </c>
      <c r="E440">
        <v>4</v>
      </c>
      <c r="G440" t="s">
        <v>59</v>
      </c>
      <c r="H440" t="s">
        <v>139</v>
      </c>
      <c r="I440" t="s">
        <v>218</v>
      </c>
      <c r="J440" t="s">
        <v>2129</v>
      </c>
    </row>
    <row r="441" spans="1:10" x14ac:dyDescent="0.2">
      <c r="A441" t="s">
        <v>428</v>
      </c>
      <c r="B441" t="s">
        <v>2130</v>
      </c>
      <c r="C441">
        <v>1</v>
      </c>
      <c r="D441" t="s">
        <v>2131</v>
      </c>
      <c r="E441">
        <v>0</v>
      </c>
      <c r="F441" t="s">
        <v>276</v>
      </c>
      <c r="G441" t="s">
        <v>66</v>
      </c>
      <c r="H441" t="s">
        <v>80</v>
      </c>
      <c r="I441" t="s">
        <v>222</v>
      </c>
    </row>
    <row r="442" spans="1:10" x14ac:dyDescent="0.2">
      <c r="A442" t="s">
        <v>428</v>
      </c>
      <c r="B442" t="s">
        <v>2132</v>
      </c>
      <c r="C442">
        <v>2</v>
      </c>
      <c r="D442" t="s">
        <v>2133</v>
      </c>
      <c r="E442">
        <v>2</v>
      </c>
      <c r="G442" t="s">
        <v>66</v>
      </c>
      <c r="H442" t="s">
        <v>80</v>
      </c>
      <c r="I442" t="s">
        <v>222</v>
      </c>
    </row>
    <row r="443" spans="1:10" x14ac:dyDescent="0.2">
      <c r="A443" t="s">
        <v>428</v>
      </c>
      <c r="B443" t="s">
        <v>2134</v>
      </c>
      <c r="C443">
        <v>3</v>
      </c>
      <c r="D443" t="s">
        <v>2135</v>
      </c>
      <c r="E443">
        <v>3</v>
      </c>
      <c r="G443" t="s">
        <v>66</v>
      </c>
      <c r="H443" t="s">
        <v>80</v>
      </c>
      <c r="I443" t="s">
        <v>218</v>
      </c>
      <c r="J443" t="s">
        <v>2136</v>
      </c>
    </row>
    <row r="444" spans="1:10" x14ac:dyDescent="0.2">
      <c r="A444" t="s">
        <v>428</v>
      </c>
      <c r="B444" t="s">
        <v>2137</v>
      </c>
      <c r="C444">
        <v>4</v>
      </c>
      <c r="D444" t="s">
        <v>2138</v>
      </c>
      <c r="E444">
        <v>4</v>
      </c>
      <c r="G444" t="s">
        <v>66</v>
      </c>
      <c r="H444" t="s">
        <v>80</v>
      </c>
      <c r="I444" t="s">
        <v>218</v>
      </c>
      <c r="J444" t="s">
        <v>2139</v>
      </c>
    </row>
    <row r="445" spans="1:10" x14ac:dyDescent="0.2">
      <c r="A445" t="s">
        <v>429</v>
      </c>
      <c r="B445" t="s">
        <v>2140</v>
      </c>
      <c r="C445">
        <v>1</v>
      </c>
      <c r="D445" t="s">
        <v>2141</v>
      </c>
      <c r="E445">
        <v>0</v>
      </c>
      <c r="F445" t="s">
        <v>180</v>
      </c>
      <c r="G445" t="s">
        <v>57</v>
      </c>
      <c r="H445" t="s">
        <v>75</v>
      </c>
      <c r="I445" t="s">
        <v>222</v>
      </c>
    </row>
    <row r="446" spans="1:10" x14ac:dyDescent="0.2">
      <c r="A446" t="s">
        <v>429</v>
      </c>
      <c r="B446" t="s">
        <v>2142</v>
      </c>
      <c r="C446">
        <v>2</v>
      </c>
      <c r="D446" t="s">
        <v>2143</v>
      </c>
      <c r="E446">
        <v>2</v>
      </c>
      <c r="G446" t="s">
        <v>57</v>
      </c>
      <c r="H446" t="s">
        <v>75</v>
      </c>
      <c r="I446" t="s">
        <v>222</v>
      </c>
    </row>
    <row r="447" spans="1:10" x14ac:dyDescent="0.2">
      <c r="A447" t="s">
        <v>429</v>
      </c>
      <c r="B447" t="s">
        <v>2144</v>
      </c>
      <c r="C447">
        <v>3</v>
      </c>
      <c r="D447" t="s">
        <v>2145</v>
      </c>
      <c r="E447">
        <v>3</v>
      </c>
      <c r="G447" t="s">
        <v>62</v>
      </c>
      <c r="H447" t="s">
        <v>146</v>
      </c>
      <c r="I447" t="s">
        <v>218</v>
      </c>
      <c r="J447" t="s">
        <v>2146</v>
      </c>
    </row>
    <row r="448" spans="1:10" x14ac:dyDescent="0.2">
      <c r="A448" t="s">
        <v>430</v>
      </c>
      <c r="B448" t="s">
        <v>2147</v>
      </c>
      <c r="C448">
        <v>1</v>
      </c>
      <c r="D448" t="s">
        <v>2148</v>
      </c>
      <c r="E448">
        <v>0</v>
      </c>
      <c r="G448" t="s">
        <v>62</v>
      </c>
      <c r="H448" t="s">
        <v>80</v>
      </c>
      <c r="I448" t="s">
        <v>222</v>
      </c>
    </row>
    <row r="449" spans="1:10" x14ac:dyDescent="0.2">
      <c r="A449" t="s">
        <v>430</v>
      </c>
      <c r="B449" t="s">
        <v>2149</v>
      </c>
      <c r="C449">
        <v>2</v>
      </c>
      <c r="D449" t="s">
        <v>2150</v>
      </c>
      <c r="E449">
        <v>1</v>
      </c>
      <c r="F449" t="s">
        <v>172</v>
      </c>
      <c r="G449" t="s">
        <v>61</v>
      </c>
      <c r="H449" t="s">
        <v>80</v>
      </c>
      <c r="I449" t="s">
        <v>222</v>
      </c>
    </row>
    <row r="450" spans="1:10" x14ac:dyDescent="0.2">
      <c r="A450" t="s">
        <v>430</v>
      </c>
      <c r="B450" t="s">
        <v>2151</v>
      </c>
      <c r="C450">
        <v>3</v>
      </c>
      <c r="D450" t="s">
        <v>2152</v>
      </c>
      <c r="E450">
        <v>3</v>
      </c>
      <c r="G450" t="s">
        <v>62</v>
      </c>
      <c r="H450" t="s">
        <v>136</v>
      </c>
      <c r="I450" t="s">
        <v>218</v>
      </c>
      <c r="J450" t="s">
        <v>2153</v>
      </c>
    </row>
    <row r="451" spans="1:10" x14ac:dyDescent="0.2">
      <c r="A451" t="s">
        <v>430</v>
      </c>
      <c r="B451" t="s">
        <v>2154</v>
      </c>
      <c r="C451">
        <v>4</v>
      </c>
      <c r="D451" t="s">
        <v>2155</v>
      </c>
      <c r="E451">
        <v>4</v>
      </c>
      <c r="G451" t="s">
        <v>62</v>
      </c>
      <c r="H451" t="s">
        <v>136</v>
      </c>
      <c r="I451" t="s">
        <v>218</v>
      </c>
      <c r="J451" t="s">
        <v>2156</v>
      </c>
    </row>
    <row r="452" spans="1:10" x14ac:dyDescent="0.2">
      <c r="A452" t="s">
        <v>431</v>
      </c>
      <c r="B452" t="s">
        <v>2157</v>
      </c>
      <c r="C452">
        <v>1</v>
      </c>
      <c r="D452" t="s">
        <v>2158</v>
      </c>
      <c r="E452">
        <v>0</v>
      </c>
      <c r="F452" t="s">
        <v>172</v>
      </c>
      <c r="G452" t="s">
        <v>61</v>
      </c>
      <c r="H452" t="s">
        <v>132</v>
      </c>
      <c r="I452" t="s">
        <v>222</v>
      </c>
    </row>
    <row r="453" spans="1:10" x14ac:dyDescent="0.2">
      <c r="A453" t="s">
        <v>431</v>
      </c>
      <c r="B453" t="s">
        <v>2159</v>
      </c>
      <c r="C453">
        <v>2</v>
      </c>
      <c r="D453" t="s">
        <v>2160</v>
      </c>
      <c r="E453">
        <v>2</v>
      </c>
      <c r="G453" t="s">
        <v>60</v>
      </c>
      <c r="H453" t="s">
        <v>132</v>
      </c>
      <c r="I453" t="s">
        <v>222</v>
      </c>
    </row>
    <row r="454" spans="1:10" x14ac:dyDescent="0.2">
      <c r="A454" t="s">
        <v>431</v>
      </c>
      <c r="B454" t="s">
        <v>2161</v>
      </c>
      <c r="C454">
        <v>3</v>
      </c>
      <c r="D454" t="s">
        <v>2162</v>
      </c>
      <c r="E454">
        <v>3</v>
      </c>
      <c r="G454" t="s">
        <v>62</v>
      </c>
      <c r="H454" t="s">
        <v>132</v>
      </c>
      <c r="I454" t="s">
        <v>218</v>
      </c>
      <c r="J454" t="s">
        <v>2163</v>
      </c>
    </row>
    <row r="455" spans="1:10" x14ac:dyDescent="0.2">
      <c r="A455" t="s">
        <v>431</v>
      </c>
      <c r="B455" t="s">
        <v>2164</v>
      </c>
      <c r="C455">
        <v>4</v>
      </c>
      <c r="D455" t="s">
        <v>2165</v>
      </c>
      <c r="E455">
        <v>4</v>
      </c>
      <c r="G455" t="s">
        <v>62</v>
      </c>
      <c r="H455" t="s">
        <v>146</v>
      </c>
      <c r="I455" t="s">
        <v>218</v>
      </c>
      <c r="J455" t="s">
        <v>2166</v>
      </c>
    </row>
    <row r="456" spans="1:10" x14ac:dyDescent="0.2">
      <c r="A456" t="s">
        <v>432</v>
      </c>
      <c r="B456" t="s">
        <v>2167</v>
      </c>
      <c r="C456">
        <v>1</v>
      </c>
      <c r="D456" t="s">
        <v>2168</v>
      </c>
      <c r="E456">
        <v>0</v>
      </c>
      <c r="G456" t="s">
        <v>62</v>
      </c>
      <c r="H456" t="s">
        <v>132</v>
      </c>
      <c r="I456" t="s">
        <v>222</v>
      </c>
    </row>
    <row r="457" spans="1:10" x14ac:dyDescent="0.2">
      <c r="A457" t="s">
        <v>432</v>
      </c>
      <c r="B457" t="s">
        <v>2169</v>
      </c>
      <c r="C457">
        <v>2</v>
      </c>
      <c r="D457" t="s">
        <v>2170</v>
      </c>
      <c r="E457">
        <v>2</v>
      </c>
      <c r="F457" t="s">
        <v>174</v>
      </c>
      <c r="G457" t="s">
        <v>63</v>
      </c>
      <c r="H457" t="s">
        <v>84</v>
      </c>
      <c r="I457" t="s">
        <v>222</v>
      </c>
    </row>
    <row r="458" spans="1:10" x14ac:dyDescent="0.2">
      <c r="A458" t="s">
        <v>432</v>
      </c>
      <c r="B458" t="s">
        <v>2171</v>
      </c>
      <c r="C458">
        <v>3</v>
      </c>
      <c r="D458" t="s">
        <v>2172</v>
      </c>
      <c r="E458">
        <v>3</v>
      </c>
      <c r="G458" t="s">
        <v>62</v>
      </c>
      <c r="H458" t="s">
        <v>132</v>
      </c>
      <c r="I458" t="s">
        <v>218</v>
      </c>
      <c r="J458" t="s">
        <v>2173</v>
      </c>
    </row>
    <row r="459" spans="1:10" x14ac:dyDescent="0.2">
      <c r="A459" t="s">
        <v>433</v>
      </c>
      <c r="B459" t="s">
        <v>2174</v>
      </c>
      <c r="C459">
        <v>1</v>
      </c>
      <c r="D459" t="s">
        <v>2175</v>
      </c>
      <c r="E459">
        <v>0</v>
      </c>
      <c r="F459" t="s">
        <v>172</v>
      </c>
      <c r="G459" t="s">
        <v>61</v>
      </c>
      <c r="H459" t="s">
        <v>146</v>
      </c>
      <c r="I459" t="s">
        <v>222</v>
      </c>
    </row>
    <row r="460" spans="1:10" x14ac:dyDescent="0.2">
      <c r="A460" t="s">
        <v>433</v>
      </c>
      <c r="B460" t="s">
        <v>2176</v>
      </c>
      <c r="C460">
        <v>2</v>
      </c>
      <c r="D460" t="s">
        <v>2177</v>
      </c>
      <c r="E460">
        <v>2</v>
      </c>
      <c r="G460" t="s">
        <v>60</v>
      </c>
      <c r="H460" t="s">
        <v>146</v>
      </c>
      <c r="I460" t="s">
        <v>222</v>
      </c>
    </row>
    <row r="461" spans="1:10" x14ac:dyDescent="0.2">
      <c r="A461" t="s">
        <v>433</v>
      </c>
      <c r="B461" t="s">
        <v>2178</v>
      </c>
      <c r="C461">
        <v>3</v>
      </c>
      <c r="D461" t="s">
        <v>2179</v>
      </c>
      <c r="E461">
        <v>3</v>
      </c>
      <c r="G461" t="s">
        <v>62</v>
      </c>
      <c r="H461" t="s">
        <v>146</v>
      </c>
      <c r="I461" t="s">
        <v>218</v>
      </c>
      <c r="J461" t="s">
        <v>2180</v>
      </c>
    </row>
    <row r="462" spans="1:10" x14ac:dyDescent="0.2">
      <c r="A462" t="s">
        <v>433</v>
      </c>
      <c r="B462" t="s">
        <v>2181</v>
      </c>
      <c r="C462">
        <v>4</v>
      </c>
      <c r="D462" t="s">
        <v>2182</v>
      </c>
      <c r="E462">
        <v>4</v>
      </c>
      <c r="G462" t="s">
        <v>62</v>
      </c>
      <c r="H462" t="s">
        <v>146</v>
      </c>
      <c r="I462" t="s">
        <v>218</v>
      </c>
      <c r="J462" t="s">
        <v>2183</v>
      </c>
    </row>
    <row r="463" spans="1:10" x14ac:dyDescent="0.2">
      <c r="A463" t="s">
        <v>814</v>
      </c>
      <c r="B463" t="s">
        <v>2184</v>
      </c>
      <c r="C463">
        <v>1</v>
      </c>
      <c r="D463" t="s">
        <v>1017</v>
      </c>
      <c r="E463">
        <v>0</v>
      </c>
      <c r="F463" t="s">
        <v>273</v>
      </c>
      <c r="G463" t="s">
        <v>65</v>
      </c>
      <c r="H463" t="s">
        <v>88</v>
      </c>
      <c r="I463" t="s">
        <v>222</v>
      </c>
      <c r="J463" t="s">
        <v>2185</v>
      </c>
    </row>
    <row r="464" spans="1:10" x14ac:dyDescent="0.2">
      <c r="A464" t="s">
        <v>814</v>
      </c>
      <c r="B464" t="s">
        <v>2186</v>
      </c>
      <c r="C464">
        <v>2</v>
      </c>
      <c r="D464" t="s">
        <v>2187</v>
      </c>
      <c r="E464">
        <v>0</v>
      </c>
      <c r="F464" t="s">
        <v>2188</v>
      </c>
      <c r="G464" t="s">
        <v>66</v>
      </c>
      <c r="H464" t="s">
        <v>77</v>
      </c>
      <c r="I464" t="s">
        <v>222</v>
      </c>
      <c r="J464" t="s">
        <v>2189</v>
      </c>
    </row>
    <row r="465" spans="1:10" x14ac:dyDescent="0.2">
      <c r="A465" t="s">
        <v>814</v>
      </c>
      <c r="B465" t="s">
        <v>2190</v>
      </c>
      <c r="C465">
        <v>3</v>
      </c>
      <c r="D465" t="s">
        <v>2191</v>
      </c>
      <c r="E465">
        <v>1</v>
      </c>
      <c r="F465" t="s">
        <v>2192</v>
      </c>
      <c r="G465" t="s">
        <v>66</v>
      </c>
      <c r="H465" t="s">
        <v>77</v>
      </c>
      <c r="I465" t="s">
        <v>222</v>
      </c>
      <c r="J465" t="s">
        <v>2193</v>
      </c>
    </row>
    <row r="466" spans="1:10" x14ac:dyDescent="0.2">
      <c r="A466" t="s">
        <v>814</v>
      </c>
      <c r="B466" t="s">
        <v>2194</v>
      </c>
      <c r="C466">
        <v>4</v>
      </c>
      <c r="D466" t="s">
        <v>2195</v>
      </c>
      <c r="E466">
        <v>2</v>
      </c>
      <c r="F466" t="s">
        <v>2196</v>
      </c>
      <c r="G466" t="s">
        <v>61</v>
      </c>
      <c r="H466" t="s">
        <v>81</v>
      </c>
      <c r="I466" t="s">
        <v>222</v>
      </c>
      <c r="J466" t="s">
        <v>2197</v>
      </c>
    </row>
    <row r="467" spans="1:10" x14ac:dyDescent="0.2">
      <c r="A467" t="s">
        <v>814</v>
      </c>
      <c r="B467" t="s">
        <v>2198</v>
      </c>
      <c r="C467">
        <v>5</v>
      </c>
      <c r="D467" t="s">
        <v>2199</v>
      </c>
      <c r="E467">
        <v>3</v>
      </c>
      <c r="F467" t="s">
        <v>2200</v>
      </c>
      <c r="H467" t="s">
        <v>148</v>
      </c>
      <c r="I467" t="s">
        <v>222</v>
      </c>
      <c r="J467" t="s">
        <v>2201</v>
      </c>
    </row>
    <row r="468" spans="1:10" x14ac:dyDescent="0.2">
      <c r="A468" t="s">
        <v>814</v>
      </c>
      <c r="B468" t="s">
        <v>2202</v>
      </c>
      <c r="C468">
        <v>6</v>
      </c>
      <c r="D468" t="s">
        <v>2203</v>
      </c>
      <c r="E468">
        <v>4</v>
      </c>
      <c r="F468" t="s">
        <v>2204</v>
      </c>
      <c r="H468" t="s">
        <v>148</v>
      </c>
      <c r="I468" t="s">
        <v>222</v>
      </c>
      <c r="J468" t="s">
        <v>2205</v>
      </c>
    </row>
    <row r="469" spans="1:10" x14ac:dyDescent="0.2">
      <c r="A469" t="s">
        <v>818</v>
      </c>
      <c r="B469" t="s">
        <v>2206</v>
      </c>
      <c r="C469">
        <v>1</v>
      </c>
      <c r="D469" t="s">
        <v>1017</v>
      </c>
      <c r="E469">
        <v>0</v>
      </c>
      <c r="F469" t="s">
        <v>273</v>
      </c>
      <c r="G469" t="s">
        <v>65</v>
      </c>
      <c r="H469" t="s">
        <v>88</v>
      </c>
      <c r="I469" t="s">
        <v>222</v>
      </c>
      <c r="J469" t="s">
        <v>2185</v>
      </c>
    </row>
    <row r="470" spans="1:10" x14ac:dyDescent="0.2">
      <c r="A470" t="s">
        <v>818</v>
      </c>
      <c r="B470" t="s">
        <v>2207</v>
      </c>
      <c r="C470">
        <v>2</v>
      </c>
      <c r="D470" t="s">
        <v>2208</v>
      </c>
      <c r="E470">
        <v>0</v>
      </c>
      <c r="F470" t="s">
        <v>2209</v>
      </c>
      <c r="G470" t="s">
        <v>59</v>
      </c>
      <c r="H470" t="s">
        <v>78</v>
      </c>
      <c r="I470" t="s">
        <v>222</v>
      </c>
      <c r="J470" t="s">
        <v>2210</v>
      </c>
    </row>
    <row r="471" spans="1:10" x14ac:dyDescent="0.2">
      <c r="A471" t="s">
        <v>818</v>
      </c>
      <c r="B471" t="s">
        <v>2211</v>
      </c>
      <c r="C471">
        <v>3</v>
      </c>
      <c r="D471" t="s">
        <v>2212</v>
      </c>
      <c r="E471">
        <v>1</v>
      </c>
      <c r="F471" t="s">
        <v>2213</v>
      </c>
      <c r="G471" t="s">
        <v>59</v>
      </c>
      <c r="H471" t="s">
        <v>78</v>
      </c>
      <c r="I471" t="s">
        <v>222</v>
      </c>
      <c r="J471" t="s">
        <v>2214</v>
      </c>
    </row>
    <row r="472" spans="1:10" x14ac:dyDescent="0.2">
      <c r="A472" t="s">
        <v>818</v>
      </c>
      <c r="B472" t="s">
        <v>2215</v>
      </c>
      <c r="C472">
        <v>4</v>
      </c>
      <c r="D472" t="s">
        <v>2216</v>
      </c>
      <c r="E472">
        <v>2</v>
      </c>
      <c r="F472" t="s">
        <v>2217</v>
      </c>
      <c r="G472" t="s">
        <v>59</v>
      </c>
      <c r="H472" t="s">
        <v>78</v>
      </c>
      <c r="I472" t="s">
        <v>222</v>
      </c>
      <c r="J472" t="s">
        <v>2218</v>
      </c>
    </row>
    <row r="473" spans="1:10" x14ac:dyDescent="0.2">
      <c r="A473" t="s">
        <v>818</v>
      </c>
      <c r="B473" t="s">
        <v>2219</v>
      </c>
      <c r="C473">
        <v>5</v>
      </c>
      <c r="D473" t="s">
        <v>2220</v>
      </c>
      <c r="E473">
        <v>3</v>
      </c>
      <c r="F473" t="s">
        <v>2221</v>
      </c>
      <c r="H473" t="s">
        <v>148</v>
      </c>
      <c r="I473" t="s">
        <v>222</v>
      </c>
      <c r="J473" t="s">
        <v>2222</v>
      </c>
    </row>
    <row r="474" spans="1:10" x14ac:dyDescent="0.2">
      <c r="A474" t="s">
        <v>818</v>
      </c>
      <c r="B474" t="s">
        <v>2223</v>
      </c>
      <c r="C474">
        <v>6</v>
      </c>
      <c r="D474" t="s">
        <v>2224</v>
      </c>
      <c r="E474">
        <v>4</v>
      </c>
      <c r="F474" t="s">
        <v>2225</v>
      </c>
      <c r="H474" t="s">
        <v>148</v>
      </c>
      <c r="I474" t="s">
        <v>222</v>
      </c>
      <c r="J474" t="s">
        <v>2226</v>
      </c>
    </row>
    <row r="475" spans="1:10" x14ac:dyDescent="0.2">
      <c r="A475" t="s">
        <v>821</v>
      </c>
      <c r="B475" t="s">
        <v>2227</v>
      </c>
      <c r="C475">
        <v>1</v>
      </c>
      <c r="D475" t="s">
        <v>1017</v>
      </c>
      <c r="E475">
        <v>0</v>
      </c>
      <c r="F475" t="s">
        <v>273</v>
      </c>
      <c r="G475" t="s">
        <v>65</v>
      </c>
      <c r="H475" t="s">
        <v>88</v>
      </c>
      <c r="I475" t="s">
        <v>222</v>
      </c>
      <c r="J475" t="s">
        <v>2185</v>
      </c>
    </row>
    <row r="476" spans="1:10" x14ac:dyDescent="0.2">
      <c r="A476" t="s">
        <v>821</v>
      </c>
      <c r="B476" t="s">
        <v>2228</v>
      </c>
      <c r="C476">
        <v>2</v>
      </c>
      <c r="D476" t="s">
        <v>2229</v>
      </c>
      <c r="E476">
        <v>0</v>
      </c>
      <c r="F476" t="s">
        <v>2230</v>
      </c>
      <c r="G476" t="s">
        <v>60</v>
      </c>
      <c r="H476" t="s">
        <v>105</v>
      </c>
      <c r="I476" t="s">
        <v>222</v>
      </c>
      <c r="J476" t="s">
        <v>2231</v>
      </c>
    </row>
    <row r="477" spans="1:10" x14ac:dyDescent="0.2">
      <c r="A477" t="s">
        <v>821</v>
      </c>
      <c r="B477" t="s">
        <v>2232</v>
      </c>
      <c r="C477">
        <v>3</v>
      </c>
      <c r="D477" t="s">
        <v>2233</v>
      </c>
      <c r="E477">
        <v>1</v>
      </c>
      <c r="F477" t="s">
        <v>2234</v>
      </c>
      <c r="G477" t="s">
        <v>63</v>
      </c>
      <c r="H477" t="s">
        <v>85</v>
      </c>
      <c r="I477" t="s">
        <v>222</v>
      </c>
      <c r="J477" t="s">
        <v>2235</v>
      </c>
    </row>
    <row r="478" spans="1:10" x14ac:dyDescent="0.2">
      <c r="A478" t="s">
        <v>821</v>
      </c>
      <c r="B478" t="s">
        <v>2236</v>
      </c>
      <c r="C478">
        <v>4</v>
      </c>
      <c r="D478" t="s">
        <v>2237</v>
      </c>
      <c r="E478">
        <v>2</v>
      </c>
      <c r="F478" t="s">
        <v>2196</v>
      </c>
      <c r="G478" t="s">
        <v>62</v>
      </c>
      <c r="H478" t="s">
        <v>74</v>
      </c>
      <c r="I478" t="s">
        <v>222</v>
      </c>
      <c r="J478" t="s">
        <v>2238</v>
      </c>
    </row>
    <row r="479" spans="1:10" x14ac:dyDescent="0.2">
      <c r="A479" t="s">
        <v>821</v>
      </c>
      <c r="B479" t="s">
        <v>2239</v>
      </c>
      <c r="C479">
        <v>5</v>
      </c>
      <c r="D479" t="s">
        <v>2240</v>
      </c>
      <c r="E479">
        <v>3</v>
      </c>
      <c r="F479" t="s">
        <v>2200</v>
      </c>
      <c r="H479" t="s">
        <v>148</v>
      </c>
      <c r="I479" t="s">
        <v>222</v>
      </c>
      <c r="J479" t="s">
        <v>2241</v>
      </c>
    </row>
    <row r="480" spans="1:10" x14ac:dyDescent="0.2">
      <c r="A480" t="s">
        <v>821</v>
      </c>
      <c r="B480" t="s">
        <v>2242</v>
      </c>
      <c r="C480">
        <v>6</v>
      </c>
      <c r="D480" t="s">
        <v>2243</v>
      </c>
      <c r="E480">
        <v>4</v>
      </c>
      <c r="F480" t="s">
        <v>2204</v>
      </c>
      <c r="H480" t="s">
        <v>148</v>
      </c>
      <c r="I480" t="s">
        <v>222</v>
      </c>
      <c r="J480" t="s">
        <v>2244</v>
      </c>
    </row>
    <row r="481" spans="1:10" x14ac:dyDescent="0.2">
      <c r="A481" t="s">
        <v>824</v>
      </c>
      <c r="B481" t="s">
        <v>2245</v>
      </c>
      <c r="C481">
        <v>1</v>
      </c>
      <c r="D481" t="s">
        <v>1017</v>
      </c>
      <c r="E481">
        <v>0</v>
      </c>
      <c r="F481" t="s">
        <v>273</v>
      </c>
      <c r="G481" t="s">
        <v>65</v>
      </c>
      <c r="H481" t="s">
        <v>88</v>
      </c>
      <c r="I481" t="s">
        <v>222</v>
      </c>
      <c r="J481" t="s">
        <v>2185</v>
      </c>
    </row>
    <row r="482" spans="1:10" x14ac:dyDescent="0.2">
      <c r="A482" t="s">
        <v>824</v>
      </c>
      <c r="B482" t="s">
        <v>2246</v>
      </c>
      <c r="C482">
        <v>2</v>
      </c>
      <c r="D482" t="s">
        <v>2247</v>
      </c>
      <c r="E482">
        <v>0</v>
      </c>
      <c r="F482" t="s">
        <v>2248</v>
      </c>
      <c r="G482" t="s">
        <v>66</v>
      </c>
      <c r="H482" t="s">
        <v>77</v>
      </c>
      <c r="I482" t="s">
        <v>222</v>
      </c>
      <c r="J482" t="s">
        <v>2249</v>
      </c>
    </row>
    <row r="483" spans="1:10" x14ac:dyDescent="0.2">
      <c r="A483" t="s">
        <v>824</v>
      </c>
      <c r="B483" t="s">
        <v>2250</v>
      </c>
      <c r="C483">
        <v>3</v>
      </c>
      <c r="D483" t="s">
        <v>2251</v>
      </c>
      <c r="E483">
        <v>1</v>
      </c>
      <c r="F483" t="s">
        <v>2252</v>
      </c>
      <c r="G483" t="s">
        <v>66</v>
      </c>
      <c r="H483" t="s">
        <v>280</v>
      </c>
      <c r="I483" t="s">
        <v>222</v>
      </c>
      <c r="J483" t="s">
        <v>2253</v>
      </c>
    </row>
    <row r="484" spans="1:10" x14ac:dyDescent="0.2">
      <c r="A484" t="s">
        <v>824</v>
      </c>
      <c r="B484" t="s">
        <v>2254</v>
      </c>
      <c r="C484">
        <v>4</v>
      </c>
      <c r="D484" t="s">
        <v>2255</v>
      </c>
      <c r="E484">
        <v>2</v>
      </c>
      <c r="F484" t="s">
        <v>2256</v>
      </c>
      <c r="G484" t="s">
        <v>62</v>
      </c>
      <c r="H484" t="s">
        <v>280</v>
      </c>
      <c r="I484" t="s">
        <v>222</v>
      </c>
      <c r="J484" t="s">
        <v>2257</v>
      </c>
    </row>
    <row r="485" spans="1:10" x14ac:dyDescent="0.2">
      <c r="A485" t="s">
        <v>824</v>
      </c>
      <c r="B485" t="s">
        <v>2258</v>
      </c>
      <c r="C485">
        <v>5</v>
      </c>
      <c r="D485" t="s">
        <v>2259</v>
      </c>
      <c r="E485">
        <v>3</v>
      </c>
      <c r="F485" t="s">
        <v>2200</v>
      </c>
      <c r="H485" t="s">
        <v>148</v>
      </c>
      <c r="I485" t="s">
        <v>222</v>
      </c>
      <c r="J485" t="s">
        <v>2260</v>
      </c>
    </row>
    <row r="486" spans="1:10" x14ac:dyDescent="0.2">
      <c r="A486" t="s">
        <v>824</v>
      </c>
      <c r="B486" t="s">
        <v>2261</v>
      </c>
      <c r="C486">
        <v>6</v>
      </c>
      <c r="D486" t="s">
        <v>2262</v>
      </c>
      <c r="E486">
        <v>4</v>
      </c>
      <c r="F486" t="s">
        <v>2225</v>
      </c>
      <c r="H486" t="s">
        <v>148</v>
      </c>
      <c r="I486" t="s">
        <v>222</v>
      </c>
      <c r="J486" t="s">
        <v>2263</v>
      </c>
    </row>
    <row r="487" spans="1:10" x14ac:dyDescent="0.2">
      <c r="A487" t="s">
        <v>828</v>
      </c>
      <c r="B487" t="s">
        <v>2264</v>
      </c>
      <c r="C487">
        <v>1</v>
      </c>
      <c r="D487" t="s">
        <v>1017</v>
      </c>
      <c r="E487">
        <v>0</v>
      </c>
      <c r="F487" t="s">
        <v>273</v>
      </c>
      <c r="G487" t="s">
        <v>65</v>
      </c>
      <c r="H487" t="s">
        <v>88</v>
      </c>
      <c r="I487" t="s">
        <v>222</v>
      </c>
      <c r="J487" t="s">
        <v>2185</v>
      </c>
    </row>
    <row r="488" spans="1:10" x14ac:dyDescent="0.2">
      <c r="A488" t="s">
        <v>828</v>
      </c>
      <c r="B488" t="s">
        <v>2265</v>
      </c>
      <c r="C488">
        <v>2</v>
      </c>
      <c r="D488" t="s">
        <v>2266</v>
      </c>
      <c r="E488">
        <v>0</v>
      </c>
      <c r="F488" t="s">
        <v>2267</v>
      </c>
      <c r="G488" t="s">
        <v>61</v>
      </c>
      <c r="H488" t="s">
        <v>278</v>
      </c>
      <c r="I488" t="s">
        <v>222</v>
      </c>
      <c r="J488" t="s">
        <v>2268</v>
      </c>
    </row>
    <row r="489" spans="1:10" x14ac:dyDescent="0.2">
      <c r="A489" t="s">
        <v>828</v>
      </c>
      <c r="B489" t="s">
        <v>2269</v>
      </c>
      <c r="C489">
        <v>3</v>
      </c>
      <c r="D489" t="s">
        <v>2270</v>
      </c>
      <c r="E489">
        <v>1</v>
      </c>
      <c r="F489" t="s">
        <v>2271</v>
      </c>
      <c r="G489" t="s">
        <v>61</v>
      </c>
      <c r="H489" t="s">
        <v>278</v>
      </c>
      <c r="I489" t="s">
        <v>222</v>
      </c>
      <c r="J489" t="s">
        <v>2272</v>
      </c>
    </row>
    <row r="490" spans="1:10" x14ac:dyDescent="0.2">
      <c r="A490" t="s">
        <v>828</v>
      </c>
      <c r="B490" t="s">
        <v>2273</v>
      </c>
      <c r="C490">
        <v>4</v>
      </c>
      <c r="D490" t="s">
        <v>2274</v>
      </c>
      <c r="E490">
        <v>2</v>
      </c>
      <c r="F490" t="s">
        <v>2275</v>
      </c>
      <c r="G490" t="s">
        <v>62</v>
      </c>
      <c r="H490" t="s">
        <v>278</v>
      </c>
      <c r="I490" t="s">
        <v>222</v>
      </c>
      <c r="J490" t="s">
        <v>2276</v>
      </c>
    </row>
    <row r="491" spans="1:10" x14ac:dyDescent="0.2">
      <c r="A491" t="s">
        <v>828</v>
      </c>
      <c r="B491" t="s">
        <v>2277</v>
      </c>
      <c r="C491">
        <v>5</v>
      </c>
      <c r="D491" t="s">
        <v>2278</v>
      </c>
      <c r="E491">
        <v>3</v>
      </c>
      <c r="F491" t="s">
        <v>2221</v>
      </c>
      <c r="H491" t="s">
        <v>148</v>
      </c>
      <c r="I491" t="s">
        <v>222</v>
      </c>
      <c r="J491" t="s">
        <v>2279</v>
      </c>
    </row>
    <row r="492" spans="1:10" x14ac:dyDescent="0.2">
      <c r="A492" t="s">
        <v>828</v>
      </c>
      <c r="B492" t="s">
        <v>2280</v>
      </c>
      <c r="C492">
        <v>6</v>
      </c>
      <c r="D492" t="s">
        <v>2281</v>
      </c>
      <c r="E492">
        <v>4</v>
      </c>
      <c r="F492" t="s">
        <v>2225</v>
      </c>
      <c r="H492" t="s">
        <v>148</v>
      </c>
      <c r="I492" t="s">
        <v>222</v>
      </c>
      <c r="J492" t="s">
        <v>2282</v>
      </c>
    </row>
    <row r="493" spans="1:10" x14ac:dyDescent="0.2">
      <c r="A493" t="s">
        <v>831</v>
      </c>
      <c r="B493" t="s">
        <v>2283</v>
      </c>
      <c r="C493">
        <v>1</v>
      </c>
      <c r="D493" t="s">
        <v>1017</v>
      </c>
      <c r="E493">
        <v>0</v>
      </c>
      <c r="F493" t="s">
        <v>273</v>
      </c>
      <c r="G493" t="s">
        <v>65</v>
      </c>
      <c r="H493" t="s">
        <v>88</v>
      </c>
      <c r="I493" t="s">
        <v>222</v>
      </c>
      <c r="J493" t="s">
        <v>2185</v>
      </c>
    </row>
    <row r="494" spans="1:10" x14ac:dyDescent="0.2">
      <c r="A494" t="s">
        <v>831</v>
      </c>
      <c r="B494" t="s">
        <v>2284</v>
      </c>
      <c r="C494">
        <v>2</v>
      </c>
      <c r="D494" t="s">
        <v>2285</v>
      </c>
      <c r="E494">
        <v>0</v>
      </c>
      <c r="F494" t="s">
        <v>2286</v>
      </c>
      <c r="G494" t="s">
        <v>57</v>
      </c>
      <c r="H494" t="s">
        <v>75</v>
      </c>
      <c r="I494" t="s">
        <v>222</v>
      </c>
      <c r="J494" t="s">
        <v>2287</v>
      </c>
    </row>
    <row r="495" spans="1:10" x14ac:dyDescent="0.2">
      <c r="A495" t="s">
        <v>831</v>
      </c>
      <c r="B495" t="s">
        <v>2288</v>
      </c>
      <c r="C495">
        <v>3</v>
      </c>
      <c r="D495" t="s">
        <v>2289</v>
      </c>
      <c r="E495">
        <v>1</v>
      </c>
      <c r="F495" t="s">
        <v>2290</v>
      </c>
      <c r="G495" t="s">
        <v>57</v>
      </c>
      <c r="H495" t="s">
        <v>75</v>
      </c>
      <c r="I495" t="s">
        <v>222</v>
      </c>
      <c r="J495" t="s">
        <v>2291</v>
      </c>
    </row>
    <row r="496" spans="1:10" x14ac:dyDescent="0.2">
      <c r="A496" t="s">
        <v>831</v>
      </c>
      <c r="B496" t="s">
        <v>2292</v>
      </c>
      <c r="C496">
        <v>4</v>
      </c>
      <c r="D496" t="s">
        <v>2293</v>
      </c>
      <c r="E496">
        <v>2</v>
      </c>
      <c r="F496" t="s">
        <v>2294</v>
      </c>
      <c r="G496" t="s">
        <v>57</v>
      </c>
      <c r="H496" t="s">
        <v>282</v>
      </c>
      <c r="I496" t="s">
        <v>222</v>
      </c>
      <c r="J496" t="s">
        <v>2295</v>
      </c>
    </row>
    <row r="497" spans="1:10" x14ac:dyDescent="0.2">
      <c r="A497" t="s">
        <v>831</v>
      </c>
      <c r="B497" t="s">
        <v>2296</v>
      </c>
      <c r="C497">
        <v>5</v>
      </c>
      <c r="D497" t="s">
        <v>2297</v>
      </c>
      <c r="E497">
        <v>3</v>
      </c>
      <c r="F497" t="s">
        <v>2200</v>
      </c>
      <c r="H497" t="s">
        <v>148</v>
      </c>
      <c r="I497" t="s">
        <v>222</v>
      </c>
      <c r="J497" t="s">
        <v>2298</v>
      </c>
    </row>
    <row r="498" spans="1:10" x14ac:dyDescent="0.2">
      <c r="A498" t="s">
        <v>831</v>
      </c>
      <c r="B498" t="s">
        <v>2299</v>
      </c>
      <c r="C498">
        <v>6</v>
      </c>
      <c r="D498" t="s">
        <v>2300</v>
      </c>
      <c r="E498">
        <v>4</v>
      </c>
      <c r="F498" t="s">
        <v>2204</v>
      </c>
      <c r="H498" t="s">
        <v>148</v>
      </c>
      <c r="I498" t="s">
        <v>222</v>
      </c>
      <c r="J498" t="s">
        <v>2301</v>
      </c>
    </row>
    <row r="499" spans="1:10" x14ac:dyDescent="0.2">
      <c r="A499" t="s">
        <v>834</v>
      </c>
      <c r="B499" t="s">
        <v>2302</v>
      </c>
      <c r="C499">
        <v>1</v>
      </c>
      <c r="D499" t="s">
        <v>1017</v>
      </c>
      <c r="E499">
        <v>0</v>
      </c>
      <c r="F499" t="s">
        <v>273</v>
      </c>
      <c r="G499" t="s">
        <v>65</v>
      </c>
      <c r="H499" t="s">
        <v>88</v>
      </c>
      <c r="I499" t="s">
        <v>222</v>
      </c>
      <c r="J499" t="s">
        <v>2185</v>
      </c>
    </row>
    <row r="500" spans="1:10" x14ac:dyDescent="0.2">
      <c r="A500" t="s">
        <v>834</v>
      </c>
      <c r="B500" t="s">
        <v>2303</v>
      </c>
      <c r="C500">
        <v>2</v>
      </c>
      <c r="D500" t="s">
        <v>2304</v>
      </c>
      <c r="E500">
        <v>0</v>
      </c>
      <c r="F500" t="s">
        <v>2305</v>
      </c>
      <c r="G500" t="s">
        <v>62</v>
      </c>
      <c r="H500" t="s">
        <v>279</v>
      </c>
      <c r="I500" t="s">
        <v>222</v>
      </c>
      <c r="J500" t="s">
        <v>2306</v>
      </c>
    </row>
    <row r="501" spans="1:10" x14ac:dyDescent="0.2">
      <c r="A501" t="s">
        <v>834</v>
      </c>
      <c r="B501" t="s">
        <v>2307</v>
      </c>
      <c r="C501">
        <v>3</v>
      </c>
      <c r="D501" t="s">
        <v>2308</v>
      </c>
      <c r="E501">
        <v>1</v>
      </c>
      <c r="F501" t="s">
        <v>2234</v>
      </c>
      <c r="G501" t="s">
        <v>63</v>
      </c>
      <c r="H501" t="s">
        <v>85</v>
      </c>
      <c r="I501" t="s">
        <v>222</v>
      </c>
      <c r="J501" t="s">
        <v>2309</v>
      </c>
    </row>
    <row r="502" spans="1:10" x14ac:dyDescent="0.2">
      <c r="A502" t="s">
        <v>834</v>
      </c>
      <c r="B502" t="s">
        <v>2310</v>
      </c>
      <c r="C502">
        <v>4</v>
      </c>
      <c r="D502" t="s">
        <v>2311</v>
      </c>
      <c r="E502">
        <v>2</v>
      </c>
      <c r="F502" t="s">
        <v>2275</v>
      </c>
      <c r="G502" t="s">
        <v>62</v>
      </c>
      <c r="H502" t="s">
        <v>279</v>
      </c>
      <c r="I502" t="s">
        <v>222</v>
      </c>
      <c r="J502" t="s">
        <v>2312</v>
      </c>
    </row>
    <row r="503" spans="1:10" x14ac:dyDescent="0.2">
      <c r="A503" t="s">
        <v>834</v>
      </c>
      <c r="B503" t="s">
        <v>2313</v>
      </c>
      <c r="C503">
        <v>5</v>
      </c>
      <c r="D503" t="s">
        <v>2314</v>
      </c>
      <c r="E503">
        <v>3</v>
      </c>
      <c r="F503" t="s">
        <v>2200</v>
      </c>
      <c r="H503" t="s">
        <v>148</v>
      </c>
      <c r="I503" t="s">
        <v>222</v>
      </c>
      <c r="J503" t="s">
        <v>2315</v>
      </c>
    </row>
    <row r="504" spans="1:10" x14ac:dyDescent="0.2">
      <c r="A504" t="s">
        <v>834</v>
      </c>
      <c r="B504" t="s">
        <v>2316</v>
      </c>
      <c r="C504">
        <v>6</v>
      </c>
      <c r="D504" t="s">
        <v>2317</v>
      </c>
      <c r="E504">
        <v>4</v>
      </c>
      <c r="F504" t="s">
        <v>2204</v>
      </c>
      <c r="H504" t="s">
        <v>148</v>
      </c>
      <c r="I504" t="s">
        <v>222</v>
      </c>
      <c r="J504" t="s">
        <v>2318</v>
      </c>
    </row>
    <row r="505" spans="1:10" x14ac:dyDescent="0.2">
      <c r="A505" t="s">
        <v>837</v>
      </c>
      <c r="B505" t="s">
        <v>2319</v>
      </c>
      <c r="C505">
        <v>1</v>
      </c>
      <c r="D505" t="s">
        <v>1017</v>
      </c>
      <c r="E505">
        <v>0</v>
      </c>
      <c r="F505" t="s">
        <v>273</v>
      </c>
      <c r="G505" t="s">
        <v>65</v>
      </c>
      <c r="H505" t="s">
        <v>88</v>
      </c>
      <c r="I505" t="s">
        <v>222</v>
      </c>
      <c r="J505" t="s">
        <v>2185</v>
      </c>
    </row>
    <row r="506" spans="1:10" x14ac:dyDescent="0.2">
      <c r="A506" t="s">
        <v>837</v>
      </c>
      <c r="B506" t="s">
        <v>2320</v>
      </c>
      <c r="C506">
        <v>2</v>
      </c>
      <c r="D506" t="s">
        <v>2321</v>
      </c>
      <c r="E506">
        <v>0</v>
      </c>
      <c r="F506" t="s">
        <v>2322</v>
      </c>
      <c r="G506" t="s">
        <v>59</v>
      </c>
      <c r="H506" t="s">
        <v>139</v>
      </c>
      <c r="I506" t="s">
        <v>222</v>
      </c>
      <c r="J506" t="s">
        <v>2323</v>
      </c>
    </row>
    <row r="507" spans="1:10" x14ac:dyDescent="0.2">
      <c r="A507" t="s">
        <v>837</v>
      </c>
      <c r="B507" t="s">
        <v>2324</v>
      </c>
      <c r="C507">
        <v>3</v>
      </c>
      <c r="D507" t="s">
        <v>2325</v>
      </c>
      <c r="E507">
        <v>1</v>
      </c>
      <c r="F507" t="s">
        <v>2326</v>
      </c>
      <c r="G507" t="s">
        <v>61</v>
      </c>
      <c r="H507" t="s">
        <v>139</v>
      </c>
      <c r="I507" t="s">
        <v>222</v>
      </c>
      <c r="J507" t="s">
        <v>2327</v>
      </c>
    </row>
    <row r="508" spans="1:10" x14ac:dyDescent="0.2">
      <c r="A508" t="s">
        <v>837</v>
      </c>
      <c r="B508" t="s">
        <v>2328</v>
      </c>
      <c r="C508">
        <v>4</v>
      </c>
      <c r="D508" t="s">
        <v>2329</v>
      </c>
      <c r="E508">
        <v>2</v>
      </c>
      <c r="F508" t="s">
        <v>2217</v>
      </c>
      <c r="G508" t="s">
        <v>59</v>
      </c>
      <c r="H508" t="s">
        <v>139</v>
      </c>
      <c r="I508" t="s">
        <v>222</v>
      </c>
      <c r="J508" t="s">
        <v>2330</v>
      </c>
    </row>
    <row r="509" spans="1:10" x14ac:dyDescent="0.2">
      <c r="A509" t="s">
        <v>837</v>
      </c>
      <c r="B509" t="s">
        <v>2331</v>
      </c>
      <c r="C509">
        <v>5</v>
      </c>
      <c r="D509" t="s">
        <v>2332</v>
      </c>
      <c r="E509">
        <v>3</v>
      </c>
      <c r="F509" t="s">
        <v>2221</v>
      </c>
      <c r="H509" t="s">
        <v>148</v>
      </c>
      <c r="I509" t="s">
        <v>222</v>
      </c>
      <c r="J509" t="s">
        <v>2333</v>
      </c>
    </row>
    <row r="510" spans="1:10" x14ac:dyDescent="0.2">
      <c r="A510" t="s">
        <v>837</v>
      </c>
      <c r="B510" t="s">
        <v>2334</v>
      </c>
      <c r="C510">
        <v>6</v>
      </c>
      <c r="D510" t="s">
        <v>2335</v>
      </c>
      <c r="E510">
        <v>4</v>
      </c>
      <c r="F510" t="s">
        <v>2225</v>
      </c>
      <c r="H510" t="s">
        <v>148</v>
      </c>
      <c r="I510" t="s">
        <v>222</v>
      </c>
      <c r="J510" t="s">
        <v>2336</v>
      </c>
    </row>
    <row r="511" spans="1:10" x14ac:dyDescent="0.2">
      <c r="A511" t="s">
        <v>840</v>
      </c>
      <c r="B511" t="s">
        <v>2337</v>
      </c>
      <c r="C511">
        <v>1</v>
      </c>
      <c r="D511" t="s">
        <v>1017</v>
      </c>
      <c r="E511">
        <v>0</v>
      </c>
      <c r="F511" t="s">
        <v>273</v>
      </c>
      <c r="G511" t="s">
        <v>65</v>
      </c>
      <c r="H511" t="s">
        <v>88</v>
      </c>
      <c r="I511" t="s">
        <v>222</v>
      </c>
      <c r="J511" t="s">
        <v>2185</v>
      </c>
    </row>
    <row r="512" spans="1:10" x14ac:dyDescent="0.2">
      <c r="A512" t="s">
        <v>840</v>
      </c>
      <c r="B512" t="s">
        <v>2338</v>
      </c>
      <c r="C512">
        <v>2</v>
      </c>
      <c r="D512" t="s">
        <v>2339</v>
      </c>
      <c r="E512">
        <v>0</v>
      </c>
      <c r="F512" t="s">
        <v>2340</v>
      </c>
      <c r="G512" t="s">
        <v>55</v>
      </c>
      <c r="H512" t="s">
        <v>154</v>
      </c>
      <c r="I512" t="s">
        <v>222</v>
      </c>
      <c r="J512" t="s">
        <v>2341</v>
      </c>
    </row>
    <row r="513" spans="1:10" x14ac:dyDescent="0.2">
      <c r="A513" t="s">
        <v>840</v>
      </c>
      <c r="B513" t="s">
        <v>2342</v>
      </c>
      <c r="C513">
        <v>3</v>
      </c>
      <c r="D513" t="s">
        <v>2343</v>
      </c>
      <c r="E513">
        <v>1</v>
      </c>
      <c r="F513" t="s">
        <v>2344</v>
      </c>
      <c r="G513" t="s">
        <v>62</v>
      </c>
      <c r="H513" t="s">
        <v>154</v>
      </c>
      <c r="I513" t="s">
        <v>222</v>
      </c>
      <c r="J513" t="s">
        <v>2291</v>
      </c>
    </row>
    <row r="514" spans="1:10" x14ac:dyDescent="0.2">
      <c r="A514" t="s">
        <v>840</v>
      </c>
      <c r="B514" t="s">
        <v>2345</v>
      </c>
      <c r="C514">
        <v>4</v>
      </c>
      <c r="D514" t="s">
        <v>2346</v>
      </c>
      <c r="E514">
        <v>2</v>
      </c>
      <c r="F514" t="s">
        <v>2196</v>
      </c>
      <c r="G514" t="s">
        <v>62</v>
      </c>
      <c r="H514" t="s">
        <v>154</v>
      </c>
      <c r="I514" t="s">
        <v>222</v>
      </c>
      <c r="J514" t="s">
        <v>2347</v>
      </c>
    </row>
    <row r="515" spans="1:10" x14ac:dyDescent="0.2">
      <c r="A515" t="s">
        <v>840</v>
      </c>
      <c r="B515" t="s">
        <v>2348</v>
      </c>
      <c r="C515">
        <v>5</v>
      </c>
      <c r="D515" t="s">
        <v>2349</v>
      </c>
      <c r="E515">
        <v>3</v>
      </c>
      <c r="F515" t="s">
        <v>2200</v>
      </c>
      <c r="H515" t="s">
        <v>148</v>
      </c>
      <c r="I515" t="s">
        <v>222</v>
      </c>
      <c r="J515" t="s">
        <v>2350</v>
      </c>
    </row>
    <row r="516" spans="1:10" x14ac:dyDescent="0.2">
      <c r="A516" t="s">
        <v>840</v>
      </c>
      <c r="B516" t="s">
        <v>2351</v>
      </c>
      <c r="C516">
        <v>6</v>
      </c>
      <c r="D516" t="s">
        <v>2352</v>
      </c>
      <c r="E516">
        <v>4</v>
      </c>
      <c r="F516" t="s">
        <v>2204</v>
      </c>
      <c r="H516" t="s">
        <v>148</v>
      </c>
      <c r="I516" t="s">
        <v>222</v>
      </c>
      <c r="J516" t="s">
        <v>2353</v>
      </c>
    </row>
    <row r="517" spans="1:10" x14ac:dyDescent="0.2">
      <c r="A517" t="s">
        <v>843</v>
      </c>
      <c r="B517" t="s">
        <v>2354</v>
      </c>
      <c r="C517">
        <v>1</v>
      </c>
      <c r="D517" t="s">
        <v>1017</v>
      </c>
      <c r="E517">
        <v>0</v>
      </c>
      <c r="F517" t="s">
        <v>273</v>
      </c>
      <c r="G517" t="s">
        <v>65</v>
      </c>
      <c r="H517" t="s">
        <v>88</v>
      </c>
      <c r="I517" t="s">
        <v>222</v>
      </c>
      <c r="J517" t="s">
        <v>2185</v>
      </c>
    </row>
    <row r="518" spans="1:10" x14ac:dyDescent="0.2">
      <c r="A518" t="s">
        <v>843</v>
      </c>
      <c r="B518" t="s">
        <v>2355</v>
      </c>
      <c r="C518">
        <v>2</v>
      </c>
      <c r="D518" t="s">
        <v>2356</v>
      </c>
      <c r="E518">
        <v>0</v>
      </c>
      <c r="F518" t="s">
        <v>2357</v>
      </c>
      <c r="G518" t="s">
        <v>61</v>
      </c>
      <c r="H518" t="s">
        <v>283</v>
      </c>
      <c r="I518" t="s">
        <v>222</v>
      </c>
      <c r="J518" t="s">
        <v>2185</v>
      </c>
    </row>
    <row r="519" spans="1:10" x14ac:dyDescent="0.2">
      <c r="A519" t="s">
        <v>843</v>
      </c>
      <c r="B519" t="s">
        <v>2358</v>
      </c>
      <c r="C519">
        <v>3</v>
      </c>
      <c r="D519" t="s">
        <v>2359</v>
      </c>
      <c r="E519">
        <v>1</v>
      </c>
      <c r="F519" t="s">
        <v>2360</v>
      </c>
      <c r="G519" t="s">
        <v>63</v>
      </c>
      <c r="H519" t="s">
        <v>283</v>
      </c>
      <c r="I519" t="s">
        <v>222</v>
      </c>
      <c r="J519" t="s">
        <v>2361</v>
      </c>
    </row>
    <row r="520" spans="1:10" x14ac:dyDescent="0.2">
      <c r="A520" t="s">
        <v>843</v>
      </c>
      <c r="B520" t="s">
        <v>2362</v>
      </c>
      <c r="C520">
        <v>4</v>
      </c>
      <c r="D520" t="s">
        <v>2363</v>
      </c>
      <c r="E520">
        <v>2</v>
      </c>
      <c r="F520" t="s">
        <v>2196</v>
      </c>
      <c r="G520" t="s">
        <v>62</v>
      </c>
      <c r="H520" t="s">
        <v>283</v>
      </c>
      <c r="I520" t="s">
        <v>222</v>
      </c>
      <c r="J520" t="s">
        <v>2364</v>
      </c>
    </row>
    <row r="521" spans="1:10" x14ac:dyDescent="0.2">
      <c r="A521" t="s">
        <v>843</v>
      </c>
      <c r="B521" t="s">
        <v>2365</v>
      </c>
      <c r="C521">
        <v>5</v>
      </c>
      <c r="D521" t="s">
        <v>2366</v>
      </c>
      <c r="E521">
        <v>3</v>
      </c>
      <c r="F521" t="s">
        <v>2200</v>
      </c>
      <c r="H521" t="s">
        <v>148</v>
      </c>
      <c r="I521" t="s">
        <v>222</v>
      </c>
      <c r="J521" t="s">
        <v>2367</v>
      </c>
    </row>
    <row r="522" spans="1:10" x14ac:dyDescent="0.2">
      <c r="A522" t="s">
        <v>843</v>
      </c>
      <c r="B522" t="s">
        <v>2368</v>
      </c>
      <c r="C522">
        <v>6</v>
      </c>
      <c r="D522" t="s">
        <v>2369</v>
      </c>
      <c r="E522">
        <v>4</v>
      </c>
      <c r="F522" t="s">
        <v>2204</v>
      </c>
      <c r="H522" t="s">
        <v>148</v>
      </c>
      <c r="I522" t="s">
        <v>222</v>
      </c>
      <c r="J522" t="s">
        <v>2370</v>
      </c>
    </row>
    <row r="523" spans="1:10" x14ac:dyDescent="0.2">
      <c r="A523" t="s">
        <v>846</v>
      </c>
      <c r="B523" t="s">
        <v>2371</v>
      </c>
      <c r="C523">
        <v>1</v>
      </c>
      <c r="D523" t="s">
        <v>1017</v>
      </c>
      <c r="E523">
        <v>0</v>
      </c>
      <c r="F523" t="s">
        <v>273</v>
      </c>
      <c r="G523" t="s">
        <v>65</v>
      </c>
      <c r="H523" t="s">
        <v>88</v>
      </c>
      <c r="I523" t="s">
        <v>222</v>
      </c>
      <c r="J523" t="s">
        <v>2185</v>
      </c>
    </row>
    <row r="524" spans="1:10" x14ac:dyDescent="0.2">
      <c r="A524" t="s">
        <v>846</v>
      </c>
      <c r="B524" t="s">
        <v>2372</v>
      </c>
      <c r="C524">
        <v>2</v>
      </c>
      <c r="D524" t="s">
        <v>2373</v>
      </c>
      <c r="E524">
        <v>0</v>
      </c>
      <c r="F524" t="s">
        <v>2374</v>
      </c>
      <c r="G524" t="s">
        <v>62</v>
      </c>
      <c r="H524" t="s">
        <v>281</v>
      </c>
      <c r="I524" t="s">
        <v>222</v>
      </c>
      <c r="J524" t="s">
        <v>2185</v>
      </c>
    </row>
    <row r="525" spans="1:10" x14ac:dyDescent="0.2">
      <c r="A525" t="s">
        <v>846</v>
      </c>
      <c r="B525" t="s">
        <v>2375</v>
      </c>
      <c r="C525">
        <v>3</v>
      </c>
      <c r="D525" t="s">
        <v>2376</v>
      </c>
      <c r="E525">
        <v>1</v>
      </c>
      <c r="F525" t="s">
        <v>2344</v>
      </c>
      <c r="G525" t="s">
        <v>61</v>
      </c>
      <c r="H525" t="s">
        <v>281</v>
      </c>
      <c r="I525" t="s">
        <v>222</v>
      </c>
      <c r="J525" t="s">
        <v>2377</v>
      </c>
    </row>
    <row r="526" spans="1:10" x14ac:dyDescent="0.2">
      <c r="A526" t="s">
        <v>846</v>
      </c>
      <c r="B526" t="s">
        <v>2378</v>
      </c>
      <c r="C526">
        <v>4</v>
      </c>
      <c r="D526" t="s">
        <v>2379</v>
      </c>
      <c r="E526">
        <v>2</v>
      </c>
      <c r="F526" t="s">
        <v>2196</v>
      </c>
      <c r="G526" t="s">
        <v>62</v>
      </c>
      <c r="H526" t="s">
        <v>281</v>
      </c>
      <c r="I526" t="s">
        <v>222</v>
      </c>
      <c r="J526" t="s">
        <v>2380</v>
      </c>
    </row>
    <row r="527" spans="1:10" x14ac:dyDescent="0.2">
      <c r="A527" t="s">
        <v>846</v>
      </c>
      <c r="B527" t="s">
        <v>2381</v>
      </c>
      <c r="C527">
        <v>5</v>
      </c>
      <c r="D527" t="s">
        <v>2382</v>
      </c>
      <c r="E527">
        <v>3</v>
      </c>
      <c r="F527" t="s">
        <v>2200</v>
      </c>
      <c r="H527" t="s">
        <v>148</v>
      </c>
      <c r="I527" t="s">
        <v>222</v>
      </c>
      <c r="J527" t="s">
        <v>2383</v>
      </c>
    </row>
    <row r="528" spans="1:10" x14ac:dyDescent="0.2">
      <c r="A528" t="s">
        <v>846</v>
      </c>
      <c r="B528" t="s">
        <v>2384</v>
      </c>
      <c r="C528">
        <v>6</v>
      </c>
      <c r="D528" t="s">
        <v>2385</v>
      </c>
      <c r="E528">
        <v>4</v>
      </c>
      <c r="F528" t="s">
        <v>2204</v>
      </c>
      <c r="H528" t="s">
        <v>148</v>
      </c>
      <c r="I528" t="s">
        <v>222</v>
      </c>
      <c r="J528" t="s">
        <v>2386</v>
      </c>
    </row>
    <row r="529" spans="1:10" x14ac:dyDescent="0.2">
      <c r="A529" t="s">
        <v>849</v>
      </c>
      <c r="B529" t="s">
        <v>2387</v>
      </c>
      <c r="C529">
        <v>1</v>
      </c>
      <c r="D529" t="s">
        <v>1017</v>
      </c>
      <c r="E529">
        <v>0</v>
      </c>
      <c r="F529" t="s">
        <v>273</v>
      </c>
      <c r="G529" t="s">
        <v>65</v>
      </c>
      <c r="H529" t="s">
        <v>88</v>
      </c>
      <c r="I529" t="s">
        <v>222</v>
      </c>
      <c r="J529" t="s">
        <v>2185</v>
      </c>
    </row>
    <row r="530" spans="1:10" x14ac:dyDescent="0.2">
      <c r="A530" t="s">
        <v>849</v>
      </c>
      <c r="B530" t="s">
        <v>2388</v>
      </c>
      <c r="C530">
        <v>2</v>
      </c>
      <c r="D530" t="s">
        <v>2389</v>
      </c>
      <c r="E530">
        <v>0</v>
      </c>
      <c r="F530" t="s">
        <v>2390</v>
      </c>
      <c r="G530" t="s">
        <v>55</v>
      </c>
      <c r="H530" t="s">
        <v>285</v>
      </c>
      <c r="I530" t="s">
        <v>222</v>
      </c>
      <c r="J530" t="s">
        <v>2391</v>
      </c>
    </row>
    <row r="531" spans="1:10" x14ac:dyDescent="0.2">
      <c r="A531" t="s">
        <v>849</v>
      </c>
      <c r="B531" t="s">
        <v>2392</v>
      </c>
      <c r="C531">
        <v>3</v>
      </c>
      <c r="D531" t="s">
        <v>2393</v>
      </c>
      <c r="E531">
        <v>1</v>
      </c>
      <c r="F531" t="s">
        <v>2344</v>
      </c>
      <c r="G531" t="s">
        <v>62</v>
      </c>
      <c r="H531" t="s">
        <v>285</v>
      </c>
      <c r="I531" t="s">
        <v>222</v>
      </c>
      <c r="J531" t="s">
        <v>2394</v>
      </c>
    </row>
    <row r="532" spans="1:10" x14ac:dyDescent="0.2">
      <c r="A532" t="s">
        <v>849</v>
      </c>
      <c r="B532" t="s">
        <v>2395</v>
      </c>
      <c r="C532">
        <v>4</v>
      </c>
      <c r="D532" t="s">
        <v>2396</v>
      </c>
      <c r="E532">
        <v>2</v>
      </c>
      <c r="F532" t="s">
        <v>2294</v>
      </c>
      <c r="G532" t="s">
        <v>57</v>
      </c>
      <c r="H532" t="s">
        <v>285</v>
      </c>
      <c r="I532" t="s">
        <v>222</v>
      </c>
      <c r="J532" t="s">
        <v>2397</v>
      </c>
    </row>
    <row r="533" spans="1:10" x14ac:dyDescent="0.2">
      <c r="A533" t="s">
        <v>849</v>
      </c>
      <c r="B533" t="s">
        <v>2398</v>
      </c>
      <c r="C533">
        <v>5</v>
      </c>
      <c r="D533" t="s">
        <v>2399</v>
      </c>
      <c r="E533">
        <v>3</v>
      </c>
      <c r="F533" t="s">
        <v>2200</v>
      </c>
      <c r="H533" t="s">
        <v>148</v>
      </c>
      <c r="I533" t="s">
        <v>222</v>
      </c>
      <c r="J533" t="s">
        <v>2400</v>
      </c>
    </row>
    <row r="534" spans="1:10" x14ac:dyDescent="0.2">
      <c r="A534" t="s">
        <v>849</v>
      </c>
      <c r="B534" t="s">
        <v>2401</v>
      </c>
      <c r="C534">
        <v>6</v>
      </c>
      <c r="D534" t="s">
        <v>2402</v>
      </c>
      <c r="E534">
        <v>4</v>
      </c>
      <c r="F534" t="s">
        <v>2204</v>
      </c>
      <c r="H534" t="s">
        <v>148</v>
      </c>
      <c r="I534" t="s">
        <v>222</v>
      </c>
      <c r="J534" t="s">
        <v>2403</v>
      </c>
    </row>
    <row r="535" spans="1:10" x14ac:dyDescent="0.2">
      <c r="A535" t="s">
        <v>852</v>
      </c>
      <c r="B535" t="s">
        <v>2404</v>
      </c>
      <c r="C535">
        <v>1</v>
      </c>
      <c r="D535" t="s">
        <v>1017</v>
      </c>
      <c r="E535">
        <v>0</v>
      </c>
      <c r="F535" t="s">
        <v>273</v>
      </c>
      <c r="G535" t="s">
        <v>65</v>
      </c>
      <c r="H535" t="s">
        <v>88</v>
      </c>
      <c r="I535" t="s">
        <v>222</v>
      </c>
      <c r="J535" t="s">
        <v>2185</v>
      </c>
    </row>
    <row r="536" spans="1:10" x14ac:dyDescent="0.2">
      <c r="A536" t="s">
        <v>852</v>
      </c>
      <c r="B536" t="s">
        <v>2405</v>
      </c>
      <c r="C536">
        <v>2</v>
      </c>
      <c r="D536" t="s">
        <v>2406</v>
      </c>
      <c r="E536">
        <v>0</v>
      </c>
      <c r="F536" t="s">
        <v>2407</v>
      </c>
      <c r="G536" t="s">
        <v>66</v>
      </c>
      <c r="H536" t="s">
        <v>277</v>
      </c>
      <c r="I536" t="s">
        <v>222</v>
      </c>
      <c r="J536" t="s">
        <v>2408</v>
      </c>
    </row>
    <row r="537" spans="1:10" x14ac:dyDescent="0.2">
      <c r="A537" t="s">
        <v>852</v>
      </c>
      <c r="B537" t="s">
        <v>2409</v>
      </c>
      <c r="C537">
        <v>3</v>
      </c>
      <c r="D537" t="s">
        <v>2410</v>
      </c>
      <c r="E537">
        <v>1</v>
      </c>
      <c r="F537" t="s">
        <v>2411</v>
      </c>
      <c r="G537" t="s">
        <v>63</v>
      </c>
      <c r="H537" t="s">
        <v>277</v>
      </c>
      <c r="I537" t="s">
        <v>222</v>
      </c>
      <c r="J537" t="s">
        <v>2412</v>
      </c>
    </row>
    <row r="538" spans="1:10" x14ac:dyDescent="0.2">
      <c r="A538" t="s">
        <v>852</v>
      </c>
      <c r="B538" t="s">
        <v>2413</v>
      </c>
      <c r="C538">
        <v>4</v>
      </c>
      <c r="D538" t="s">
        <v>2414</v>
      </c>
      <c r="E538">
        <v>2</v>
      </c>
      <c r="F538" t="s">
        <v>2196</v>
      </c>
      <c r="G538" t="s">
        <v>66</v>
      </c>
      <c r="H538" t="s">
        <v>277</v>
      </c>
      <c r="I538" t="s">
        <v>222</v>
      </c>
      <c r="J538" t="s">
        <v>2415</v>
      </c>
    </row>
    <row r="539" spans="1:10" x14ac:dyDescent="0.2">
      <c r="A539" t="s">
        <v>852</v>
      </c>
      <c r="B539" t="s">
        <v>2416</v>
      </c>
      <c r="C539">
        <v>5</v>
      </c>
      <c r="D539" t="s">
        <v>2417</v>
      </c>
      <c r="E539">
        <v>3</v>
      </c>
      <c r="F539" t="s">
        <v>2200</v>
      </c>
      <c r="H539" t="s">
        <v>148</v>
      </c>
      <c r="I539" t="s">
        <v>222</v>
      </c>
      <c r="J539" t="s">
        <v>2418</v>
      </c>
    </row>
    <row r="540" spans="1:10" x14ac:dyDescent="0.2">
      <c r="A540" t="s">
        <v>852</v>
      </c>
      <c r="B540" t="s">
        <v>2419</v>
      </c>
      <c r="C540">
        <v>6</v>
      </c>
      <c r="D540" t="s">
        <v>2420</v>
      </c>
      <c r="E540">
        <v>4</v>
      </c>
      <c r="F540" t="s">
        <v>2204</v>
      </c>
      <c r="H540" t="s">
        <v>148</v>
      </c>
      <c r="I540" t="s">
        <v>222</v>
      </c>
      <c r="J540" t="s">
        <v>2421</v>
      </c>
    </row>
    <row r="541" spans="1:10" x14ac:dyDescent="0.2">
      <c r="A541" t="s">
        <v>855</v>
      </c>
      <c r="B541" t="s">
        <v>2422</v>
      </c>
      <c r="C541">
        <v>1</v>
      </c>
      <c r="D541" t="s">
        <v>1017</v>
      </c>
      <c r="E541">
        <v>0</v>
      </c>
      <c r="F541" t="s">
        <v>273</v>
      </c>
      <c r="G541" t="s">
        <v>65</v>
      </c>
      <c r="H541" t="s">
        <v>88</v>
      </c>
      <c r="I541" t="s">
        <v>222</v>
      </c>
      <c r="J541" t="s">
        <v>2185</v>
      </c>
    </row>
    <row r="542" spans="1:10" x14ac:dyDescent="0.2">
      <c r="A542" t="s">
        <v>855</v>
      </c>
      <c r="B542" t="s">
        <v>2423</v>
      </c>
      <c r="C542">
        <v>2</v>
      </c>
      <c r="D542" t="s">
        <v>2424</v>
      </c>
      <c r="E542">
        <v>0</v>
      </c>
      <c r="F542" t="s">
        <v>2425</v>
      </c>
      <c r="G542" t="s">
        <v>55</v>
      </c>
      <c r="H542" t="s">
        <v>284</v>
      </c>
      <c r="I542" t="s">
        <v>222</v>
      </c>
      <c r="J542" t="s">
        <v>2426</v>
      </c>
    </row>
    <row r="543" spans="1:10" x14ac:dyDescent="0.2">
      <c r="A543" t="s">
        <v>855</v>
      </c>
      <c r="B543" t="s">
        <v>2427</v>
      </c>
      <c r="C543">
        <v>3</v>
      </c>
      <c r="D543" t="s">
        <v>2428</v>
      </c>
      <c r="E543">
        <v>1</v>
      </c>
      <c r="F543" t="s">
        <v>2429</v>
      </c>
      <c r="G543" t="s">
        <v>63</v>
      </c>
      <c r="H543" t="s">
        <v>284</v>
      </c>
      <c r="I543" t="s">
        <v>222</v>
      </c>
      <c r="J543" t="s">
        <v>2430</v>
      </c>
    </row>
    <row r="544" spans="1:10" x14ac:dyDescent="0.2">
      <c r="A544" t="s">
        <v>855</v>
      </c>
      <c r="B544" t="s">
        <v>2431</v>
      </c>
      <c r="C544">
        <v>4</v>
      </c>
      <c r="D544" t="s">
        <v>2432</v>
      </c>
      <c r="E544">
        <v>2</v>
      </c>
      <c r="F544" t="s">
        <v>2433</v>
      </c>
      <c r="G544" t="s">
        <v>66</v>
      </c>
      <c r="H544" t="s">
        <v>284</v>
      </c>
      <c r="I544" t="s">
        <v>222</v>
      </c>
      <c r="J544" t="s">
        <v>2434</v>
      </c>
    </row>
    <row r="545" spans="1:10" x14ac:dyDescent="0.2">
      <c r="A545" t="s">
        <v>855</v>
      </c>
      <c r="B545" t="s">
        <v>2435</v>
      </c>
      <c r="C545">
        <v>5</v>
      </c>
      <c r="D545" t="s">
        <v>2436</v>
      </c>
      <c r="E545">
        <v>3</v>
      </c>
      <c r="F545" t="s">
        <v>2200</v>
      </c>
      <c r="H545" t="s">
        <v>148</v>
      </c>
      <c r="I545" t="s">
        <v>222</v>
      </c>
      <c r="J545" t="s">
        <v>2350</v>
      </c>
    </row>
    <row r="546" spans="1:10" x14ac:dyDescent="0.2">
      <c r="A546" t="s">
        <v>855</v>
      </c>
      <c r="B546" t="s">
        <v>2437</v>
      </c>
      <c r="C546">
        <v>6</v>
      </c>
      <c r="D546" t="s">
        <v>2438</v>
      </c>
      <c r="E546">
        <v>4</v>
      </c>
      <c r="F546" t="s">
        <v>2204</v>
      </c>
      <c r="H546" t="s">
        <v>148</v>
      </c>
      <c r="I546" t="s">
        <v>222</v>
      </c>
      <c r="J546" t="s">
        <v>2439</v>
      </c>
    </row>
    <row r="547" spans="1:10" x14ac:dyDescent="0.2">
      <c r="A547" t="s">
        <v>434</v>
      </c>
      <c r="B547" t="s">
        <v>2440</v>
      </c>
      <c r="C547">
        <v>1</v>
      </c>
      <c r="D547" t="s">
        <v>1017</v>
      </c>
      <c r="E547">
        <v>0</v>
      </c>
      <c r="F547" t="s">
        <v>273</v>
      </c>
      <c r="G547" t="s">
        <v>65</v>
      </c>
      <c r="H547" t="s">
        <v>2441</v>
      </c>
      <c r="I547" t="s">
        <v>222</v>
      </c>
    </row>
    <row r="548" spans="1:10" x14ac:dyDescent="0.2">
      <c r="A548" t="s">
        <v>434</v>
      </c>
      <c r="B548" t="s">
        <v>2442</v>
      </c>
      <c r="C548">
        <v>2</v>
      </c>
      <c r="D548" t="s">
        <v>2443</v>
      </c>
      <c r="E548">
        <v>0</v>
      </c>
      <c r="F548" t="s">
        <v>2444</v>
      </c>
      <c r="G548" t="s">
        <v>59</v>
      </c>
      <c r="H548" t="s">
        <v>2445</v>
      </c>
      <c r="I548" t="s">
        <v>222</v>
      </c>
    </row>
    <row r="549" spans="1:10" x14ac:dyDescent="0.2">
      <c r="A549" t="s">
        <v>434</v>
      </c>
      <c r="B549" t="s">
        <v>2446</v>
      </c>
      <c r="C549">
        <v>3</v>
      </c>
      <c r="D549" t="s">
        <v>2447</v>
      </c>
      <c r="E549">
        <v>1</v>
      </c>
      <c r="F549" t="s">
        <v>172</v>
      </c>
      <c r="G549" t="s">
        <v>61</v>
      </c>
      <c r="H549" t="s">
        <v>2448</v>
      </c>
      <c r="I549" t="s">
        <v>222</v>
      </c>
    </row>
    <row r="550" spans="1:10" x14ac:dyDescent="0.2">
      <c r="A550" t="s">
        <v>434</v>
      </c>
      <c r="B550" t="s">
        <v>2449</v>
      </c>
      <c r="C550">
        <v>4</v>
      </c>
      <c r="D550" t="s">
        <v>2450</v>
      </c>
      <c r="E550">
        <v>3</v>
      </c>
      <c r="G550" t="s">
        <v>60</v>
      </c>
      <c r="H550" t="s">
        <v>2451</v>
      </c>
      <c r="I550" t="s">
        <v>222</v>
      </c>
    </row>
    <row r="551" spans="1:10" x14ac:dyDescent="0.2">
      <c r="A551" t="s">
        <v>434</v>
      </c>
      <c r="B551" t="s">
        <v>2452</v>
      </c>
      <c r="C551">
        <v>5</v>
      </c>
      <c r="D551" t="s">
        <v>2453</v>
      </c>
      <c r="E551">
        <v>4</v>
      </c>
      <c r="H551" t="s">
        <v>2454</v>
      </c>
      <c r="I551" t="s">
        <v>222</v>
      </c>
    </row>
    <row r="552" spans="1:10" x14ac:dyDescent="0.2">
      <c r="A552" t="s">
        <v>436</v>
      </c>
      <c r="B552" t="s">
        <v>2455</v>
      </c>
      <c r="C552">
        <v>2</v>
      </c>
      <c r="D552" t="s">
        <v>2456</v>
      </c>
      <c r="E552">
        <v>1</v>
      </c>
      <c r="F552" t="s">
        <v>2457</v>
      </c>
      <c r="G552" t="s">
        <v>65</v>
      </c>
      <c r="I552" t="s">
        <v>222</v>
      </c>
    </row>
    <row r="553" spans="1:10" x14ac:dyDescent="0.2">
      <c r="A553" t="s">
        <v>436</v>
      </c>
      <c r="B553" t="s">
        <v>2458</v>
      </c>
      <c r="C553">
        <v>1</v>
      </c>
      <c r="D553" t="s">
        <v>2459</v>
      </c>
      <c r="E553">
        <v>0</v>
      </c>
      <c r="F553" t="s">
        <v>2460</v>
      </c>
      <c r="G553" t="s">
        <v>59</v>
      </c>
      <c r="H553" t="s">
        <v>2461</v>
      </c>
      <c r="I553" t="s">
        <v>222</v>
      </c>
    </row>
    <row r="554" spans="1:10" x14ac:dyDescent="0.2">
      <c r="A554" t="s">
        <v>436</v>
      </c>
      <c r="B554" t="s">
        <v>2462</v>
      </c>
      <c r="C554">
        <v>3</v>
      </c>
      <c r="D554" t="s">
        <v>2463</v>
      </c>
      <c r="E554">
        <v>2</v>
      </c>
      <c r="F554" t="s">
        <v>174</v>
      </c>
      <c r="G554" t="s">
        <v>60</v>
      </c>
      <c r="H554" t="s">
        <v>2464</v>
      </c>
      <c r="I554" t="s">
        <v>222</v>
      </c>
    </row>
    <row r="555" spans="1:10" x14ac:dyDescent="0.2">
      <c r="A555" t="s">
        <v>436</v>
      </c>
      <c r="B555" t="s">
        <v>2465</v>
      </c>
      <c r="C555">
        <v>4</v>
      </c>
      <c r="D555" t="s">
        <v>2466</v>
      </c>
      <c r="E555">
        <v>4</v>
      </c>
      <c r="H555" t="s">
        <v>2454</v>
      </c>
      <c r="I555" t="s">
        <v>222</v>
      </c>
    </row>
    <row r="556" spans="1:10" x14ac:dyDescent="0.2">
      <c r="A556" t="s">
        <v>437</v>
      </c>
      <c r="B556" t="s">
        <v>2467</v>
      </c>
      <c r="C556">
        <v>1</v>
      </c>
      <c r="D556" t="s">
        <v>1017</v>
      </c>
      <c r="E556">
        <v>0</v>
      </c>
      <c r="F556" t="s">
        <v>273</v>
      </c>
      <c r="G556" t="s">
        <v>65</v>
      </c>
      <c r="H556" t="s">
        <v>2468</v>
      </c>
      <c r="I556" t="s">
        <v>222</v>
      </c>
    </row>
    <row r="557" spans="1:10" x14ac:dyDescent="0.2">
      <c r="A557" t="s">
        <v>437</v>
      </c>
      <c r="B557" t="s">
        <v>2469</v>
      </c>
      <c r="C557">
        <v>2</v>
      </c>
      <c r="D557" t="s">
        <v>2470</v>
      </c>
      <c r="E557">
        <v>0</v>
      </c>
      <c r="F557" t="s">
        <v>2471</v>
      </c>
      <c r="G557" t="s">
        <v>59</v>
      </c>
      <c r="H557" t="s">
        <v>2472</v>
      </c>
      <c r="I557" t="s">
        <v>222</v>
      </c>
    </row>
    <row r="558" spans="1:10" x14ac:dyDescent="0.2">
      <c r="A558" t="s">
        <v>437</v>
      </c>
      <c r="B558" t="s">
        <v>2473</v>
      </c>
      <c r="C558">
        <v>3</v>
      </c>
      <c r="D558" t="s">
        <v>2474</v>
      </c>
      <c r="E558">
        <v>1</v>
      </c>
      <c r="F558" t="s">
        <v>174</v>
      </c>
      <c r="G558" t="s">
        <v>60</v>
      </c>
      <c r="H558" t="s">
        <v>2475</v>
      </c>
      <c r="I558" t="s">
        <v>222</v>
      </c>
    </row>
    <row r="559" spans="1:10" x14ac:dyDescent="0.2">
      <c r="A559" t="s">
        <v>437</v>
      </c>
      <c r="B559" t="s">
        <v>2476</v>
      </c>
      <c r="C559">
        <v>4</v>
      </c>
      <c r="D559" t="s">
        <v>2477</v>
      </c>
      <c r="E559">
        <v>3</v>
      </c>
      <c r="H559" t="s">
        <v>2451</v>
      </c>
      <c r="I559" t="s">
        <v>222</v>
      </c>
    </row>
    <row r="560" spans="1:10" x14ac:dyDescent="0.2">
      <c r="A560" t="s">
        <v>437</v>
      </c>
      <c r="B560" t="s">
        <v>2478</v>
      </c>
      <c r="C560">
        <v>5</v>
      </c>
      <c r="D560" t="s">
        <v>2479</v>
      </c>
      <c r="E560">
        <v>4</v>
      </c>
      <c r="H560" t="s">
        <v>2454</v>
      </c>
      <c r="I560" t="s">
        <v>222</v>
      </c>
    </row>
    <row r="561" spans="1:9" x14ac:dyDescent="0.2">
      <c r="A561" t="s">
        <v>438</v>
      </c>
      <c r="B561" t="s">
        <v>2480</v>
      </c>
      <c r="C561">
        <v>1</v>
      </c>
      <c r="D561" t="s">
        <v>1017</v>
      </c>
      <c r="E561">
        <v>0</v>
      </c>
      <c r="F561" t="s">
        <v>273</v>
      </c>
      <c r="G561" t="s">
        <v>65</v>
      </c>
      <c r="H561" t="s">
        <v>2481</v>
      </c>
      <c r="I561" t="s">
        <v>222</v>
      </c>
    </row>
    <row r="562" spans="1:9" x14ac:dyDescent="0.2">
      <c r="A562" t="s">
        <v>438</v>
      </c>
      <c r="B562" t="s">
        <v>2482</v>
      </c>
      <c r="C562">
        <v>2</v>
      </c>
      <c r="D562" t="s">
        <v>2483</v>
      </c>
      <c r="E562">
        <v>0</v>
      </c>
      <c r="F562" t="s">
        <v>2484</v>
      </c>
      <c r="G562" t="s">
        <v>59</v>
      </c>
      <c r="H562" t="s">
        <v>2485</v>
      </c>
      <c r="I562" t="s">
        <v>222</v>
      </c>
    </row>
    <row r="563" spans="1:9" x14ac:dyDescent="0.2">
      <c r="A563" t="s">
        <v>438</v>
      </c>
      <c r="B563" t="s">
        <v>2486</v>
      </c>
      <c r="C563">
        <v>3</v>
      </c>
      <c r="D563" t="s">
        <v>2487</v>
      </c>
      <c r="E563">
        <v>1</v>
      </c>
      <c r="F563" t="s">
        <v>172</v>
      </c>
      <c r="G563" t="s">
        <v>61</v>
      </c>
      <c r="H563" t="s">
        <v>2488</v>
      </c>
      <c r="I563" t="s">
        <v>222</v>
      </c>
    </row>
    <row r="564" spans="1:9" x14ac:dyDescent="0.2">
      <c r="A564" t="s">
        <v>438</v>
      </c>
      <c r="B564" t="s">
        <v>2489</v>
      </c>
      <c r="C564">
        <v>4</v>
      </c>
      <c r="D564" t="s">
        <v>2490</v>
      </c>
      <c r="E564">
        <v>3</v>
      </c>
      <c r="G564" t="s">
        <v>58</v>
      </c>
      <c r="H564" t="s">
        <v>2491</v>
      </c>
      <c r="I564" t="s">
        <v>222</v>
      </c>
    </row>
    <row r="565" spans="1:9" x14ac:dyDescent="0.2">
      <c r="A565" t="s">
        <v>438</v>
      </c>
      <c r="B565" t="s">
        <v>2492</v>
      </c>
      <c r="C565">
        <v>5</v>
      </c>
      <c r="D565" t="s">
        <v>2493</v>
      </c>
      <c r="E565">
        <v>4</v>
      </c>
      <c r="H565" t="s">
        <v>2454</v>
      </c>
      <c r="I565" t="s">
        <v>222</v>
      </c>
    </row>
    <row r="566" spans="1:9" x14ac:dyDescent="0.2">
      <c r="A566" t="s">
        <v>439</v>
      </c>
      <c r="B566" t="s">
        <v>2494</v>
      </c>
      <c r="C566">
        <v>1</v>
      </c>
      <c r="D566" t="s">
        <v>2495</v>
      </c>
      <c r="E566">
        <v>0</v>
      </c>
      <c r="F566" t="s">
        <v>2496</v>
      </c>
      <c r="G566" t="s">
        <v>65</v>
      </c>
      <c r="I566" t="s">
        <v>222</v>
      </c>
    </row>
    <row r="567" spans="1:9" x14ac:dyDescent="0.2">
      <c r="A567" t="s">
        <v>439</v>
      </c>
      <c r="B567" t="s">
        <v>2497</v>
      </c>
      <c r="C567">
        <v>2</v>
      </c>
      <c r="D567" t="s">
        <v>2498</v>
      </c>
      <c r="E567">
        <v>0</v>
      </c>
      <c r="F567" t="s">
        <v>248</v>
      </c>
      <c r="G567" t="s">
        <v>59</v>
      </c>
      <c r="H567" t="s">
        <v>2499</v>
      </c>
      <c r="I567" t="s">
        <v>222</v>
      </c>
    </row>
    <row r="568" spans="1:9" x14ac:dyDescent="0.2">
      <c r="A568" t="s">
        <v>439</v>
      </c>
      <c r="B568" t="s">
        <v>2500</v>
      </c>
      <c r="C568">
        <v>3</v>
      </c>
      <c r="D568" t="s">
        <v>2501</v>
      </c>
      <c r="E568">
        <v>1</v>
      </c>
      <c r="F568" t="s">
        <v>255</v>
      </c>
      <c r="G568" t="s">
        <v>60</v>
      </c>
      <c r="H568" t="s">
        <v>2502</v>
      </c>
      <c r="I568" t="s">
        <v>222</v>
      </c>
    </row>
    <row r="569" spans="1:9" x14ac:dyDescent="0.2">
      <c r="A569" t="s">
        <v>439</v>
      </c>
      <c r="B569" t="s">
        <v>2503</v>
      </c>
      <c r="C569">
        <v>4</v>
      </c>
      <c r="D569" t="s">
        <v>2504</v>
      </c>
      <c r="E569">
        <v>4</v>
      </c>
      <c r="H569" t="s">
        <v>2454</v>
      </c>
      <c r="I569" t="s">
        <v>222</v>
      </c>
    </row>
    <row r="570" spans="1:9" x14ac:dyDescent="0.2">
      <c r="A570" t="s">
        <v>440</v>
      </c>
      <c r="B570" t="s">
        <v>2505</v>
      </c>
      <c r="C570">
        <v>1</v>
      </c>
      <c r="D570" t="s">
        <v>1017</v>
      </c>
      <c r="E570">
        <v>0</v>
      </c>
      <c r="F570" t="s">
        <v>273</v>
      </c>
      <c r="G570" t="s">
        <v>65</v>
      </c>
      <c r="H570" t="s">
        <v>2506</v>
      </c>
      <c r="I570" t="s">
        <v>222</v>
      </c>
    </row>
    <row r="571" spans="1:9" x14ac:dyDescent="0.2">
      <c r="A571" t="s">
        <v>440</v>
      </c>
      <c r="B571" t="s">
        <v>2507</v>
      </c>
      <c r="C571">
        <v>2</v>
      </c>
      <c r="D571" t="s">
        <v>2508</v>
      </c>
      <c r="E571">
        <v>0</v>
      </c>
      <c r="F571" t="s">
        <v>248</v>
      </c>
      <c r="G571" t="s">
        <v>59</v>
      </c>
      <c r="H571" t="s">
        <v>2509</v>
      </c>
      <c r="I571" t="s">
        <v>222</v>
      </c>
    </row>
    <row r="572" spans="1:9" x14ac:dyDescent="0.2">
      <c r="A572" t="s">
        <v>440</v>
      </c>
      <c r="B572" t="s">
        <v>2510</v>
      </c>
      <c r="C572">
        <v>3</v>
      </c>
      <c r="D572" t="s">
        <v>2511</v>
      </c>
      <c r="E572">
        <v>1</v>
      </c>
      <c r="F572" t="s">
        <v>172</v>
      </c>
      <c r="G572" t="s">
        <v>61</v>
      </c>
      <c r="H572" t="s">
        <v>2512</v>
      </c>
      <c r="I572" t="s">
        <v>222</v>
      </c>
    </row>
    <row r="573" spans="1:9" x14ac:dyDescent="0.2">
      <c r="A573" t="s">
        <v>440</v>
      </c>
      <c r="B573" t="s">
        <v>2513</v>
      </c>
      <c r="C573">
        <v>4</v>
      </c>
      <c r="D573" t="s">
        <v>2514</v>
      </c>
      <c r="E573">
        <v>3</v>
      </c>
      <c r="H573" t="s">
        <v>2515</v>
      </c>
      <c r="I573" t="s">
        <v>222</v>
      </c>
    </row>
    <row r="574" spans="1:9" x14ac:dyDescent="0.2">
      <c r="A574" t="s">
        <v>440</v>
      </c>
      <c r="B574" t="s">
        <v>2516</v>
      </c>
      <c r="C574">
        <v>5</v>
      </c>
      <c r="D574" t="s">
        <v>2517</v>
      </c>
      <c r="E574">
        <v>4</v>
      </c>
      <c r="H574" t="s">
        <v>2454</v>
      </c>
      <c r="I574" t="s">
        <v>222</v>
      </c>
    </row>
    <row r="575" spans="1:9" x14ac:dyDescent="0.2">
      <c r="A575" t="s">
        <v>441</v>
      </c>
      <c r="B575" t="s">
        <v>2518</v>
      </c>
      <c r="C575">
        <v>1</v>
      </c>
      <c r="D575" t="s">
        <v>1017</v>
      </c>
      <c r="E575">
        <v>0</v>
      </c>
      <c r="F575" t="s">
        <v>273</v>
      </c>
      <c r="G575" t="s">
        <v>65</v>
      </c>
      <c r="H575" t="s">
        <v>2519</v>
      </c>
      <c r="I575" t="s">
        <v>222</v>
      </c>
    </row>
    <row r="576" spans="1:9" x14ac:dyDescent="0.2">
      <c r="A576" t="s">
        <v>441</v>
      </c>
      <c r="B576" t="s">
        <v>2520</v>
      </c>
      <c r="C576">
        <v>2</v>
      </c>
      <c r="D576" t="s">
        <v>2521</v>
      </c>
      <c r="E576">
        <v>0</v>
      </c>
      <c r="F576" t="s">
        <v>248</v>
      </c>
      <c r="G576" t="s">
        <v>59</v>
      </c>
      <c r="H576" t="s">
        <v>2522</v>
      </c>
      <c r="I576" t="s">
        <v>222</v>
      </c>
    </row>
    <row r="577" spans="1:9" x14ac:dyDescent="0.2">
      <c r="A577" t="s">
        <v>441</v>
      </c>
      <c r="B577" t="s">
        <v>2523</v>
      </c>
      <c r="C577">
        <v>3</v>
      </c>
      <c r="D577" t="s">
        <v>2524</v>
      </c>
      <c r="E577">
        <v>1</v>
      </c>
      <c r="F577" t="s">
        <v>255</v>
      </c>
      <c r="G577" t="s">
        <v>60</v>
      </c>
      <c r="H577" t="s">
        <v>2525</v>
      </c>
      <c r="I577" t="s">
        <v>222</v>
      </c>
    </row>
    <row r="578" spans="1:9" x14ac:dyDescent="0.2">
      <c r="A578" t="s">
        <v>441</v>
      </c>
      <c r="B578" t="s">
        <v>2526</v>
      </c>
      <c r="C578">
        <v>4</v>
      </c>
      <c r="D578" t="s">
        <v>2527</v>
      </c>
      <c r="E578">
        <v>3</v>
      </c>
      <c r="H578" t="s">
        <v>2528</v>
      </c>
      <c r="I578" t="s">
        <v>222</v>
      </c>
    </row>
    <row r="579" spans="1:9" x14ac:dyDescent="0.2">
      <c r="A579" t="s">
        <v>441</v>
      </c>
      <c r="B579" t="s">
        <v>2529</v>
      </c>
      <c r="C579">
        <v>5</v>
      </c>
      <c r="D579" t="s">
        <v>2530</v>
      </c>
      <c r="E579">
        <v>4</v>
      </c>
      <c r="H579" t="s">
        <v>2454</v>
      </c>
      <c r="I579" t="s">
        <v>222</v>
      </c>
    </row>
    <row r="580" spans="1:9" x14ac:dyDescent="0.2">
      <c r="A580" t="s">
        <v>442</v>
      </c>
      <c r="B580" t="s">
        <v>2531</v>
      </c>
      <c r="C580">
        <v>1</v>
      </c>
      <c r="D580" t="s">
        <v>2532</v>
      </c>
      <c r="E580">
        <v>0</v>
      </c>
      <c r="F580" t="s">
        <v>248</v>
      </c>
      <c r="G580" t="s">
        <v>59</v>
      </c>
      <c r="H580" t="s">
        <v>2533</v>
      </c>
      <c r="I580" t="s">
        <v>222</v>
      </c>
    </row>
    <row r="581" spans="1:9" x14ac:dyDescent="0.2">
      <c r="A581" t="s">
        <v>442</v>
      </c>
      <c r="B581" t="s">
        <v>2534</v>
      </c>
      <c r="C581">
        <v>2</v>
      </c>
      <c r="D581" t="s">
        <v>2535</v>
      </c>
      <c r="E581">
        <v>1</v>
      </c>
      <c r="F581" t="s">
        <v>255</v>
      </c>
      <c r="G581" t="s">
        <v>60</v>
      </c>
      <c r="H581" t="s">
        <v>2536</v>
      </c>
      <c r="I581" t="s">
        <v>222</v>
      </c>
    </row>
    <row r="582" spans="1:9" x14ac:dyDescent="0.2">
      <c r="A582" t="s">
        <v>442</v>
      </c>
      <c r="B582" t="s">
        <v>2537</v>
      </c>
      <c r="C582">
        <v>3</v>
      </c>
      <c r="D582" t="s">
        <v>2538</v>
      </c>
      <c r="E582">
        <v>3</v>
      </c>
      <c r="H582" t="s">
        <v>2539</v>
      </c>
      <c r="I582" t="s">
        <v>222</v>
      </c>
    </row>
    <row r="583" spans="1:9" x14ac:dyDescent="0.2">
      <c r="A583" t="s">
        <v>442</v>
      </c>
      <c r="B583" t="s">
        <v>2540</v>
      </c>
      <c r="C583">
        <v>4</v>
      </c>
      <c r="D583" t="s">
        <v>2541</v>
      </c>
      <c r="E583">
        <v>4</v>
      </c>
      <c r="H583" t="s">
        <v>2454</v>
      </c>
      <c r="I583" t="s">
        <v>222</v>
      </c>
    </row>
    <row r="584" spans="1:9" x14ac:dyDescent="0.2">
      <c r="A584" t="s">
        <v>443</v>
      </c>
      <c r="B584" t="s">
        <v>2542</v>
      </c>
      <c r="C584">
        <v>1</v>
      </c>
      <c r="D584" t="s">
        <v>1017</v>
      </c>
      <c r="E584">
        <v>0</v>
      </c>
      <c r="F584" t="s">
        <v>273</v>
      </c>
      <c r="G584" t="s">
        <v>65</v>
      </c>
      <c r="H584" t="s">
        <v>2543</v>
      </c>
      <c r="I584" t="s">
        <v>222</v>
      </c>
    </row>
    <row r="585" spans="1:9" x14ac:dyDescent="0.2">
      <c r="A585" t="s">
        <v>443</v>
      </c>
      <c r="B585" t="s">
        <v>2544</v>
      </c>
      <c r="C585">
        <v>2</v>
      </c>
      <c r="D585" t="s">
        <v>2545</v>
      </c>
      <c r="E585">
        <v>0</v>
      </c>
      <c r="F585" t="s">
        <v>248</v>
      </c>
      <c r="G585" t="s">
        <v>59</v>
      </c>
      <c r="H585" t="s">
        <v>2546</v>
      </c>
      <c r="I585" t="s">
        <v>222</v>
      </c>
    </row>
    <row r="586" spans="1:9" x14ac:dyDescent="0.2">
      <c r="A586" t="s">
        <v>443</v>
      </c>
      <c r="B586" t="s">
        <v>2547</v>
      </c>
      <c r="C586">
        <v>3</v>
      </c>
      <c r="D586" t="s">
        <v>2548</v>
      </c>
      <c r="E586">
        <v>1</v>
      </c>
      <c r="F586" t="s">
        <v>276</v>
      </c>
      <c r="G586" t="s">
        <v>66</v>
      </c>
      <c r="H586" t="s">
        <v>2549</v>
      </c>
      <c r="I586" t="s">
        <v>222</v>
      </c>
    </row>
    <row r="587" spans="1:9" x14ac:dyDescent="0.2">
      <c r="A587" t="s">
        <v>443</v>
      </c>
      <c r="B587" t="s">
        <v>2550</v>
      </c>
      <c r="C587">
        <v>4</v>
      </c>
      <c r="D587" t="s">
        <v>2551</v>
      </c>
      <c r="E587">
        <v>3</v>
      </c>
      <c r="H587" t="s">
        <v>2552</v>
      </c>
      <c r="I587" t="s">
        <v>222</v>
      </c>
    </row>
    <row r="588" spans="1:9" x14ac:dyDescent="0.2">
      <c r="A588" t="s">
        <v>443</v>
      </c>
      <c r="B588" t="s">
        <v>2553</v>
      </c>
      <c r="C588">
        <v>5</v>
      </c>
      <c r="D588" t="s">
        <v>2554</v>
      </c>
      <c r="E588">
        <v>4</v>
      </c>
      <c r="H588" t="s">
        <v>2454</v>
      </c>
      <c r="I588" t="s">
        <v>222</v>
      </c>
    </row>
    <row r="589" spans="1:9" x14ac:dyDescent="0.2">
      <c r="A589" t="s">
        <v>444</v>
      </c>
      <c r="B589" t="s">
        <v>2555</v>
      </c>
      <c r="C589">
        <v>1</v>
      </c>
      <c r="D589" t="s">
        <v>2556</v>
      </c>
      <c r="E589">
        <v>0</v>
      </c>
      <c r="F589" t="s">
        <v>248</v>
      </c>
      <c r="G589" t="s">
        <v>59</v>
      </c>
      <c r="H589" t="s">
        <v>2557</v>
      </c>
      <c r="I589" t="s">
        <v>222</v>
      </c>
    </row>
    <row r="590" spans="1:9" x14ac:dyDescent="0.2">
      <c r="A590" t="s">
        <v>444</v>
      </c>
      <c r="B590" t="s">
        <v>2558</v>
      </c>
      <c r="C590">
        <v>2</v>
      </c>
      <c r="D590" t="s">
        <v>2559</v>
      </c>
      <c r="E590">
        <v>1</v>
      </c>
      <c r="F590" t="s">
        <v>255</v>
      </c>
      <c r="G590" t="s">
        <v>60</v>
      </c>
      <c r="H590" t="s">
        <v>2560</v>
      </c>
      <c r="I590" t="s">
        <v>222</v>
      </c>
    </row>
    <row r="591" spans="1:9" x14ac:dyDescent="0.2">
      <c r="A591" t="s">
        <v>444</v>
      </c>
      <c r="B591" t="s">
        <v>2561</v>
      </c>
      <c r="C591">
        <v>3</v>
      </c>
      <c r="D591" t="s">
        <v>2562</v>
      </c>
      <c r="E591">
        <v>3</v>
      </c>
      <c r="H591" t="s">
        <v>2563</v>
      </c>
      <c r="I591" t="s">
        <v>222</v>
      </c>
    </row>
    <row r="592" spans="1:9" x14ac:dyDescent="0.2">
      <c r="A592" t="s">
        <v>444</v>
      </c>
      <c r="B592" t="s">
        <v>2564</v>
      </c>
      <c r="C592">
        <v>4</v>
      </c>
      <c r="D592" t="s">
        <v>2565</v>
      </c>
      <c r="E592">
        <v>4</v>
      </c>
      <c r="H592" t="s">
        <v>2454</v>
      </c>
      <c r="I592" t="s">
        <v>222</v>
      </c>
    </row>
    <row r="593" spans="1:9" x14ac:dyDescent="0.2">
      <c r="A593" t="s">
        <v>445</v>
      </c>
      <c r="B593" t="s">
        <v>2566</v>
      </c>
      <c r="C593">
        <v>1</v>
      </c>
      <c r="D593" t="s">
        <v>1017</v>
      </c>
      <c r="E593">
        <v>0</v>
      </c>
      <c r="F593" t="s">
        <v>273</v>
      </c>
      <c r="G593" t="s">
        <v>65</v>
      </c>
      <c r="H593" t="s">
        <v>2567</v>
      </c>
      <c r="I593" t="s">
        <v>222</v>
      </c>
    </row>
    <row r="594" spans="1:9" x14ac:dyDescent="0.2">
      <c r="A594" t="s">
        <v>445</v>
      </c>
      <c r="B594" t="s">
        <v>2568</v>
      </c>
      <c r="C594">
        <v>2</v>
      </c>
      <c r="D594" t="s">
        <v>2569</v>
      </c>
      <c r="E594">
        <v>0</v>
      </c>
      <c r="F594" t="s">
        <v>248</v>
      </c>
      <c r="G594" t="s">
        <v>59</v>
      </c>
      <c r="H594" t="s">
        <v>2570</v>
      </c>
      <c r="I594" t="s">
        <v>222</v>
      </c>
    </row>
    <row r="595" spans="1:9" x14ac:dyDescent="0.2">
      <c r="A595" t="s">
        <v>445</v>
      </c>
      <c r="B595" t="s">
        <v>2571</v>
      </c>
      <c r="C595">
        <v>3</v>
      </c>
      <c r="D595" t="s">
        <v>2572</v>
      </c>
      <c r="E595">
        <v>1</v>
      </c>
      <c r="F595" t="s">
        <v>172</v>
      </c>
      <c r="G595" t="s">
        <v>61</v>
      </c>
      <c r="H595" t="s">
        <v>2573</v>
      </c>
      <c r="I595" t="s">
        <v>222</v>
      </c>
    </row>
    <row r="596" spans="1:9" x14ac:dyDescent="0.2">
      <c r="A596" t="s">
        <v>445</v>
      </c>
      <c r="B596" t="s">
        <v>2574</v>
      </c>
      <c r="C596">
        <v>4</v>
      </c>
      <c r="D596" t="s">
        <v>2575</v>
      </c>
      <c r="E596">
        <v>3</v>
      </c>
      <c r="H596" t="s">
        <v>2576</v>
      </c>
      <c r="I596" t="s">
        <v>222</v>
      </c>
    </row>
    <row r="597" spans="1:9" x14ac:dyDescent="0.2">
      <c r="A597" t="s">
        <v>445</v>
      </c>
      <c r="B597" t="s">
        <v>2577</v>
      </c>
      <c r="C597">
        <v>5</v>
      </c>
      <c r="D597" t="s">
        <v>2578</v>
      </c>
      <c r="E597">
        <v>4</v>
      </c>
      <c r="H597" t="s">
        <v>2454</v>
      </c>
      <c r="I597" t="s">
        <v>222</v>
      </c>
    </row>
    <row r="598" spans="1:9" x14ac:dyDescent="0.2">
      <c r="A598" t="s">
        <v>446</v>
      </c>
      <c r="B598" t="s">
        <v>2579</v>
      </c>
      <c r="C598">
        <v>1</v>
      </c>
      <c r="D598" t="s">
        <v>2580</v>
      </c>
      <c r="E598">
        <v>0</v>
      </c>
      <c r="F598" t="s">
        <v>265</v>
      </c>
      <c r="G598" t="s">
        <v>62</v>
      </c>
      <c r="H598" t="s">
        <v>2581</v>
      </c>
      <c r="I598" t="s">
        <v>222</v>
      </c>
    </row>
    <row r="599" spans="1:9" x14ac:dyDescent="0.2">
      <c r="A599" t="s">
        <v>446</v>
      </c>
      <c r="B599" t="s">
        <v>2582</v>
      </c>
      <c r="C599">
        <v>2</v>
      </c>
      <c r="D599" t="s">
        <v>2583</v>
      </c>
      <c r="E599">
        <v>1</v>
      </c>
      <c r="F599" t="s">
        <v>255</v>
      </c>
      <c r="G599" t="s">
        <v>60</v>
      </c>
      <c r="H599" t="s">
        <v>2584</v>
      </c>
      <c r="I599" t="s">
        <v>222</v>
      </c>
    </row>
    <row r="600" spans="1:9" x14ac:dyDescent="0.2">
      <c r="A600" t="s">
        <v>446</v>
      </c>
      <c r="B600" t="s">
        <v>2585</v>
      </c>
      <c r="C600">
        <v>3</v>
      </c>
      <c r="D600" t="s">
        <v>2586</v>
      </c>
      <c r="E600">
        <v>3</v>
      </c>
      <c r="H600" t="s">
        <v>2587</v>
      </c>
      <c r="I600" t="s">
        <v>222</v>
      </c>
    </row>
    <row r="601" spans="1:9" x14ac:dyDescent="0.2">
      <c r="A601" t="s">
        <v>446</v>
      </c>
      <c r="B601" t="s">
        <v>2588</v>
      </c>
      <c r="C601">
        <v>4</v>
      </c>
      <c r="D601" t="s">
        <v>2589</v>
      </c>
      <c r="E601">
        <v>4</v>
      </c>
      <c r="H601" t="s">
        <v>2454</v>
      </c>
      <c r="I601" t="s">
        <v>222</v>
      </c>
    </row>
    <row r="602" spans="1:9" x14ac:dyDescent="0.2">
      <c r="A602" t="s">
        <v>447</v>
      </c>
      <c r="B602" t="s">
        <v>2590</v>
      </c>
      <c r="C602">
        <v>1</v>
      </c>
      <c r="D602" t="s">
        <v>1017</v>
      </c>
      <c r="E602">
        <v>0</v>
      </c>
      <c r="F602" t="s">
        <v>273</v>
      </c>
      <c r="G602" t="s">
        <v>65</v>
      </c>
      <c r="H602" t="s">
        <v>2591</v>
      </c>
      <c r="I602" t="s">
        <v>222</v>
      </c>
    </row>
    <row r="603" spans="1:9" x14ac:dyDescent="0.2">
      <c r="A603" t="s">
        <v>447</v>
      </c>
      <c r="B603" t="s">
        <v>2592</v>
      </c>
      <c r="C603">
        <v>2</v>
      </c>
      <c r="D603" t="s">
        <v>2593</v>
      </c>
      <c r="E603">
        <v>0</v>
      </c>
      <c r="F603" t="s">
        <v>2594</v>
      </c>
      <c r="G603" t="s">
        <v>58</v>
      </c>
      <c r="H603" t="s">
        <v>2595</v>
      </c>
      <c r="I603" t="s">
        <v>222</v>
      </c>
    </row>
    <row r="604" spans="1:9" x14ac:dyDescent="0.2">
      <c r="A604" t="s">
        <v>447</v>
      </c>
      <c r="B604" t="s">
        <v>2596</v>
      </c>
      <c r="C604">
        <v>3</v>
      </c>
      <c r="D604" t="s">
        <v>2597</v>
      </c>
      <c r="E604">
        <v>1</v>
      </c>
      <c r="F604" t="s">
        <v>172</v>
      </c>
      <c r="G604" t="s">
        <v>61</v>
      </c>
      <c r="H604" t="s">
        <v>2598</v>
      </c>
      <c r="I604" t="s">
        <v>222</v>
      </c>
    </row>
    <row r="605" spans="1:9" x14ac:dyDescent="0.2">
      <c r="A605" t="s">
        <v>447</v>
      </c>
      <c r="B605" t="s">
        <v>2599</v>
      </c>
      <c r="C605">
        <v>4</v>
      </c>
      <c r="D605" t="s">
        <v>2600</v>
      </c>
      <c r="E605">
        <v>3</v>
      </c>
      <c r="H605" t="s">
        <v>2601</v>
      </c>
      <c r="I605" t="s">
        <v>222</v>
      </c>
    </row>
    <row r="606" spans="1:9" x14ac:dyDescent="0.2">
      <c r="A606" t="s">
        <v>447</v>
      </c>
      <c r="B606" t="s">
        <v>2602</v>
      </c>
      <c r="C606">
        <v>5</v>
      </c>
      <c r="D606" t="s">
        <v>2603</v>
      </c>
      <c r="E606">
        <v>4</v>
      </c>
      <c r="H606" t="s">
        <v>2454</v>
      </c>
      <c r="I606" t="s">
        <v>222</v>
      </c>
    </row>
    <row r="607" spans="1:9" x14ac:dyDescent="0.2">
      <c r="A607" t="s">
        <v>448</v>
      </c>
      <c r="B607" t="s">
        <v>2604</v>
      </c>
      <c r="C607">
        <v>1</v>
      </c>
      <c r="D607" t="s">
        <v>2605</v>
      </c>
      <c r="E607">
        <v>0</v>
      </c>
      <c r="F607" t="s">
        <v>237</v>
      </c>
      <c r="G607" t="s">
        <v>58</v>
      </c>
      <c r="H607" t="s">
        <v>2606</v>
      </c>
      <c r="I607" t="s">
        <v>222</v>
      </c>
    </row>
    <row r="608" spans="1:9" x14ac:dyDescent="0.2">
      <c r="A608" t="s">
        <v>448</v>
      </c>
      <c r="B608" t="s">
        <v>2607</v>
      </c>
      <c r="C608">
        <v>2</v>
      </c>
      <c r="D608" t="s">
        <v>2608</v>
      </c>
      <c r="E608">
        <v>1</v>
      </c>
      <c r="F608" t="s">
        <v>255</v>
      </c>
      <c r="G608" t="s">
        <v>60</v>
      </c>
      <c r="H608" t="s">
        <v>2609</v>
      </c>
      <c r="I608" t="s">
        <v>222</v>
      </c>
    </row>
    <row r="609" spans="1:9" x14ac:dyDescent="0.2">
      <c r="A609" t="s">
        <v>448</v>
      </c>
      <c r="B609" t="s">
        <v>2610</v>
      </c>
      <c r="C609">
        <v>3</v>
      </c>
      <c r="D609" t="s">
        <v>2611</v>
      </c>
      <c r="E609">
        <v>3</v>
      </c>
      <c r="H609" t="s">
        <v>2612</v>
      </c>
      <c r="I609" t="s">
        <v>222</v>
      </c>
    </row>
    <row r="610" spans="1:9" x14ac:dyDescent="0.2">
      <c r="A610" t="s">
        <v>448</v>
      </c>
      <c r="B610" t="s">
        <v>2613</v>
      </c>
      <c r="C610">
        <v>4</v>
      </c>
      <c r="D610" t="s">
        <v>2614</v>
      </c>
      <c r="E610">
        <v>4</v>
      </c>
      <c r="H610" t="s">
        <v>2454</v>
      </c>
      <c r="I610" t="s">
        <v>222</v>
      </c>
    </row>
    <row r="611" spans="1:9" x14ac:dyDescent="0.2">
      <c r="A611" t="s">
        <v>449</v>
      </c>
      <c r="B611" t="s">
        <v>2615</v>
      </c>
      <c r="C611">
        <v>1</v>
      </c>
      <c r="D611" t="s">
        <v>2616</v>
      </c>
      <c r="E611">
        <v>0</v>
      </c>
      <c r="F611" t="s">
        <v>248</v>
      </c>
      <c r="G611" t="s">
        <v>59</v>
      </c>
      <c r="H611" t="s">
        <v>2617</v>
      </c>
      <c r="I611" t="s">
        <v>222</v>
      </c>
    </row>
    <row r="612" spans="1:9" x14ac:dyDescent="0.2">
      <c r="A612" t="s">
        <v>449</v>
      </c>
      <c r="B612" t="s">
        <v>2618</v>
      </c>
      <c r="C612">
        <v>2</v>
      </c>
      <c r="D612" t="s">
        <v>2619</v>
      </c>
      <c r="E612">
        <v>1</v>
      </c>
      <c r="F612" t="s">
        <v>172</v>
      </c>
      <c r="G612" t="s">
        <v>61</v>
      </c>
      <c r="H612" t="s">
        <v>2620</v>
      </c>
      <c r="I612" t="s">
        <v>222</v>
      </c>
    </row>
    <row r="613" spans="1:9" x14ac:dyDescent="0.2">
      <c r="A613" t="s">
        <v>449</v>
      </c>
      <c r="B613" t="s">
        <v>2621</v>
      </c>
      <c r="C613">
        <v>3</v>
      </c>
      <c r="D613" t="s">
        <v>2622</v>
      </c>
      <c r="E613">
        <v>3</v>
      </c>
      <c r="H613" t="s">
        <v>2623</v>
      </c>
      <c r="I613" t="s">
        <v>222</v>
      </c>
    </row>
    <row r="614" spans="1:9" x14ac:dyDescent="0.2">
      <c r="A614" t="s">
        <v>449</v>
      </c>
      <c r="B614" t="s">
        <v>2624</v>
      </c>
      <c r="C614">
        <v>4</v>
      </c>
      <c r="D614" t="s">
        <v>2625</v>
      </c>
      <c r="E614">
        <v>4</v>
      </c>
      <c r="H614" t="s">
        <v>2454</v>
      </c>
      <c r="I614" t="s">
        <v>222</v>
      </c>
    </row>
    <row r="615" spans="1:9" x14ac:dyDescent="0.2">
      <c r="A615" t="s">
        <v>450</v>
      </c>
      <c r="B615" t="s">
        <v>2626</v>
      </c>
      <c r="C615">
        <v>1</v>
      </c>
      <c r="D615" t="s">
        <v>2627</v>
      </c>
      <c r="E615">
        <v>0</v>
      </c>
      <c r="F615" t="s">
        <v>265</v>
      </c>
      <c r="G615" t="s">
        <v>62</v>
      </c>
      <c r="H615" t="s">
        <v>2628</v>
      </c>
      <c r="I615" t="s">
        <v>222</v>
      </c>
    </row>
    <row r="616" spans="1:9" x14ac:dyDescent="0.2">
      <c r="A616" t="s">
        <v>450</v>
      </c>
      <c r="B616" t="s">
        <v>2629</v>
      </c>
      <c r="C616">
        <v>2</v>
      </c>
      <c r="D616" t="s">
        <v>2630</v>
      </c>
      <c r="E616">
        <v>1</v>
      </c>
      <c r="F616" t="s">
        <v>255</v>
      </c>
      <c r="G616" t="s">
        <v>60</v>
      </c>
      <c r="H616" t="s">
        <v>2631</v>
      </c>
      <c r="I616" t="s">
        <v>222</v>
      </c>
    </row>
    <row r="617" spans="1:9" x14ac:dyDescent="0.2">
      <c r="A617" t="s">
        <v>450</v>
      </c>
      <c r="B617" t="s">
        <v>2632</v>
      </c>
      <c r="C617">
        <v>3</v>
      </c>
      <c r="D617" t="s">
        <v>2633</v>
      </c>
      <c r="E617">
        <v>3</v>
      </c>
      <c r="H617" t="s">
        <v>2634</v>
      </c>
      <c r="I617" t="s">
        <v>222</v>
      </c>
    </row>
    <row r="618" spans="1:9" x14ac:dyDescent="0.2">
      <c r="A618" t="s">
        <v>450</v>
      </c>
      <c r="B618" t="s">
        <v>2635</v>
      </c>
      <c r="C618">
        <v>4</v>
      </c>
      <c r="D618" t="s">
        <v>2636</v>
      </c>
      <c r="E618">
        <v>4</v>
      </c>
      <c r="H618" t="s">
        <v>2454</v>
      </c>
      <c r="I618" t="s">
        <v>222</v>
      </c>
    </row>
    <row r="619" spans="1:9" x14ac:dyDescent="0.2">
      <c r="A619" t="s">
        <v>451</v>
      </c>
      <c r="B619" t="s">
        <v>2637</v>
      </c>
      <c r="C619">
        <v>1</v>
      </c>
      <c r="D619" t="s">
        <v>2638</v>
      </c>
      <c r="E619">
        <v>0</v>
      </c>
      <c r="F619" t="s">
        <v>248</v>
      </c>
      <c r="G619" t="s">
        <v>59</v>
      </c>
      <c r="H619" t="s">
        <v>2639</v>
      </c>
      <c r="I619" t="s">
        <v>222</v>
      </c>
    </row>
    <row r="620" spans="1:9" x14ac:dyDescent="0.2">
      <c r="A620" t="s">
        <v>451</v>
      </c>
      <c r="B620" t="s">
        <v>2640</v>
      </c>
      <c r="C620">
        <v>2</v>
      </c>
      <c r="D620" t="s">
        <v>2641</v>
      </c>
      <c r="E620">
        <v>1</v>
      </c>
      <c r="F620" t="s">
        <v>255</v>
      </c>
      <c r="G620" t="s">
        <v>60</v>
      </c>
      <c r="H620" t="s">
        <v>2642</v>
      </c>
      <c r="I620" t="s">
        <v>222</v>
      </c>
    </row>
    <row r="621" spans="1:9" x14ac:dyDescent="0.2">
      <c r="A621" t="s">
        <v>451</v>
      </c>
      <c r="B621" t="s">
        <v>2643</v>
      </c>
      <c r="C621">
        <v>3</v>
      </c>
      <c r="D621" t="s">
        <v>2644</v>
      </c>
      <c r="E621">
        <v>3</v>
      </c>
      <c r="H621" t="s">
        <v>2645</v>
      </c>
      <c r="I621" t="s">
        <v>222</v>
      </c>
    </row>
    <row r="622" spans="1:9" x14ac:dyDescent="0.2">
      <c r="A622" t="s">
        <v>451</v>
      </c>
      <c r="B622" t="s">
        <v>2646</v>
      </c>
      <c r="C622">
        <v>4</v>
      </c>
      <c r="D622" t="s">
        <v>2647</v>
      </c>
      <c r="E622">
        <v>4</v>
      </c>
      <c r="H622" t="s">
        <v>2454</v>
      </c>
      <c r="I622" t="s">
        <v>222</v>
      </c>
    </row>
    <row r="623" spans="1:9" x14ac:dyDescent="0.2">
      <c r="A623" t="s">
        <v>452</v>
      </c>
      <c r="B623" t="s">
        <v>2648</v>
      </c>
      <c r="C623">
        <v>1</v>
      </c>
      <c r="D623" t="s">
        <v>2649</v>
      </c>
      <c r="E623">
        <v>0</v>
      </c>
      <c r="F623" t="s">
        <v>2594</v>
      </c>
      <c r="G623" t="s">
        <v>58</v>
      </c>
      <c r="H623" t="s">
        <v>2650</v>
      </c>
      <c r="I623" t="s">
        <v>222</v>
      </c>
    </row>
    <row r="624" spans="1:9" x14ac:dyDescent="0.2">
      <c r="A624" t="s">
        <v>452</v>
      </c>
      <c r="B624" t="s">
        <v>2651</v>
      </c>
      <c r="C624">
        <v>2</v>
      </c>
      <c r="D624" t="s">
        <v>2652</v>
      </c>
      <c r="E624">
        <v>1</v>
      </c>
      <c r="F624" t="s">
        <v>255</v>
      </c>
      <c r="G624" t="s">
        <v>60</v>
      </c>
      <c r="H624" t="s">
        <v>2653</v>
      </c>
      <c r="I624" t="s">
        <v>222</v>
      </c>
    </row>
    <row r="625" spans="1:9" x14ac:dyDescent="0.2">
      <c r="A625" t="s">
        <v>452</v>
      </c>
      <c r="B625" t="s">
        <v>2654</v>
      </c>
      <c r="C625">
        <v>3</v>
      </c>
      <c r="D625" t="s">
        <v>2655</v>
      </c>
      <c r="E625">
        <v>3</v>
      </c>
      <c r="H625" t="s">
        <v>2656</v>
      </c>
      <c r="I625" t="s">
        <v>222</v>
      </c>
    </row>
    <row r="626" spans="1:9" x14ac:dyDescent="0.2">
      <c r="A626" t="s">
        <v>452</v>
      </c>
      <c r="B626" t="s">
        <v>2657</v>
      </c>
      <c r="C626">
        <v>4</v>
      </c>
      <c r="D626" t="s">
        <v>2658</v>
      </c>
      <c r="E626">
        <v>4</v>
      </c>
      <c r="H626" t="s">
        <v>2454</v>
      </c>
      <c r="I626" t="s">
        <v>222</v>
      </c>
    </row>
    <row r="627" spans="1:9" x14ac:dyDescent="0.2">
      <c r="A627" t="s">
        <v>453</v>
      </c>
      <c r="B627" t="s">
        <v>2659</v>
      </c>
      <c r="C627">
        <v>1</v>
      </c>
      <c r="D627" t="s">
        <v>1017</v>
      </c>
      <c r="E627">
        <v>0</v>
      </c>
      <c r="F627" t="s">
        <v>273</v>
      </c>
      <c r="G627" t="s">
        <v>65</v>
      </c>
      <c r="H627" t="s">
        <v>2660</v>
      </c>
      <c r="I627" t="s">
        <v>222</v>
      </c>
    </row>
    <row r="628" spans="1:9" x14ac:dyDescent="0.2">
      <c r="A628" t="s">
        <v>453</v>
      </c>
      <c r="B628" t="s">
        <v>2661</v>
      </c>
      <c r="C628">
        <v>2</v>
      </c>
      <c r="D628" t="s">
        <v>2662</v>
      </c>
      <c r="E628">
        <v>0</v>
      </c>
      <c r="F628" t="s">
        <v>276</v>
      </c>
      <c r="G628" t="s">
        <v>66</v>
      </c>
      <c r="H628" t="s">
        <v>2663</v>
      </c>
      <c r="I628" t="s">
        <v>222</v>
      </c>
    </row>
    <row r="629" spans="1:9" x14ac:dyDescent="0.2">
      <c r="A629" t="s">
        <v>453</v>
      </c>
      <c r="B629" t="s">
        <v>2664</v>
      </c>
      <c r="C629">
        <v>3</v>
      </c>
      <c r="D629" t="s">
        <v>2665</v>
      </c>
      <c r="E629">
        <v>1</v>
      </c>
      <c r="F629" t="s">
        <v>174</v>
      </c>
      <c r="G629" t="s">
        <v>63</v>
      </c>
      <c r="H629" t="s">
        <v>2666</v>
      </c>
      <c r="I629" t="s">
        <v>222</v>
      </c>
    </row>
    <row r="630" spans="1:9" x14ac:dyDescent="0.2">
      <c r="A630" t="s">
        <v>453</v>
      </c>
      <c r="B630" t="s">
        <v>2667</v>
      </c>
      <c r="C630">
        <v>4</v>
      </c>
      <c r="D630" t="s">
        <v>2668</v>
      </c>
      <c r="E630">
        <v>3</v>
      </c>
      <c r="H630" t="s">
        <v>2669</v>
      </c>
      <c r="I630" t="s">
        <v>222</v>
      </c>
    </row>
    <row r="631" spans="1:9" x14ac:dyDescent="0.2">
      <c r="A631" t="s">
        <v>453</v>
      </c>
      <c r="B631" t="s">
        <v>2670</v>
      </c>
      <c r="C631">
        <v>5</v>
      </c>
      <c r="D631" t="s">
        <v>2671</v>
      </c>
      <c r="E631">
        <v>4</v>
      </c>
      <c r="H631" t="s">
        <v>2454</v>
      </c>
      <c r="I631" t="s">
        <v>222</v>
      </c>
    </row>
    <row r="632" spans="1:9" x14ac:dyDescent="0.2">
      <c r="A632" t="s">
        <v>455</v>
      </c>
      <c r="B632" t="s">
        <v>2672</v>
      </c>
      <c r="C632">
        <v>1</v>
      </c>
      <c r="D632" t="s">
        <v>2673</v>
      </c>
      <c r="E632">
        <v>0</v>
      </c>
      <c r="F632" t="s">
        <v>276</v>
      </c>
      <c r="G632" t="s">
        <v>66</v>
      </c>
      <c r="H632" t="s">
        <v>2663</v>
      </c>
      <c r="I632" t="s">
        <v>222</v>
      </c>
    </row>
    <row r="633" spans="1:9" x14ac:dyDescent="0.2">
      <c r="A633" t="s">
        <v>455</v>
      </c>
      <c r="B633" t="s">
        <v>2674</v>
      </c>
      <c r="C633">
        <v>2</v>
      </c>
      <c r="D633" t="s">
        <v>2675</v>
      </c>
      <c r="E633">
        <v>2</v>
      </c>
      <c r="F633" t="s">
        <v>2676</v>
      </c>
      <c r="G633" t="s">
        <v>63</v>
      </c>
      <c r="H633" t="s">
        <v>2677</v>
      </c>
      <c r="I633" t="s">
        <v>222</v>
      </c>
    </row>
    <row r="634" spans="1:9" x14ac:dyDescent="0.2">
      <c r="A634" t="s">
        <v>455</v>
      </c>
      <c r="B634" t="s">
        <v>2678</v>
      </c>
      <c r="C634">
        <v>3</v>
      </c>
      <c r="D634" t="s">
        <v>2679</v>
      </c>
      <c r="E634">
        <v>3</v>
      </c>
      <c r="F634" t="s">
        <v>174</v>
      </c>
      <c r="G634" t="s">
        <v>63</v>
      </c>
      <c r="H634" t="s">
        <v>2666</v>
      </c>
      <c r="I634" t="s">
        <v>222</v>
      </c>
    </row>
    <row r="635" spans="1:9" x14ac:dyDescent="0.2">
      <c r="A635" t="s">
        <v>456</v>
      </c>
      <c r="B635" t="s">
        <v>2680</v>
      </c>
      <c r="C635">
        <v>1</v>
      </c>
      <c r="D635" t="s">
        <v>2681</v>
      </c>
      <c r="E635">
        <v>0</v>
      </c>
      <c r="F635" t="s">
        <v>255</v>
      </c>
      <c r="G635" t="s">
        <v>60</v>
      </c>
      <c r="H635" t="s">
        <v>2682</v>
      </c>
      <c r="I635" t="s">
        <v>222</v>
      </c>
    </row>
    <row r="636" spans="1:9" x14ac:dyDescent="0.2">
      <c r="A636" t="s">
        <v>456</v>
      </c>
      <c r="B636" t="s">
        <v>2683</v>
      </c>
      <c r="C636">
        <v>2</v>
      </c>
      <c r="D636" t="s">
        <v>2684</v>
      </c>
      <c r="E636">
        <v>1</v>
      </c>
      <c r="F636" t="s">
        <v>172</v>
      </c>
      <c r="G636" t="s">
        <v>61</v>
      </c>
      <c r="H636" t="s">
        <v>2685</v>
      </c>
      <c r="I636" t="s">
        <v>222</v>
      </c>
    </row>
    <row r="637" spans="1:9" x14ac:dyDescent="0.2">
      <c r="A637" t="s">
        <v>456</v>
      </c>
      <c r="B637" t="s">
        <v>2686</v>
      </c>
      <c r="C637">
        <v>3</v>
      </c>
      <c r="D637" t="s">
        <v>2687</v>
      </c>
      <c r="E637">
        <v>3</v>
      </c>
      <c r="H637" t="s">
        <v>2688</v>
      </c>
      <c r="I637" t="s">
        <v>222</v>
      </c>
    </row>
    <row r="638" spans="1:9" x14ac:dyDescent="0.2">
      <c r="A638" t="s">
        <v>456</v>
      </c>
      <c r="B638" t="s">
        <v>2689</v>
      </c>
      <c r="C638">
        <v>4</v>
      </c>
      <c r="D638" t="s">
        <v>2690</v>
      </c>
      <c r="E638">
        <v>4</v>
      </c>
      <c r="H638" t="s">
        <v>2454</v>
      </c>
      <c r="I638" t="s">
        <v>222</v>
      </c>
    </row>
    <row r="639" spans="1:9" x14ac:dyDescent="0.2">
      <c r="A639" t="s">
        <v>457</v>
      </c>
      <c r="B639" t="s">
        <v>2691</v>
      </c>
      <c r="C639">
        <v>1</v>
      </c>
      <c r="D639" t="s">
        <v>1017</v>
      </c>
      <c r="E639">
        <v>0</v>
      </c>
      <c r="F639" t="s">
        <v>273</v>
      </c>
      <c r="G639" t="s">
        <v>65</v>
      </c>
      <c r="H639" t="s">
        <v>2692</v>
      </c>
      <c r="I639" t="s">
        <v>222</v>
      </c>
    </row>
    <row r="640" spans="1:9" x14ac:dyDescent="0.2">
      <c r="A640" t="s">
        <v>457</v>
      </c>
      <c r="B640" t="s">
        <v>2693</v>
      </c>
      <c r="C640">
        <v>2</v>
      </c>
      <c r="D640" t="s">
        <v>2694</v>
      </c>
      <c r="E640">
        <v>0</v>
      </c>
      <c r="F640" t="s">
        <v>276</v>
      </c>
      <c r="G640" t="s">
        <v>66</v>
      </c>
      <c r="H640" t="s">
        <v>2695</v>
      </c>
      <c r="I640" t="s">
        <v>222</v>
      </c>
    </row>
    <row r="641" spans="1:9" x14ac:dyDescent="0.2">
      <c r="A641" t="s">
        <v>457</v>
      </c>
      <c r="B641" t="s">
        <v>2696</v>
      </c>
      <c r="C641">
        <v>3</v>
      </c>
      <c r="D641" t="s">
        <v>2697</v>
      </c>
      <c r="E641">
        <v>1</v>
      </c>
      <c r="F641" t="s">
        <v>276</v>
      </c>
      <c r="G641" t="s">
        <v>66</v>
      </c>
      <c r="H641" t="s">
        <v>2549</v>
      </c>
      <c r="I641" t="s">
        <v>222</v>
      </c>
    </row>
    <row r="642" spans="1:9" x14ac:dyDescent="0.2">
      <c r="A642" t="s">
        <v>457</v>
      </c>
      <c r="B642" t="s">
        <v>2698</v>
      </c>
      <c r="C642">
        <v>4</v>
      </c>
      <c r="D642" t="s">
        <v>2699</v>
      </c>
      <c r="E642">
        <v>3</v>
      </c>
      <c r="H642" t="s">
        <v>2552</v>
      </c>
      <c r="I642" t="s">
        <v>222</v>
      </c>
    </row>
    <row r="643" spans="1:9" x14ac:dyDescent="0.2">
      <c r="A643" t="s">
        <v>457</v>
      </c>
      <c r="B643" t="s">
        <v>2700</v>
      </c>
      <c r="C643">
        <v>5</v>
      </c>
      <c r="D643" t="s">
        <v>2701</v>
      </c>
      <c r="E643">
        <v>4</v>
      </c>
      <c r="H643" t="s">
        <v>2454</v>
      </c>
      <c r="I643" t="s">
        <v>222</v>
      </c>
    </row>
    <row r="644" spans="1:9" x14ac:dyDescent="0.2">
      <c r="A644" t="s">
        <v>458</v>
      </c>
      <c r="B644" t="s">
        <v>2702</v>
      </c>
      <c r="C644">
        <v>1</v>
      </c>
      <c r="D644" t="s">
        <v>2703</v>
      </c>
      <c r="E644">
        <v>0</v>
      </c>
      <c r="F644" t="s">
        <v>236</v>
      </c>
      <c r="G644" t="s">
        <v>57</v>
      </c>
      <c r="H644" t="s">
        <v>2704</v>
      </c>
      <c r="I644" t="s">
        <v>222</v>
      </c>
    </row>
    <row r="645" spans="1:9" x14ac:dyDescent="0.2">
      <c r="A645" t="s">
        <v>458</v>
      </c>
      <c r="B645" t="s">
        <v>2705</v>
      </c>
      <c r="C645">
        <v>2</v>
      </c>
      <c r="D645" t="s">
        <v>2706</v>
      </c>
      <c r="E645">
        <v>1</v>
      </c>
      <c r="F645" t="s">
        <v>255</v>
      </c>
      <c r="G645" t="s">
        <v>60</v>
      </c>
      <c r="H645" t="s">
        <v>2707</v>
      </c>
      <c r="I645" t="s">
        <v>222</v>
      </c>
    </row>
    <row r="646" spans="1:9" x14ac:dyDescent="0.2">
      <c r="A646" t="s">
        <v>458</v>
      </c>
      <c r="B646" t="s">
        <v>2708</v>
      </c>
      <c r="C646">
        <v>3</v>
      </c>
      <c r="D646" t="s">
        <v>2709</v>
      </c>
      <c r="E646">
        <v>3</v>
      </c>
      <c r="H646" t="s">
        <v>2710</v>
      </c>
      <c r="I646" t="s">
        <v>222</v>
      </c>
    </row>
    <row r="647" spans="1:9" x14ac:dyDescent="0.2">
      <c r="A647" t="s">
        <v>458</v>
      </c>
      <c r="B647" t="s">
        <v>2711</v>
      </c>
      <c r="C647">
        <v>4</v>
      </c>
      <c r="D647" t="s">
        <v>2712</v>
      </c>
      <c r="E647">
        <v>4</v>
      </c>
      <c r="H647" t="s">
        <v>2454</v>
      </c>
      <c r="I647" t="s">
        <v>222</v>
      </c>
    </row>
    <row r="648" spans="1:9" x14ac:dyDescent="0.2">
      <c r="A648" t="s">
        <v>459</v>
      </c>
      <c r="B648" t="s">
        <v>2713</v>
      </c>
      <c r="C648">
        <v>1</v>
      </c>
      <c r="D648" t="s">
        <v>1017</v>
      </c>
      <c r="E648">
        <v>0</v>
      </c>
      <c r="F648" t="s">
        <v>273</v>
      </c>
      <c r="G648" t="s">
        <v>65</v>
      </c>
      <c r="H648" t="s">
        <v>2714</v>
      </c>
      <c r="I648" t="s">
        <v>222</v>
      </c>
    </row>
    <row r="649" spans="1:9" x14ac:dyDescent="0.2">
      <c r="A649" t="s">
        <v>459</v>
      </c>
      <c r="B649" t="s">
        <v>2715</v>
      </c>
      <c r="C649">
        <v>2</v>
      </c>
      <c r="D649" t="s">
        <v>2716</v>
      </c>
      <c r="E649">
        <v>0</v>
      </c>
      <c r="F649" t="s">
        <v>178</v>
      </c>
      <c r="G649" t="s">
        <v>55</v>
      </c>
      <c r="H649" t="s">
        <v>2717</v>
      </c>
      <c r="I649" t="s">
        <v>222</v>
      </c>
    </row>
    <row r="650" spans="1:9" x14ac:dyDescent="0.2">
      <c r="A650" t="s">
        <v>459</v>
      </c>
      <c r="B650" t="s">
        <v>2718</v>
      </c>
      <c r="C650">
        <v>3</v>
      </c>
      <c r="D650" t="s">
        <v>2719</v>
      </c>
      <c r="E650">
        <v>1</v>
      </c>
      <c r="F650" t="s">
        <v>255</v>
      </c>
      <c r="G650" t="s">
        <v>60</v>
      </c>
      <c r="H650" t="s">
        <v>2720</v>
      </c>
      <c r="I650" t="s">
        <v>222</v>
      </c>
    </row>
    <row r="651" spans="1:9" x14ac:dyDescent="0.2">
      <c r="A651" t="s">
        <v>459</v>
      </c>
      <c r="B651" t="s">
        <v>2721</v>
      </c>
      <c r="C651">
        <v>4</v>
      </c>
      <c r="D651" t="s">
        <v>2722</v>
      </c>
      <c r="E651">
        <v>3</v>
      </c>
      <c r="H651" t="s">
        <v>2723</v>
      </c>
      <c r="I651" t="s">
        <v>222</v>
      </c>
    </row>
    <row r="652" spans="1:9" x14ac:dyDescent="0.2">
      <c r="A652" t="s">
        <v>459</v>
      </c>
      <c r="B652" t="s">
        <v>2724</v>
      </c>
      <c r="C652">
        <v>5</v>
      </c>
      <c r="D652" t="s">
        <v>2725</v>
      </c>
      <c r="E652">
        <v>4</v>
      </c>
      <c r="H652" t="s">
        <v>2454</v>
      </c>
      <c r="I652" t="s">
        <v>222</v>
      </c>
    </row>
    <row r="653" spans="1:9" x14ac:dyDescent="0.2">
      <c r="A653" t="s">
        <v>460</v>
      </c>
      <c r="B653" t="s">
        <v>2726</v>
      </c>
      <c r="C653">
        <v>1</v>
      </c>
      <c r="D653" t="s">
        <v>2727</v>
      </c>
      <c r="E653">
        <v>0</v>
      </c>
      <c r="F653" t="s">
        <v>178</v>
      </c>
      <c r="G653" t="s">
        <v>55</v>
      </c>
      <c r="H653" t="s">
        <v>2728</v>
      </c>
      <c r="I653" t="s">
        <v>222</v>
      </c>
    </row>
    <row r="654" spans="1:9" x14ac:dyDescent="0.2">
      <c r="A654" t="s">
        <v>460</v>
      </c>
      <c r="B654" t="s">
        <v>2729</v>
      </c>
      <c r="C654">
        <v>2</v>
      </c>
      <c r="D654" t="s">
        <v>2730</v>
      </c>
      <c r="E654">
        <v>1</v>
      </c>
      <c r="F654" t="s">
        <v>255</v>
      </c>
      <c r="G654" t="s">
        <v>60</v>
      </c>
      <c r="H654" t="s">
        <v>2731</v>
      </c>
      <c r="I654" t="s">
        <v>222</v>
      </c>
    </row>
    <row r="655" spans="1:9" x14ac:dyDescent="0.2">
      <c r="A655" t="s">
        <v>460</v>
      </c>
      <c r="B655" t="s">
        <v>2732</v>
      </c>
      <c r="C655">
        <v>3</v>
      </c>
      <c r="D655" t="s">
        <v>2733</v>
      </c>
      <c r="E655">
        <v>3</v>
      </c>
      <c r="H655" t="s">
        <v>2734</v>
      </c>
      <c r="I655" t="s">
        <v>222</v>
      </c>
    </row>
    <row r="656" spans="1:9" x14ac:dyDescent="0.2">
      <c r="A656" t="s">
        <v>460</v>
      </c>
      <c r="B656" t="s">
        <v>2735</v>
      </c>
      <c r="C656">
        <v>4</v>
      </c>
      <c r="D656" t="s">
        <v>2736</v>
      </c>
      <c r="E656">
        <v>4</v>
      </c>
      <c r="H656" t="s">
        <v>2454</v>
      </c>
      <c r="I656" t="s">
        <v>222</v>
      </c>
    </row>
    <row r="657" spans="1:9" x14ac:dyDescent="0.2">
      <c r="A657" t="s">
        <v>461</v>
      </c>
      <c r="B657" t="s">
        <v>2737</v>
      </c>
      <c r="C657">
        <v>1</v>
      </c>
      <c r="D657" t="s">
        <v>2738</v>
      </c>
      <c r="E657">
        <v>0</v>
      </c>
      <c r="F657" t="s">
        <v>2739</v>
      </c>
      <c r="G657" t="s">
        <v>66</v>
      </c>
      <c r="H657" t="s">
        <v>2740</v>
      </c>
      <c r="I657" t="s">
        <v>222</v>
      </c>
    </row>
    <row r="658" spans="1:9" x14ac:dyDescent="0.2">
      <c r="A658" t="s">
        <v>461</v>
      </c>
      <c r="B658" t="s">
        <v>2741</v>
      </c>
      <c r="C658">
        <v>2</v>
      </c>
      <c r="D658" t="s">
        <v>2742</v>
      </c>
      <c r="E658">
        <v>1</v>
      </c>
      <c r="F658" t="s">
        <v>178</v>
      </c>
      <c r="G658" t="s">
        <v>55</v>
      </c>
      <c r="H658" t="s">
        <v>2743</v>
      </c>
      <c r="I658" t="s">
        <v>222</v>
      </c>
    </row>
    <row r="659" spans="1:9" x14ac:dyDescent="0.2">
      <c r="A659" t="s">
        <v>461</v>
      </c>
      <c r="B659" t="s">
        <v>2744</v>
      </c>
      <c r="C659">
        <v>3</v>
      </c>
      <c r="D659" t="s">
        <v>2745</v>
      </c>
      <c r="E659">
        <v>3</v>
      </c>
      <c r="H659" t="s">
        <v>2746</v>
      </c>
      <c r="I659" t="s">
        <v>222</v>
      </c>
    </row>
    <row r="660" spans="1:9" x14ac:dyDescent="0.2">
      <c r="A660" t="s">
        <v>461</v>
      </c>
      <c r="B660" t="s">
        <v>2747</v>
      </c>
      <c r="C660">
        <v>4</v>
      </c>
      <c r="D660" t="s">
        <v>2748</v>
      </c>
      <c r="E660">
        <v>4</v>
      </c>
      <c r="H660" t="s">
        <v>2454</v>
      </c>
      <c r="I660" t="s">
        <v>222</v>
      </c>
    </row>
    <row r="661" spans="1:9" x14ac:dyDescent="0.2">
      <c r="A661" t="s">
        <v>462</v>
      </c>
      <c r="B661" t="s">
        <v>2749</v>
      </c>
      <c r="C661">
        <v>1</v>
      </c>
      <c r="D661" t="s">
        <v>2750</v>
      </c>
      <c r="E661">
        <v>0</v>
      </c>
      <c r="F661" t="s">
        <v>276</v>
      </c>
      <c r="G661" t="s">
        <v>66</v>
      </c>
      <c r="H661" t="s">
        <v>2751</v>
      </c>
      <c r="I661" t="s">
        <v>222</v>
      </c>
    </row>
    <row r="662" spans="1:9" x14ac:dyDescent="0.2">
      <c r="A662" t="s">
        <v>462</v>
      </c>
      <c r="B662" t="s">
        <v>2752</v>
      </c>
      <c r="C662">
        <v>2</v>
      </c>
      <c r="D662" t="s">
        <v>2753</v>
      </c>
      <c r="E662">
        <v>1</v>
      </c>
      <c r="F662" t="s">
        <v>172</v>
      </c>
      <c r="G662" t="s">
        <v>61</v>
      </c>
      <c r="H662" t="s">
        <v>2754</v>
      </c>
      <c r="I662" t="s">
        <v>222</v>
      </c>
    </row>
    <row r="663" spans="1:9" x14ac:dyDescent="0.2">
      <c r="A663" t="s">
        <v>462</v>
      </c>
      <c r="B663" t="s">
        <v>2755</v>
      </c>
      <c r="C663">
        <v>3</v>
      </c>
      <c r="D663" t="s">
        <v>2756</v>
      </c>
      <c r="E663">
        <v>3</v>
      </c>
      <c r="H663" t="s">
        <v>2757</v>
      </c>
      <c r="I663" t="s">
        <v>222</v>
      </c>
    </row>
    <row r="664" spans="1:9" x14ac:dyDescent="0.2">
      <c r="A664" t="s">
        <v>462</v>
      </c>
      <c r="B664" t="s">
        <v>2758</v>
      </c>
      <c r="C664">
        <v>4</v>
      </c>
      <c r="D664" t="s">
        <v>2759</v>
      </c>
      <c r="E664">
        <v>4</v>
      </c>
      <c r="H664" t="s">
        <v>2454</v>
      </c>
      <c r="I664" t="s">
        <v>222</v>
      </c>
    </row>
    <row r="665" spans="1:9" x14ac:dyDescent="0.2">
      <c r="A665" t="s">
        <v>463</v>
      </c>
      <c r="B665" t="s">
        <v>2760</v>
      </c>
      <c r="C665">
        <v>1</v>
      </c>
      <c r="D665" t="s">
        <v>2761</v>
      </c>
      <c r="E665">
        <v>0</v>
      </c>
      <c r="F665" t="s">
        <v>276</v>
      </c>
      <c r="G665" t="s">
        <v>66</v>
      </c>
      <c r="H665" t="s">
        <v>2762</v>
      </c>
      <c r="I665" t="s">
        <v>222</v>
      </c>
    </row>
    <row r="666" spans="1:9" x14ac:dyDescent="0.2">
      <c r="A666" t="s">
        <v>463</v>
      </c>
      <c r="B666" t="s">
        <v>2763</v>
      </c>
      <c r="C666">
        <v>2</v>
      </c>
      <c r="D666" t="s">
        <v>2764</v>
      </c>
      <c r="E666">
        <v>1</v>
      </c>
      <c r="F666" t="s">
        <v>255</v>
      </c>
      <c r="G666" t="s">
        <v>60</v>
      </c>
      <c r="H666" t="s">
        <v>2765</v>
      </c>
      <c r="I666" t="s">
        <v>222</v>
      </c>
    </row>
    <row r="667" spans="1:9" x14ac:dyDescent="0.2">
      <c r="A667" t="s">
        <v>463</v>
      </c>
      <c r="B667" t="s">
        <v>2766</v>
      </c>
      <c r="C667">
        <v>3</v>
      </c>
      <c r="D667" t="s">
        <v>2767</v>
      </c>
      <c r="E667">
        <v>3</v>
      </c>
      <c r="H667" t="s">
        <v>2768</v>
      </c>
      <c r="I667" t="s">
        <v>222</v>
      </c>
    </row>
    <row r="668" spans="1:9" x14ac:dyDescent="0.2">
      <c r="A668" t="s">
        <v>463</v>
      </c>
      <c r="B668" t="s">
        <v>2769</v>
      </c>
      <c r="C668">
        <v>4</v>
      </c>
      <c r="D668" t="s">
        <v>2770</v>
      </c>
      <c r="E668">
        <v>4</v>
      </c>
      <c r="H668" t="s">
        <v>2454</v>
      </c>
      <c r="I668" t="s">
        <v>222</v>
      </c>
    </row>
    <row r="669" spans="1:9" x14ac:dyDescent="0.2">
      <c r="A669" t="s">
        <v>464</v>
      </c>
      <c r="B669" t="s">
        <v>2771</v>
      </c>
      <c r="C669">
        <v>1</v>
      </c>
      <c r="D669" t="s">
        <v>2772</v>
      </c>
      <c r="E669">
        <v>0</v>
      </c>
      <c r="F669" t="s">
        <v>236</v>
      </c>
      <c r="G669" t="s">
        <v>57</v>
      </c>
      <c r="H669" t="s">
        <v>2773</v>
      </c>
      <c r="I669" t="s">
        <v>222</v>
      </c>
    </row>
    <row r="670" spans="1:9" x14ac:dyDescent="0.2">
      <c r="A670" t="s">
        <v>464</v>
      </c>
      <c r="B670" t="s">
        <v>2774</v>
      </c>
      <c r="C670">
        <v>2</v>
      </c>
      <c r="D670" t="s">
        <v>2775</v>
      </c>
      <c r="E670">
        <v>1</v>
      </c>
      <c r="F670" t="s">
        <v>255</v>
      </c>
      <c r="G670" t="s">
        <v>60</v>
      </c>
      <c r="H670" t="s">
        <v>2776</v>
      </c>
      <c r="I670" t="s">
        <v>222</v>
      </c>
    </row>
    <row r="671" spans="1:9" x14ac:dyDescent="0.2">
      <c r="A671" t="s">
        <v>464</v>
      </c>
      <c r="B671" t="s">
        <v>2777</v>
      </c>
      <c r="C671">
        <v>3</v>
      </c>
      <c r="D671" t="s">
        <v>2778</v>
      </c>
      <c r="E671">
        <v>3</v>
      </c>
      <c r="H671" t="s">
        <v>2779</v>
      </c>
      <c r="I671" t="s">
        <v>222</v>
      </c>
    </row>
    <row r="672" spans="1:9" x14ac:dyDescent="0.2">
      <c r="A672" t="s">
        <v>464</v>
      </c>
      <c r="B672" t="s">
        <v>2780</v>
      </c>
      <c r="C672">
        <v>4</v>
      </c>
      <c r="D672" t="s">
        <v>2781</v>
      </c>
      <c r="E672">
        <v>4</v>
      </c>
      <c r="H672" t="s">
        <v>2454</v>
      </c>
      <c r="I672" t="s">
        <v>222</v>
      </c>
    </row>
    <row r="673" spans="1:9" x14ac:dyDescent="0.2">
      <c r="A673" t="s">
        <v>465</v>
      </c>
      <c r="B673" t="s">
        <v>2782</v>
      </c>
      <c r="C673">
        <v>1</v>
      </c>
      <c r="D673" t="s">
        <v>2783</v>
      </c>
      <c r="E673">
        <v>0</v>
      </c>
      <c r="F673" t="s">
        <v>236</v>
      </c>
      <c r="G673" t="s">
        <v>57</v>
      </c>
      <c r="H673" t="s">
        <v>2784</v>
      </c>
      <c r="I673" t="s">
        <v>222</v>
      </c>
    </row>
    <row r="674" spans="1:9" x14ac:dyDescent="0.2">
      <c r="A674" t="s">
        <v>465</v>
      </c>
      <c r="B674" t="s">
        <v>2785</v>
      </c>
      <c r="C674">
        <v>2</v>
      </c>
      <c r="D674" t="s">
        <v>2786</v>
      </c>
      <c r="E674">
        <v>1</v>
      </c>
      <c r="F674" t="s">
        <v>255</v>
      </c>
      <c r="G674" t="s">
        <v>60</v>
      </c>
      <c r="H674" t="s">
        <v>2787</v>
      </c>
      <c r="I674" t="s">
        <v>222</v>
      </c>
    </row>
    <row r="675" spans="1:9" x14ac:dyDescent="0.2">
      <c r="A675" t="s">
        <v>465</v>
      </c>
      <c r="B675" t="s">
        <v>2788</v>
      </c>
      <c r="C675">
        <v>3</v>
      </c>
      <c r="D675" t="s">
        <v>2789</v>
      </c>
      <c r="E675">
        <v>3</v>
      </c>
      <c r="H675" t="s">
        <v>2790</v>
      </c>
      <c r="I675" t="s">
        <v>222</v>
      </c>
    </row>
    <row r="676" spans="1:9" x14ac:dyDescent="0.2">
      <c r="A676" t="s">
        <v>465</v>
      </c>
      <c r="B676" t="s">
        <v>2791</v>
      </c>
      <c r="C676">
        <v>4</v>
      </c>
      <c r="D676" t="s">
        <v>2792</v>
      </c>
      <c r="E676">
        <v>4</v>
      </c>
      <c r="H676" t="s">
        <v>2454</v>
      </c>
      <c r="I676" t="s">
        <v>222</v>
      </c>
    </row>
    <row r="677" spans="1:9" x14ac:dyDescent="0.2">
      <c r="A677" t="s">
        <v>466</v>
      </c>
      <c r="B677" t="s">
        <v>2793</v>
      </c>
      <c r="C677">
        <v>1</v>
      </c>
      <c r="D677" t="s">
        <v>2794</v>
      </c>
      <c r="E677">
        <v>0</v>
      </c>
      <c r="F677" t="s">
        <v>276</v>
      </c>
      <c r="G677" t="s">
        <v>66</v>
      </c>
      <c r="H677" t="s">
        <v>2795</v>
      </c>
      <c r="I677" t="s">
        <v>222</v>
      </c>
    </row>
    <row r="678" spans="1:9" x14ac:dyDescent="0.2">
      <c r="A678" t="s">
        <v>466</v>
      </c>
      <c r="B678" t="s">
        <v>2796</v>
      </c>
      <c r="C678">
        <v>2</v>
      </c>
      <c r="D678" t="s">
        <v>2797</v>
      </c>
      <c r="E678">
        <v>1</v>
      </c>
      <c r="F678" t="s">
        <v>172</v>
      </c>
      <c r="G678" t="s">
        <v>61</v>
      </c>
      <c r="H678" t="s">
        <v>2798</v>
      </c>
      <c r="I678" t="s">
        <v>222</v>
      </c>
    </row>
    <row r="679" spans="1:9" x14ac:dyDescent="0.2">
      <c r="A679" t="s">
        <v>466</v>
      </c>
      <c r="B679" t="s">
        <v>2799</v>
      </c>
      <c r="C679">
        <v>3</v>
      </c>
      <c r="D679" t="s">
        <v>2800</v>
      </c>
      <c r="E679">
        <v>3</v>
      </c>
      <c r="H679" t="s">
        <v>2801</v>
      </c>
      <c r="I679" t="s">
        <v>222</v>
      </c>
    </row>
    <row r="680" spans="1:9" x14ac:dyDescent="0.2">
      <c r="A680" t="s">
        <v>466</v>
      </c>
      <c r="B680" t="s">
        <v>2802</v>
      </c>
      <c r="C680">
        <v>4</v>
      </c>
      <c r="D680" t="s">
        <v>2803</v>
      </c>
      <c r="E680">
        <v>4</v>
      </c>
      <c r="H680" t="s">
        <v>2454</v>
      </c>
      <c r="I680" t="s">
        <v>222</v>
      </c>
    </row>
    <row r="681" spans="1:9" x14ac:dyDescent="0.2">
      <c r="A681" t="s">
        <v>467</v>
      </c>
      <c r="B681" t="s">
        <v>2804</v>
      </c>
      <c r="C681">
        <v>1</v>
      </c>
      <c r="D681" t="s">
        <v>2805</v>
      </c>
      <c r="E681">
        <v>0</v>
      </c>
      <c r="F681" t="s">
        <v>172</v>
      </c>
      <c r="G681" t="s">
        <v>61</v>
      </c>
      <c r="H681" t="s">
        <v>2806</v>
      </c>
      <c r="I681" t="s">
        <v>222</v>
      </c>
    </row>
    <row r="682" spans="1:9" x14ac:dyDescent="0.2">
      <c r="A682" t="s">
        <v>467</v>
      </c>
      <c r="B682" t="s">
        <v>2807</v>
      </c>
      <c r="C682">
        <v>2</v>
      </c>
      <c r="D682" t="s">
        <v>2808</v>
      </c>
      <c r="E682">
        <v>1</v>
      </c>
      <c r="F682" t="s">
        <v>255</v>
      </c>
      <c r="G682" t="s">
        <v>60</v>
      </c>
      <c r="H682" t="s">
        <v>2809</v>
      </c>
      <c r="I682" t="s">
        <v>222</v>
      </c>
    </row>
    <row r="683" spans="1:9" x14ac:dyDescent="0.2">
      <c r="A683" t="s">
        <v>467</v>
      </c>
      <c r="B683" t="s">
        <v>2810</v>
      </c>
      <c r="C683">
        <v>3</v>
      </c>
      <c r="D683" t="s">
        <v>2811</v>
      </c>
      <c r="E683">
        <v>3</v>
      </c>
      <c r="H683" t="s">
        <v>2812</v>
      </c>
      <c r="I683" t="s">
        <v>222</v>
      </c>
    </row>
    <row r="684" spans="1:9" x14ac:dyDescent="0.2">
      <c r="A684" t="s">
        <v>467</v>
      </c>
      <c r="B684" t="s">
        <v>2813</v>
      </c>
      <c r="C684">
        <v>4</v>
      </c>
      <c r="D684" t="s">
        <v>2814</v>
      </c>
      <c r="E684">
        <v>4</v>
      </c>
      <c r="H684" t="s">
        <v>2454</v>
      </c>
      <c r="I684" t="s">
        <v>222</v>
      </c>
    </row>
    <row r="685" spans="1:9" x14ac:dyDescent="0.2">
      <c r="A685" t="s">
        <v>468</v>
      </c>
      <c r="B685" t="s">
        <v>2815</v>
      </c>
      <c r="C685">
        <v>1</v>
      </c>
      <c r="D685" t="s">
        <v>2816</v>
      </c>
      <c r="E685">
        <v>0</v>
      </c>
      <c r="F685" t="s">
        <v>172</v>
      </c>
      <c r="G685" t="s">
        <v>61</v>
      </c>
      <c r="H685" t="s">
        <v>2817</v>
      </c>
      <c r="I685" t="s">
        <v>222</v>
      </c>
    </row>
    <row r="686" spans="1:9" x14ac:dyDescent="0.2">
      <c r="A686" t="s">
        <v>468</v>
      </c>
      <c r="B686" t="s">
        <v>2818</v>
      </c>
      <c r="C686">
        <v>2</v>
      </c>
      <c r="D686" t="s">
        <v>2819</v>
      </c>
      <c r="E686">
        <v>1</v>
      </c>
      <c r="F686" t="s">
        <v>255</v>
      </c>
      <c r="G686" t="s">
        <v>60</v>
      </c>
      <c r="H686" t="s">
        <v>2820</v>
      </c>
      <c r="I686" t="s">
        <v>222</v>
      </c>
    </row>
    <row r="687" spans="1:9" x14ac:dyDescent="0.2">
      <c r="A687" t="s">
        <v>468</v>
      </c>
      <c r="B687" t="s">
        <v>2821</v>
      </c>
      <c r="C687">
        <v>3</v>
      </c>
      <c r="D687" t="s">
        <v>2822</v>
      </c>
      <c r="E687">
        <v>3</v>
      </c>
      <c r="H687" t="s">
        <v>2823</v>
      </c>
      <c r="I687" t="s">
        <v>222</v>
      </c>
    </row>
    <row r="688" spans="1:9" x14ac:dyDescent="0.2">
      <c r="A688" t="s">
        <v>468</v>
      </c>
      <c r="B688" t="s">
        <v>2824</v>
      </c>
      <c r="C688">
        <v>4</v>
      </c>
      <c r="D688" t="s">
        <v>2825</v>
      </c>
      <c r="E688">
        <v>4</v>
      </c>
      <c r="H688" t="s">
        <v>2454</v>
      </c>
      <c r="I688" t="s">
        <v>222</v>
      </c>
    </row>
    <row r="689" spans="1:9" x14ac:dyDescent="0.2">
      <c r="A689" t="s">
        <v>469</v>
      </c>
      <c r="B689" t="s">
        <v>2826</v>
      </c>
      <c r="C689">
        <v>1</v>
      </c>
      <c r="D689" t="s">
        <v>1017</v>
      </c>
      <c r="E689">
        <v>0</v>
      </c>
      <c r="F689" t="s">
        <v>273</v>
      </c>
      <c r="G689" t="s">
        <v>65</v>
      </c>
      <c r="H689" t="s">
        <v>2827</v>
      </c>
      <c r="I689" t="s">
        <v>222</v>
      </c>
    </row>
    <row r="690" spans="1:9" x14ac:dyDescent="0.2">
      <c r="A690" t="s">
        <v>469</v>
      </c>
      <c r="B690" t="s">
        <v>2828</v>
      </c>
      <c r="C690">
        <v>2</v>
      </c>
      <c r="D690" t="s">
        <v>2829</v>
      </c>
      <c r="E690">
        <v>0</v>
      </c>
      <c r="F690" t="s">
        <v>236</v>
      </c>
      <c r="G690" t="s">
        <v>57</v>
      </c>
      <c r="H690" t="s">
        <v>2830</v>
      </c>
      <c r="I690" t="s">
        <v>222</v>
      </c>
    </row>
    <row r="691" spans="1:9" x14ac:dyDescent="0.2">
      <c r="A691" t="s">
        <v>469</v>
      </c>
      <c r="B691" t="s">
        <v>2831</v>
      </c>
      <c r="C691">
        <v>3</v>
      </c>
      <c r="D691" t="s">
        <v>2832</v>
      </c>
      <c r="E691">
        <v>2</v>
      </c>
      <c r="F691" t="s">
        <v>174</v>
      </c>
      <c r="G691" t="s">
        <v>63</v>
      </c>
      <c r="H691" t="s">
        <v>2833</v>
      </c>
      <c r="I691" t="s">
        <v>222</v>
      </c>
    </row>
    <row r="692" spans="1:9" x14ac:dyDescent="0.2">
      <c r="A692" t="s">
        <v>469</v>
      </c>
      <c r="B692" t="s">
        <v>2834</v>
      </c>
      <c r="C692">
        <v>4</v>
      </c>
      <c r="D692" t="s">
        <v>2835</v>
      </c>
      <c r="E692">
        <v>3</v>
      </c>
      <c r="H692" t="s">
        <v>2836</v>
      </c>
      <c r="I692" t="s">
        <v>222</v>
      </c>
    </row>
    <row r="693" spans="1:9" x14ac:dyDescent="0.2">
      <c r="A693" t="s">
        <v>469</v>
      </c>
      <c r="B693" t="s">
        <v>2837</v>
      </c>
      <c r="C693">
        <v>5</v>
      </c>
      <c r="D693" t="s">
        <v>2838</v>
      </c>
      <c r="E693">
        <v>4</v>
      </c>
      <c r="H693" t="s">
        <v>2454</v>
      </c>
      <c r="I693" t="s">
        <v>222</v>
      </c>
    </row>
    <row r="694" spans="1:9" x14ac:dyDescent="0.2">
      <c r="A694" t="s">
        <v>471</v>
      </c>
      <c r="B694" t="s">
        <v>2839</v>
      </c>
      <c r="C694">
        <v>1</v>
      </c>
      <c r="D694" t="s">
        <v>2840</v>
      </c>
      <c r="E694">
        <v>0</v>
      </c>
      <c r="F694" t="s">
        <v>255</v>
      </c>
      <c r="G694" t="s">
        <v>60</v>
      </c>
      <c r="H694" t="s">
        <v>2841</v>
      </c>
      <c r="I694" t="s">
        <v>222</v>
      </c>
    </row>
    <row r="695" spans="1:9" x14ac:dyDescent="0.2">
      <c r="A695" t="s">
        <v>471</v>
      </c>
      <c r="B695" t="s">
        <v>2842</v>
      </c>
      <c r="C695">
        <v>2</v>
      </c>
      <c r="D695" t="s">
        <v>2843</v>
      </c>
      <c r="E695">
        <v>2</v>
      </c>
      <c r="F695" t="s">
        <v>2676</v>
      </c>
      <c r="G695" t="s">
        <v>63</v>
      </c>
      <c r="H695" t="s">
        <v>2844</v>
      </c>
      <c r="I695" t="s">
        <v>222</v>
      </c>
    </row>
    <row r="696" spans="1:9" x14ac:dyDescent="0.2">
      <c r="A696" t="s">
        <v>471</v>
      </c>
      <c r="B696" t="s">
        <v>2845</v>
      </c>
      <c r="C696">
        <v>3</v>
      </c>
      <c r="D696" t="s">
        <v>2846</v>
      </c>
      <c r="E696">
        <v>3</v>
      </c>
      <c r="F696" t="s">
        <v>174</v>
      </c>
      <c r="G696" t="s">
        <v>63</v>
      </c>
      <c r="H696" t="s">
        <v>2833</v>
      </c>
      <c r="I696" t="s">
        <v>222</v>
      </c>
    </row>
    <row r="697" spans="1:9" x14ac:dyDescent="0.2">
      <c r="A697" t="s">
        <v>472</v>
      </c>
      <c r="B697" t="s">
        <v>2847</v>
      </c>
      <c r="C697">
        <v>1</v>
      </c>
      <c r="D697" t="s">
        <v>2848</v>
      </c>
      <c r="E697">
        <v>0</v>
      </c>
      <c r="F697" t="s">
        <v>236</v>
      </c>
      <c r="G697" t="s">
        <v>57</v>
      </c>
      <c r="H697" t="s">
        <v>2849</v>
      </c>
      <c r="I697" t="s">
        <v>222</v>
      </c>
    </row>
    <row r="698" spans="1:9" x14ac:dyDescent="0.2">
      <c r="A698" t="s">
        <v>472</v>
      </c>
      <c r="B698" t="s">
        <v>2850</v>
      </c>
      <c r="C698">
        <v>2</v>
      </c>
      <c r="D698" t="s">
        <v>2851</v>
      </c>
      <c r="E698">
        <v>1</v>
      </c>
      <c r="F698" t="s">
        <v>255</v>
      </c>
      <c r="G698" t="s">
        <v>60</v>
      </c>
      <c r="H698" t="s">
        <v>2852</v>
      </c>
      <c r="I698" t="s">
        <v>222</v>
      </c>
    </row>
    <row r="699" spans="1:9" x14ac:dyDescent="0.2">
      <c r="A699" t="s">
        <v>472</v>
      </c>
      <c r="B699" t="s">
        <v>2853</v>
      </c>
      <c r="C699">
        <v>3</v>
      </c>
      <c r="D699" t="s">
        <v>2854</v>
      </c>
      <c r="E699">
        <v>3</v>
      </c>
      <c r="H699" t="s">
        <v>2855</v>
      </c>
      <c r="I699" t="s">
        <v>222</v>
      </c>
    </row>
    <row r="700" spans="1:9" x14ac:dyDescent="0.2">
      <c r="A700" t="s">
        <v>472</v>
      </c>
      <c r="B700" t="s">
        <v>2856</v>
      </c>
      <c r="C700">
        <v>4</v>
      </c>
      <c r="D700" t="s">
        <v>2857</v>
      </c>
      <c r="E700">
        <v>4</v>
      </c>
      <c r="H700" t="s">
        <v>2454</v>
      </c>
      <c r="I700" t="s">
        <v>222</v>
      </c>
    </row>
    <row r="701" spans="1:9" x14ac:dyDescent="0.2">
      <c r="A701" t="s">
        <v>473</v>
      </c>
      <c r="B701" t="s">
        <v>2858</v>
      </c>
      <c r="C701">
        <v>1</v>
      </c>
      <c r="D701" t="s">
        <v>2859</v>
      </c>
      <c r="E701">
        <v>0</v>
      </c>
      <c r="F701" t="s">
        <v>276</v>
      </c>
      <c r="G701" t="s">
        <v>66</v>
      </c>
      <c r="H701" t="s">
        <v>2860</v>
      </c>
      <c r="I701" t="s">
        <v>222</v>
      </c>
    </row>
    <row r="702" spans="1:9" x14ac:dyDescent="0.2">
      <c r="A702" t="s">
        <v>473</v>
      </c>
      <c r="B702" t="s">
        <v>2861</v>
      </c>
      <c r="C702">
        <v>2</v>
      </c>
      <c r="D702" t="s">
        <v>2862</v>
      </c>
      <c r="E702">
        <v>1</v>
      </c>
      <c r="F702" t="s">
        <v>276</v>
      </c>
      <c r="G702" t="s">
        <v>66</v>
      </c>
      <c r="H702" t="s">
        <v>2863</v>
      </c>
      <c r="I702" t="s">
        <v>222</v>
      </c>
    </row>
    <row r="703" spans="1:9" x14ac:dyDescent="0.2">
      <c r="A703" t="s">
        <v>473</v>
      </c>
      <c r="B703" t="s">
        <v>2864</v>
      </c>
      <c r="C703">
        <v>3</v>
      </c>
      <c r="D703" t="s">
        <v>2865</v>
      </c>
      <c r="E703">
        <v>3</v>
      </c>
      <c r="H703" t="s">
        <v>2866</v>
      </c>
      <c r="I703" t="s">
        <v>222</v>
      </c>
    </row>
    <row r="704" spans="1:9" x14ac:dyDescent="0.2">
      <c r="A704" t="s">
        <v>473</v>
      </c>
      <c r="B704" t="s">
        <v>2867</v>
      </c>
      <c r="C704">
        <v>4</v>
      </c>
      <c r="D704" t="s">
        <v>2868</v>
      </c>
      <c r="E704">
        <v>4</v>
      </c>
      <c r="H704" t="s">
        <v>2454</v>
      </c>
      <c r="I704" t="s">
        <v>222</v>
      </c>
    </row>
    <row r="705" spans="1:9" x14ac:dyDescent="0.2">
      <c r="A705" t="s">
        <v>474</v>
      </c>
      <c r="B705" t="s">
        <v>2869</v>
      </c>
      <c r="C705">
        <v>1</v>
      </c>
      <c r="D705" t="s">
        <v>2870</v>
      </c>
      <c r="E705">
        <v>0</v>
      </c>
      <c r="F705" t="s">
        <v>276</v>
      </c>
      <c r="G705" t="s">
        <v>66</v>
      </c>
      <c r="H705" t="s">
        <v>2871</v>
      </c>
      <c r="I705" t="s">
        <v>222</v>
      </c>
    </row>
    <row r="706" spans="1:9" x14ac:dyDescent="0.2">
      <c r="A706" t="s">
        <v>474</v>
      </c>
      <c r="B706" t="s">
        <v>2872</v>
      </c>
      <c r="C706">
        <v>2</v>
      </c>
      <c r="D706" t="s">
        <v>2873</v>
      </c>
      <c r="E706">
        <v>1</v>
      </c>
      <c r="F706" t="s">
        <v>255</v>
      </c>
      <c r="G706" t="s">
        <v>60</v>
      </c>
      <c r="H706" t="s">
        <v>2874</v>
      </c>
      <c r="I706" t="s">
        <v>222</v>
      </c>
    </row>
    <row r="707" spans="1:9" x14ac:dyDescent="0.2">
      <c r="A707" t="s">
        <v>474</v>
      </c>
      <c r="B707" t="s">
        <v>2875</v>
      </c>
      <c r="C707">
        <v>3</v>
      </c>
      <c r="D707" t="s">
        <v>2876</v>
      </c>
      <c r="E707">
        <v>3</v>
      </c>
      <c r="H707" t="s">
        <v>2877</v>
      </c>
      <c r="I707" t="s">
        <v>222</v>
      </c>
    </row>
    <row r="708" spans="1:9" x14ac:dyDescent="0.2">
      <c r="A708" t="s">
        <v>474</v>
      </c>
      <c r="B708" t="s">
        <v>2878</v>
      </c>
      <c r="C708">
        <v>4</v>
      </c>
      <c r="D708" t="s">
        <v>2879</v>
      </c>
      <c r="E708">
        <v>4</v>
      </c>
      <c r="H708" t="s">
        <v>2454</v>
      </c>
      <c r="I708" t="s">
        <v>222</v>
      </c>
    </row>
    <row r="709" spans="1:9" x14ac:dyDescent="0.2">
      <c r="A709" t="s">
        <v>475</v>
      </c>
      <c r="B709" t="s">
        <v>2880</v>
      </c>
      <c r="C709">
        <v>1</v>
      </c>
      <c r="D709" t="s">
        <v>1017</v>
      </c>
      <c r="E709">
        <v>0</v>
      </c>
      <c r="F709" t="s">
        <v>273</v>
      </c>
      <c r="G709" t="s">
        <v>65</v>
      </c>
      <c r="H709" t="s">
        <v>2881</v>
      </c>
      <c r="I709" t="s">
        <v>222</v>
      </c>
    </row>
    <row r="710" spans="1:9" x14ac:dyDescent="0.2">
      <c r="A710" t="s">
        <v>475</v>
      </c>
      <c r="B710" t="s">
        <v>2882</v>
      </c>
      <c r="C710">
        <v>2</v>
      </c>
      <c r="D710" t="s">
        <v>2883</v>
      </c>
      <c r="E710">
        <v>0</v>
      </c>
      <c r="F710" t="s">
        <v>2884</v>
      </c>
      <c r="G710" t="s">
        <v>66</v>
      </c>
      <c r="H710" t="s">
        <v>2885</v>
      </c>
      <c r="I710" t="s">
        <v>222</v>
      </c>
    </row>
    <row r="711" spans="1:9" x14ac:dyDescent="0.2">
      <c r="A711" t="s">
        <v>475</v>
      </c>
      <c r="B711" t="s">
        <v>2886</v>
      </c>
      <c r="C711">
        <v>3</v>
      </c>
      <c r="D711" t="s">
        <v>2887</v>
      </c>
      <c r="E711">
        <v>1</v>
      </c>
      <c r="F711" t="s">
        <v>255</v>
      </c>
      <c r="G711" t="s">
        <v>60</v>
      </c>
      <c r="H711" t="s">
        <v>2888</v>
      </c>
      <c r="I711" t="s">
        <v>222</v>
      </c>
    </row>
    <row r="712" spans="1:9" x14ac:dyDescent="0.2">
      <c r="A712" t="s">
        <v>475</v>
      </c>
      <c r="B712" t="s">
        <v>2889</v>
      </c>
      <c r="C712">
        <v>4</v>
      </c>
      <c r="D712" t="s">
        <v>2890</v>
      </c>
      <c r="E712">
        <v>3</v>
      </c>
      <c r="H712" t="s">
        <v>2891</v>
      </c>
      <c r="I712" t="s">
        <v>222</v>
      </c>
    </row>
    <row r="713" spans="1:9" x14ac:dyDescent="0.2">
      <c r="A713" t="s">
        <v>475</v>
      </c>
      <c r="B713" t="s">
        <v>2892</v>
      </c>
      <c r="C713">
        <v>5</v>
      </c>
      <c r="D713" t="s">
        <v>2893</v>
      </c>
      <c r="E713">
        <v>4</v>
      </c>
      <c r="H713" t="s">
        <v>2454</v>
      </c>
      <c r="I713" t="s">
        <v>222</v>
      </c>
    </row>
    <row r="714" spans="1:9" x14ac:dyDescent="0.2">
      <c r="A714" t="s">
        <v>476</v>
      </c>
      <c r="B714" t="s">
        <v>2894</v>
      </c>
      <c r="C714">
        <v>1</v>
      </c>
      <c r="D714" t="s">
        <v>2895</v>
      </c>
      <c r="E714">
        <v>0</v>
      </c>
      <c r="F714" t="s">
        <v>276</v>
      </c>
      <c r="G714" t="s">
        <v>66</v>
      </c>
      <c r="H714" t="s">
        <v>2896</v>
      </c>
      <c r="I714" t="s">
        <v>222</v>
      </c>
    </row>
    <row r="715" spans="1:9" x14ac:dyDescent="0.2">
      <c r="A715" t="s">
        <v>476</v>
      </c>
      <c r="B715" t="s">
        <v>2897</v>
      </c>
      <c r="C715">
        <v>2</v>
      </c>
      <c r="D715" t="s">
        <v>2898</v>
      </c>
      <c r="E715">
        <v>1</v>
      </c>
      <c r="F715" t="s">
        <v>255</v>
      </c>
      <c r="G715" t="s">
        <v>60</v>
      </c>
      <c r="H715" t="s">
        <v>2899</v>
      </c>
      <c r="I715" t="s">
        <v>222</v>
      </c>
    </row>
    <row r="716" spans="1:9" x14ac:dyDescent="0.2">
      <c r="A716" t="s">
        <v>476</v>
      </c>
      <c r="B716" t="s">
        <v>2900</v>
      </c>
      <c r="C716">
        <v>3</v>
      </c>
      <c r="D716" t="s">
        <v>2901</v>
      </c>
      <c r="E716">
        <v>3</v>
      </c>
      <c r="H716" t="s">
        <v>2902</v>
      </c>
      <c r="I716" t="s">
        <v>222</v>
      </c>
    </row>
    <row r="717" spans="1:9" x14ac:dyDescent="0.2">
      <c r="A717" t="s">
        <v>476</v>
      </c>
      <c r="B717" t="s">
        <v>2903</v>
      </c>
      <c r="C717">
        <v>4</v>
      </c>
      <c r="D717" t="s">
        <v>2904</v>
      </c>
      <c r="E717">
        <v>4</v>
      </c>
      <c r="H717" t="s">
        <v>2454</v>
      </c>
      <c r="I717" t="s">
        <v>222</v>
      </c>
    </row>
    <row r="718" spans="1:9" x14ac:dyDescent="0.2">
      <c r="A718" t="s">
        <v>477</v>
      </c>
      <c r="B718" t="s">
        <v>2905</v>
      </c>
      <c r="C718">
        <v>1</v>
      </c>
      <c r="D718" t="s">
        <v>2906</v>
      </c>
      <c r="E718">
        <v>0</v>
      </c>
      <c r="F718" t="s">
        <v>276</v>
      </c>
      <c r="G718" t="s">
        <v>66</v>
      </c>
      <c r="H718" t="s">
        <v>2907</v>
      </c>
      <c r="I718" t="s">
        <v>222</v>
      </c>
    </row>
    <row r="719" spans="1:9" x14ac:dyDescent="0.2">
      <c r="A719" t="s">
        <v>477</v>
      </c>
      <c r="B719" t="s">
        <v>2908</v>
      </c>
      <c r="C719">
        <v>2</v>
      </c>
      <c r="D719" t="s">
        <v>2909</v>
      </c>
      <c r="E719">
        <v>1</v>
      </c>
      <c r="F719" t="s">
        <v>276</v>
      </c>
      <c r="G719" t="s">
        <v>66</v>
      </c>
      <c r="H719" t="s">
        <v>2910</v>
      </c>
      <c r="I719" t="s">
        <v>222</v>
      </c>
    </row>
    <row r="720" spans="1:9" x14ac:dyDescent="0.2">
      <c r="A720" t="s">
        <v>477</v>
      </c>
      <c r="B720" t="s">
        <v>2911</v>
      </c>
      <c r="C720">
        <v>3</v>
      </c>
      <c r="D720" t="s">
        <v>2912</v>
      </c>
      <c r="E720">
        <v>3</v>
      </c>
      <c r="H720" t="s">
        <v>2913</v>
      </c>
      <c r="I720" t="s">
        <v>222</v>
      </c>
    </row>
    <row r="721" spans="1:9" x14ac:dyDescent="0.2">
      <c r="A721" t="s">
        <v>477</v>
      </c>
      <c r="B721" t="s">
        <v>2914</v>
      </c>
      <c r="C721">
        <v>4</v>
      </c>
      <c r="D721" t="s">
        <v>2915</v>
      </c>
      <c r="E721">
        <v>4</v>
      </c>
      <c r="H721" t="s">
        <v>2454</v>
      </c>
      <c r="I721" t="s">
        <v>222</v>
      </c>
    </row>
    <row r="722" spans="1:9" x14ac:dyDescent="0.2">
      <c r="A722" t="s">
        <v>478</v>
      </c>
      <c r="B722" t="s">
        <v>2916</v>
      </c>
      <c r="C722">
        <v>1</v>
      </c>
      <c r="D722" t="s">
        <v>2917</v>
      </c>
      <c r="E722">
        <v>0</v>
      </c>
      <c r="F722" t="s">
        <v>276</v>
      </c>
      <c r="G722" t="s">
        <v>66</v>
      </c>
      <c r="H722" t="s">
        <v>2918</v>
      </c>
      <c r="I722" t="s">
        <v>222</v>
      </c>
    </row>
    <row r="723" spans="1:9" x14ac:dyDescent="0.2">
      <c r="A723" t="s">
        <v>478</v>
      </c>
      <c r="B723" t="s">
        <v>2919</v>
      </c>
      <c r="C723">
        <v>2</v>
      </c>
      <c r="D723" t="s">
        <v>2920</v>
      </c>
      <c r="E723">
        <v>1</v>
      </c>
      <c r="F723" t="s">
        <v>255</v>
      </c>
      <c r="G723" t="s">
        <v>60</v>
      </c>
      <c r="H723" t="s">
        <v>2921</v>
      </c>
      <c r="I723" t="s">
        <v>222</v>
      </c>
    </row>
    <row r="724" spans="1:9" x14ac:dyDescent="0.2">
      <c r="A724" t="s">
        <v>478</v>
      </c>
      <c r="B724" t="s">
        <v>2922</v>
      </c>
      <c r="C724">
        <v>3</v>
      </c>
      <c r="D724" t="s">
        <v>2923</v>
      </c>
      <c r="E724">
        <v>3</v>
      </c>
      <c r="H724" t="s">
        <v>2924</v>
      </c>
      <c r="I724" t="s">
        <v>222</v>
      </c>
    </row>
    <row r="725" spans="1:9" x14ac:dyDescent="0.2">
      <c r="A725" t="s">
        <v>478</v>
      </c>
      <c r="B725" t="s">
        <v>2925</v>
      </c>
      <c r="C725">
        <v>4</v>
      </c>
      <c r="D725" t="s">
        <v>2926</v>
      </c>
      <c r="E725">
        <v>4</v>
      </c>
      <c r="H725" t="s">
        <v>2454</v>
      </c>
      <c r="I725" t="s">
        <v>222</v>
      </c>
    </row>
    <row r="726" spans="1:9" x14ac:dyDescent="0.2">
      <c r="A726" t="s">
        <v>479</v>
      </c>
      <c r="B726" t="s">
        <v>2927</v>
      </c>
      <c r="C726">
        <v>1</v>
      </c>
      <c r="D726" t="s">
        <v>2928</v>
      </c>
      <c r="E726">
        <v>0</v>
      </c>
      <c r="F726" t="s">
        <v>276</v>
      </c>
      <c r="G726" t="s">
        <v>66</v>
      </c>
      <c r="H726" t="s">
        <v>2929</v>
      </c>
      <c r="I726" t="s">
        <v>222</v>
      </c>
    </row>
    <row r="727" spans="1:9" x14ac:dyDescent="0.2">
      <c r="A727" t="s">
        <v>479</v>
      </c>
      <c r="B727" t="s">
        <v>2930</v>
      </c>
      <c r="C727">
        <v>2</v>
      </c>
      <c r="D727" t="s">
        <v>2931</v>
      </c>
      <c r="E727">
        <v>1</v>
      </c>
      <c r="F727" t="s">
        <v>276</v>
      </c>
      <c r="G727" t="s">
        <v>66</v>
      </c>
      <c r="H727" t="s">
        <v>2932</v>
      </c>
      <c r="I727" t="s">
        <v>222</v>
      </c>
    </row>
    <row r="728" spans="1:9" x14ac:dyDescent="0.2">
      <c r="A728" t="s">
        <v>479</v>
      </c>
      <c r="B728" t="s">
        <v>2933</v>
      </c>
      <c r="C728">
        <v>3</v>
      </c>
      <c r="D728" t="s">
        <v>2934</v>
      </c>
      <c r="E728">
        <v>3</v>
      </c>
      <c r="H728" t="s">
        <v>2935</v>
      </c>
      <c r="I728" t="s">
        <v>222</v>
      </c>
    </row>
    <row r="729" spans="1:9" x14ac:dyDescent="0.2">
      <c r="A729" t="s">
        <v>479</v>
      </c>
      <c r="B729" t="s">
        <v>2936</v>
      </c>
      <c r="C729">
        <v>4</v>
      </c>
      <c r="D729" t="s">
        <v>2937</v>
      </c>
      <c r="E729">
        <v>4</v>
      </c>
      <c r="H729" t="s">
        <v>2454</v>
      </c>
      <c r="I729" t="s">
        <v>222</v>
      </c>
    </row>
    <row r="730" spans="1:9" x14ac:dyDescent="0.2">
      <c r="A730" t="s">
        <v>480</v>
      </c>
      <c r="B730" t="s">
        <v>2938</v>
      </c>
      <c r="C730">
        <v>1</v>
      </c>
      <c r="D730" t="s">
        <v>1017</v>
      </c>
      <c r="E730">
        <v>0</v>
      </c>
      <c r="F730" t="s">
        <v>273</v>
      </c>
      <c r="G730" t="s">
        <v>65</v>
      </c>
      <c r="H730" t="s">
        <v>2939</v>
      </c>
      <c r="I730" t="s">
        <v>222</v>
      </c>
    </row>
    <row r="731" spans="1:9" x14ac:dyDescent="0.2">
      <c r="A731" t="s">
        <v>480</v>
      </c>
      <c r="B731" t="s">
        <v>2940</v>
      </c>
      <c r="C731">
        <v>2</v>
      </c>
      <c r="D731" t="s">
        <v>2941</v>
      </c>
      <c r="E731">
        <v>0</v>
      </c>
      <c r="F731" t="s">
        <v>178</v>
      </c>
      <c r="G731" t="s">
        <v>55</v>
      </c>
      <c r="H731" t="s">
        <v>2942</v>
      </c>
      <c r="I731" t="s">
        <v>222</v>
      </c>
    </row>
    <row r="732" spans="1:9" x14ac:dyDescent="0.2">
      <c r="A732" t="s">
        <v>480</v>
      </c>
      <c r="B732" t="s">
        <v>2943</v>
      </c>
      <c r="C732">
        <v>3</v>
      </c>
      <c r="D732" t="s">
        <v>2944</v>
      </c>
      <c r="E732">
        <v>1</v>
      </c>
      <c r="F732" t="s">
        <v>255</v>
      </c>
      <c r="G732" t="s">
        <v>60</v>
      </c>
      <c r="H732" t="s">
        <v>2945</v>
      </c>
      <c r="I732" t="s">
        <v>222</v>
      </c>
    </row>
    <row r="733" spans="1:9" x14ac:dyDescent="0.2">
      <c r="A733" t="s">
        <v>480</v>
      </c>
      <c r="B733" t="s">
        <v>2946</v>
      </c>
      <c r="C733">
        <v>4</v>
      </c>
      <c r="D733" t="s">
        <v>2947</v>
      </c>
      <c r="E733">
        <v>3</v>
      </c>
      <c r="H733" t="s">
        <v>2948</v>
      </c>
      <c r="I733" t="s">
        <v>222</v>
      </c>
    </row>
    <row r="734" spans="1:9" x14ac:dyDescent="0.2">
      <c r="A734" t="s">
        <v>480</v>
      </c>
      <c r="B734" t="s">
        <v>2949</v>
      </c>
      <c r="C734">
        <v>5</v>
      </c>
      <c r="D734" t="s">
        <v>2950</v>
      </c>
      <c r="E734">
        <v>4</v>
      </c>
      <c r="H734" t="s">
        <v>2454</v>
      </c>
      <c r="I734" t="s">
        <v>222</v>
      </c>
    </row>
    <row r="735" spans="1:9" x14ac:dyDescent="0.2">
      <c r="A735" t="s">
        <v>481</v>
      </c>
      <c r="B735" t="s">
        <v>2951</v>
      </c>
      <c r="C735">
        <v>1</v>
      </c>
      <c r="D735" t="s">
        <v>2952</v>
      </c>
      <c r="E735">
        <v>0</v>
      </c>
      <c r="F735" t="s">
        <v>178</v>
      </c>
      <c r="G735" t="s">
        <v>55</v>
      </c>
      <c r="H735" t="s">
        <v>2953</v>
      </c>
      <c r="I735" t="s">
        <v>222</v>
      </c>
    </row>
    <row r="736" spans="1:9" x14ac:dyDescent="0.2">
      <c r="A736" t="s">
        <v>481</v>
      </c>
      <c r="B736" t="s">
        <v>2954</v>
      </c>
      <c r="C736">
        <v>2</v>
      </c>
      <c r="D736" t="s">
        <v>2955</v>
      </c>
      <c r="E736">
        <v>1</v>
      </c>
      <c r="F736" t="s">
        <v>255</v>
      </c>
      <c r="G736" t="s">
        <v>60</v>
      </c>
      <c r="H736" t="s">
        <v>2956</v>
      </c>
      <c r="I736" t="s">
        <v>222</v>
      </c>
    </row>
    <row r="737" spans="1:9" x14ac:dyDescent="0.2">
      <c r="A737" t="s">
        <v>481</v>
      </c>
      <c r="B737" t="s">
        <v>2957</v>
      </c>
      <c r="C737">
        <v>3</v>
      </c>
      <c r="D737" t="s">
        <v>2958</v>
      </c>
      <c r="E737">
        <v>3</v>
      </c>
      <c r="H737" t="s">
        <v>2959</v>
      </c>
      <c r="I737" t="s">
        <v>222</v>
      </c>
    </row>
    <row r="738" spans="1:9" x14ac:dyDescent="0.2">
      <c r="A738" t="s">
        <v>481</v>
      </c>
      <c r="B738" t="s">
        <v>2960</v>
      </c>
      <c r="C738">
        <v>4</v>
      </c>
      <c r="D738" t="s">
        <v>2961</v>
      </c>
      <c r="E738">
        <v>4</v>
      </c>
      <c r="H738" t="s">
        <v>2454</v>
      </c>
      <c r="I738" t="s">
        <v>222</v>
      </c>
    </row>
    <row r="739" spans="1:9" x14ac:dyDescent="0.2">
      <c r="A739" t="s">
        <v>482</v>
      </c>
      <c r="B739" t="s">
        <v>2962</v>
      </c>
      <c r="C739">
        <v>1</v>
      </c>
      <c r="D739" t="s">
        <v>2963</v>
      </c>
      <c r="E739">
        <v>0</v>
      </c>
      <c r="F739" t="s">
        <v>265</v>
      </c>
      <c r="G739" t="s">
        <v>62</v>
      </c>
      <c r="H739" t="s">
        <v>2964</v>
      </c>
      <c r="I739" t="s">
        <v>222</v>
      </c>
    </row>
    <row r="740" spans="1:9" x14ac:dyDescent="0.2">
      <c r="A740" t="s">
        <v>482</v>
      </c>
      <c r="B740" t="s">
        <v>2965</v>
      </c>
      <c r="C740">
        <v>2</v>
      </c>
      <c r="D740" t="s">
        <v>2966</v>
      </c>
      <c r="E740">
        <v>1</v>
      </c>
      <c r="F740" t="s">
        <v>265</v>
      </c>
      <c r="G740" t="s">
        <v>62</v>
      </c>
      <c r="H740" t="s">
        <v>2967</v>
      </c>
      <c r="I740" t="s">
        <v>222</v>
      </c>
    </row>
    <row r="741" spans="1:9" x14ac:dyDescent="0.2">
      <c r="A741" t="s">
        <v>482</v>
      </c>
      <c r="B741" t="s">
        <v>2968</v>
      </c>
      <c r="C741">
        <v>3</v>
      </c>
      <c r="D741" t="s">
        <v>2969</v>
      </c>
      <c r="E741">
        <v>3</v>
      </c>
      <c r="H741" t="s">
        <v>2970</v>
      </c>
      <c r="I741" t="s">
        <v>222</v>
      </c>
    </row>
    <row r="742" spans="1:9" x14ac:dyDescent="0.2">
      <c r="A742" t="s">
        <v>482</v>
      </c>
      <c r="B742" t="s">
        <v>2971</v>
      </c>
      <c r="C742">
        <v>4</v>
      </c>
      <c r="D742" t="s">
        <v>2972</v>
      </c>
      <c r="E742">
        <v>4</v>
      </c>
      <c r="H742" t="s">
        <v>2454</v>
      </c>
      <c r="I742" t="s">
        <v>222</v>
      </c>
    </row>
    <row r="743" spans="1:9" x14ac:dyDescent="0.2">
      <c r="A743" t="s">
        <v>483</v>
      </c>
      <c r="B743" t="s">
        <v>2973</v>
      </c>
      <c r="C743">
        <v>1</v>
      </c>
      <c r="D743" t="s">
        <v>2974</v>
      </c>
      <c r="E743">
        <v>0</v>
      </c>
      <c r="F743" t="s">
        <v>265</v>
      </c>
      <c r="G743" t="s">
        <v>62</v>
      </c>
      <c r="H743" t="s">
        <v>2975</v>
      </c>
      <c r="I743" t="s">
        <v>222</v>
      </c>
    </row>
    <row r="744" spans="1:9" x14ac:dyDescent="0.2">
      <c r="A744" t="s">
        <v>483</v>
      </c>
      <c r="B744" t="s">
        <v>2976</v>
      </c>
      <c r="C744">
        <v>2</v>
      </c>
      <c r="D744" t="s">
        <v>2977</v>
      </c>
      <c r="E744">
        <v>1</v>
      </c>
      <c r="F744" t="s">
        <v>255</v>
      </c>
      <c r="G744" t="s">
        <v>60</v>
      </c>
      <c r="H744" t="s">
        <v>2978</v>
      </c>
      <c r="I744" t="s">
        <v>222</v>
      </c>
    </row>
    <row r="745" spans="1:9" x14ac:dyDescent="0.2">
      <c r="A745" t="s">
        <v>483</v>
      </c>
      <c r="B745" t="s">
        <v>2979</v>
      </c>
      <c r="C745">
        <v>3</v>
      </c>
      <c r="D745" t="s">
        <v>2980</v>
      </c>
      <c r="E745">
        <v>3</v>
      </c>
      <c r="H745" t="s">
        <v>2981</v>
      </c>
      <c r="I745" t="s">
        <v>222</v>
      </c>
    </row>
    <row r="746" spans="1:9" x14ac:dyDescent="0.2">
      <c r="A746" t="s">
        <v>483</v>
      </c>
      <c r="B746" t="s">
        <v>2982</v>
      </c>
      <c r="C746">
        <v>4</v>
      </c>
      <c r="D746" t="s">
        <v>2983</v>
      </c>
      <c r="E746">
        <v>4</v>
      </c>
      <c r="H746" t="s">
        <v>2454</v>
      </c>
      <c r="I746" t="s">
        <v>222</v>
      </c>
    </row>
    <row r="747" spans="1:9" x14ac:dyDescent="0.2">
      <c r="A747" t="s">
        <v>484</v>
      </c>
      <c r="B747" t="s">
        <v>2984</v>
      </c>
      <c r="C747">
        <v>1</v>
      </c>
      <c r="D747" t="s">
        <v>2985</v>
      </c>
      <c r="E747">
        <v>0</v>
      </c>
      <c r="F747" t="s">
        <v>276</v>
      </c>
      <c r="G747" t="s">
        <v>66</v>
      </c>
      <c r="H747" t="s">
        <v>2986</v>
      </c>
      <c r="I747" t="s">
        <v>222</v>
      </c>
    </row>
    <row r="748" spans="1:9" x14ac:dyDescent="0.2">
      <c r="A748" t="s">
        <v>484</v>
      </c>
      <c r="B748" t="s">
        <v>2987</v>
      </c>
      <c r="C748">
        <v>2</v>
      </c>
      <c r="D748" t="s">
        <v>2988</v>
      </c>
      <c r="E748">
        <v>1</v>
      </c>
      <c r="F748" t="s">
        <v>276</v>
      </c>
      <c r="G748" t="s">
        <v>66</v>
      </c>
      <c r="H748" t="s">
        <v>2989</v>
      </c>
      <c r="I748" t="s">
        <v>222</v>
      </c>
    </row>
    <row r="749" spans="1:9" x14ac:dyDescent="0.2">
      <c r="A749" t="s">
        <v>484</v>
      </c>
      <c r="B749" t="s">
        <v>2990</v>
      </c>
      <c r="C749">
        <v>3</v>
      </c>
      <c r="D749" t="s">
        <v>2991</v>
      </c>
      <c r="E749">
        <v>3</v>
      </c>
      <c r="H749" t="s">
        <v>2992</v>
      </c>
      <c r="I749" t="s">
        <v>222</v>
      </c>
    </row>
    <row r="750" spans="1:9" x14ac:dyDescent="0.2">
      <c r="A750" t="s">
        <v>484</v>
      </c>
      <c r="B750" t="s">
        <v>2993</v>
      </c>
      <c r="C750">
        <v>4</v>
      </c>
      <c r="D750" t="s">
        <v>2994</v>
      </c>
      <c r="E750">
        <v>4</v>
      </c>
      <c r="H750" t="s">
        <v>2454</v>
      </c>
      <c r="I750" t="s">
        <v>222</v>
      </c>
    </row>
    <row r="751" spans="1:9" x14ac:dyDescent="0.2">
      <c r="A751" t="s">
        <v>485</v>
      </c>
      <c r="B751" t="s">
        <v>2995</v>
      </c>
      <c r="C751">
        <v>1</v>
      </c>
      <c r="D751" t="s">
        <v>2996</v>
      </c>
      <c r="E751">
        <v>0</v>
      </c>
      <c r="F751" t="s">
        <v>236</v>
      </c>
      <c r="G751" t="s">
        <v>57</v>
      </c>
      <c r="H751" t="s">
        <v>2997</v>
      </c>
      <c r="I751" t="s">
        <v>222</v>
      </c>
    </row>
    <row r="752" spans="1:9" x14ac:dyDescent="0.2">
      <c r="A752" t="s">
        <v>485</v>
      </c>
      <c r="B752" t="s">
        <v>2998</v>
      </c>
      <c r="C752">
        <v>2</v>
      </c>
      <c r="D752" t="s">
        <v>2999</v>
      </c>
      <c r="E752">
        <v>1</v>
      </c>
      <c r="F752" t="s">
        <v>255</v>
      </c>
      <c r="G752" t="s">
        <v>60</v>
      </c>
      <c r="H752" t="s">
        <v>3000</v>
      </c>
      <c r="I752" t="s">
        <v>222</v>
      </c>
    </row>
    <row r="753" spans="1:9" x14ac:dyDescent="0.2">
      <c r="A753" t="s">
        <v>485</v>
      </c>
      <c r="B753" t="s">
        <v>3001</v>
      </c>
      <c r="C753">
        <v>3</v>
      </c>
      <c r="D753" t="s">
        <v>3002</v>
      </c>
      <c r="E753">
        <v>3</v>
      </c>
      <c r="H753" t="s">
        <v>3003</v>
      </c>
      <c r="I753" t="s">
        <v>222</v>
      </c>
    </row>
    <row r="754" spans="1:9" x14ac:dyDescent="0.2">
      <c r="A754" t="s">
        <v>485</v>
      </c>
      <c r="B754" t="s">
        <v>3004</v>
      </c>
      <c r="C754">
        <v>4</v>
      </c>
      <c r="D754" t="s">
        <v>3005</v>
      </c>
      <c r="E754">
        <v>4</v>
      </c>
      <c r="H754" t="s">
        <v>2454</v>
      </c>
      <c r="I754" t="s">
        <v>222</v>
      </c>
    </row>
    <row r="755" spans="1:9" x14ac:dyDescent="0.2">
      <c r="A755" t="s">
        <v>486</v>
      </c>
      <c r="B755" t="s">
        <v>3006</v>
      </c>
      <c r="C755">
        <v>1</v>
      </c>
      <c r="D755" t="s">
        <v>3007</v>
      </c>
      <c r="E755">
        <v>0</v>
      </c>
      <c r="F755" t="s">
        <v>276</v>
      </c>
      <c r="G755" t="s">
        <v>66</v>
      </c>
      <c r="H755" t="s">
        <v>3008</v>
      </c>
      <c r="I755" t="s">
        <v>222</v>
      </c>
    </row>
    <row r="756" spans="1:9" x14ac:dyDescent="0.2">
      <c r="A756" t="s">
        <v>486</v>
      </c>
      <c r="B756" t="s">
        <v>3009</v>
      </c>
      <c r="C756">
        <v>2</v>
      </c>
      <c r="D756" t="s">
        <v>3010</v>
      </c>
      <c r="E756">
        <v>1</v>
      </c>
      <c r="F756" t="s">
        <v>276</v>
      </c>
      <c r="G756" t="s">
        <v>66</v>
      </c>
      <c r="H756" t="s">
        <v>3011</v>
      </c>
      <c r="I756" t="s">
        <v>222</v>
      </c>
    </row>
    <row r="757" spans="1:9" x14ac:dyDescent="0.2">
      <c r="A757" t="s">
        <v>486</v>
      </c>
      <c r="B757" t="s">
        <v>3012</v>
      </c>
      <c r="C757">
        <v>3</v>
      </c>
      <c r="D757" t="s">
        <v>3013</v>
      </c>
      <c r="E757">
        <v>3</v>
      </c>
      <c r="H757" t="s">
        <v>3014</v>
      </c>
      <c r="I757" t="s">
        <v>222</v>
      </c>
    </row>
    <row r="758" spans="1:9" x14ac:dyDescent="0.2">
      <c r="A758" t="s">
        <v>486</v>
      </c>
      <c r="B758" t="s">
        <v>3015</v>
      </c>
      <c r="C758">
        <v>4</v>
      </c>
      <c r="D758" t="s">
        <v>3016</v>
      </c>
      <c r="E758">
        <v>4</v>
      </c>
      <c r="H758" t="s">
        <v>2454</v>
      </c>
      <c r="I758" t="s">
        <v>222</v>
      </c>
    </row>
    <row r="759" spans="1:9" x14ac:dyDescent="0.2">
      <c r="A759" t="s">
        <v>487</v>
      </c>
      <c r="B759" t="s">
        <v>3017</v>
      </c>
      <c r="C759">
        <v>1</v>
      </c>
      <c r="D759" t="s">
        <v>3018</v>
      </c>
      <c r="E759">
        <v>0</v>
      </c>
      <c r="F759" t="s">
        <v>276</v>
      </c>
      <c r="G759" t="s">
        <v>66</v>
      </c>
      <c r="H759" t="s">
        <v>3019</v>
      </c>
      <c r="I759" t="s">
        <v>222</v>
      </c>
    </row>
    <row r="760" spans="1:9" x14ac:dyDescent="0.2">
      <c r="A760" t="s">
        <v>487</v>
      </c>
      <c r="B760" t="s">
        <v>3020</v>
      </c>
      <c r="C760">
        <v>2</v>
      </c>
      <c r="D760" t="s">
        <v>3021</v>
      </c>
      <c r="E760">
        <v>1</v>
      </c>
      <c r="F760" t="s">
        <v>255</v>
      </c>
      <c r="G760" t="s">
        <v>60</v>
      </c>
      <c r="H760" t="s">
        <v>3022</v>
      </c>
      <c r="I760" t="s">
        <v>222</v>
      </c>
    </row>
    <row r="761" spans="1:9" x14ac:dyDescent="0.2">
      <c r="A761" t="s">
        <v>487</v>
      </c>
      <c r="B761" t="s">
        <v>3023</v>
      </c>
      <c r="C761">
        <v>3</v>
      </c>
      <c r="D761" t="s">
        <v>3024</v>
      </c>
      <c r="E761">
        <v>3</v>
      </c>
      <c r="H761" t="s">
        <v>3025</v>
      </c>
      <c r="I761" t="s">
        <v>222</v>
      </c>
    </row>
    <row r="762" spans="1:9" x14ac:dyDescent="0.2">
      <c r="A762" t="s">
        <v>487</v>
      </c>
      <c r="B762" t="s">
        <v>3026</v>
      </c>
      <c r="C762">
        <v>4</v>
      </c>
      <c r="D762" t="s">
        <v>3027</v>
      </c>
      <c r="E762">
        <v>4</v>
      </c>
      <c r="H762" t="s">
        <v>2454</v>
      </c>
      <c r="I762" t="s">
        <v>222</v>
      </c>
    </row>
    <row r="763" spans="1:9" x14ac:dyDescent="0.2">
      <c r="A763" t="s">
        <v>488</v>
      </c>
      <c r="B763" t="s">
        <v>3028</v>
      </c>
      <c r="C763">
        <v>1</v>
      </c>
      <c r="D763" t="s">
        <v>1017</v>
      </c>
      <c r="E763">
        <v>0</v>
      </c>
      <c r="F763" t="s">
        <v>273</v>
      </c>
      <c r="G763" t="s">
        <v>65</v>
      </c>
      <c r="H763" t="s">
        <v>3029</v>
      </c>
      <c r="I763" t="s">
        <v>222</v>
      </c>
    </row>
    <row r="764" spans="1:9" x14ac:dyDescent="0.2">
      <c r="A764" t="s">
        <v>488</v>
      </c>
      <c r="B764" t="s">
        <v>3030</v>
      </c>
      <c r="C764">
        <v>2</v>
      </c>
      <c r="D764" t="s">
        <v>3031</v>
      </c>
      <c r="E764">
        <v>0</v>
      </c>
      <c r="F764" t="s">
        <v>3032</v>
      </c>
      <c r="G764" t="s">
        <v>60</v>
      </c>
      <c r="H764" t="s">
        <v>3033</v>
      </c>
      <c r="I764" t="s">
        <v>222</v>
      </c>
    </row>
    <row r="765" spans="1:9" x14ac:dyDescent="0.2">
      <c r="A765" t="s">
        <v>488</v>
      </c>
      <c r="B765" t="s">
        <v>3034</v>
      </c>
      <c r="C765">
        <v>3</v>
      </c>
      <c r="D765" t="s">
        <v>3035</v>
      </c>
      <c r="E765">
        <v>1</v>
      </c>
      <c r="F765" t="s">
        <v>172</v>
      </c>
      <c r="G765" t="s">
        <v>61</v>
      </c>
      <c r="H765" t="s">
        <v>3036</v>
      </c>
      <c r="I765" t="s">
        <v>222</v>
      </c>
    </row>
    <row r="766" spans="1:9" x14ac:dyDescent="0.2">
      <c r="A766" t="s">
        <v>488</v>
      </c>
      <c r="B766" t="s">
        <v>3037</v>
      </c>
      <c r="C766">
        <v>4</v>
      </c>
      <c r="D766" t="s">
        <v>3038</v>
      </c>
      <c r="E766">
        <v>3</v>
      </c>
      <c r="H766" t="s">
        <v>3039</v>
      </c>
      <c r="I766" t="s">
        <v>222</v>
      </c>
    </row>
    <row r="767" spans="1:9" x14ac:dyDescent="0.2">
      <c r="A767" t="s">
        <v>488</v>
      </c>
      <c r="B767" t="s">
        <v>3040</v>
      </c>
      <c r="C767">
        <v>5</v>
      </c>
      <c r="D767" t="s">
        <v>3041</v>
      </c>
      <c r="E767">
        <v>4</v>
      </c>
      <c r="H767" t="s">
        <v>2454</v>
      </c>
      <c r="I767" t="s">
        <v>222</v>
      </c>
    </row>
    <row r="768" spans="1:9" x14ac:dyDescent="0.2">
      <c r="A768" t="s">
        <v>490</v>
      </c>
      <c r="B768" t="s">
        <v>3042</v>
      </c>
      <c r="C768">
        <v>1</v>
      </c>
      <c r="D768" t="s">
        <v>3043</v>
      </c>
      <c r="E768">
        <v>0</v>
      </c>
      <c r="F768" t="s">
        <v>172</v>
      </c>
      <c r="G768" t="s">
        <v>61</v>
      </c>
      <c r="H768" t="s">
        <v>3044</v>
      </c>
      <c r="I768" t="s">
        <v>222</v>
      </c>
    </row>
    <row r="769" spans="1:9" x14ac:dyDescent="0.2">
      <c r="A769" t="s">
        <v>490</v>
      </c>
      <c r="B769" t="s">
        <v>3045</v>
      </c>
      <c r="C769">
        <v>2</v>
      </c>
      <c r="D769" t="s">
        <v>3046</v>
      </c>
      <c r="E769">
        <v>1</v>
      </c>
      <c r="F769" t="s">
        <v>255</v>
      </c>
      <c r="G769" t="s">
        <v>60</v>
      </c>
      <c r="H769" t="s">
        <v>3047</v>
      </c>
      <c r="I769" t="s">
        <v>222</v>
      </c>
    </row>
    <row r="770" spans="1:9" x14ac:dyDescent="0.2">
      <c r="A770" t="s">
        <v>490</v>
      </c>
      <c r="B770" t="s">
        <v>3048</v>
      </c>
      <c r="C770">
        <v>3</v>
      </c>
      <c r="D770" t="s">
        <v>3049</v>
      </c>
      <c r="E770">
        <v>3</v>
      </c>
      <c r="H770" t="s">
        <v>3050</v>
      </c>
      <c r="I770" t="s">
        <v>222</v>
      </c>
    </row>
    <row r="771" spans="1:9" x14ac:dyDescent="0.2">
      <c r="A771" t="s">
        <v>490</v>
      </c>
      <c r="B771" t="s">
        <v>3051</v>
      </c>
      <c r="C771">
        <v>4</v>
      </c>
      <c r="D771" t="s">
        <v>3052</v>
      </c>
      <c r="E771">
        <v>4</v>
      </c>
      <c r="H771" t="s">
        <v>2454</v>
      </c>
      <c r="I771" t="s">
        <v>222</v>
      </c>
    </row>
    <row r="772" spans="1:9" x14ac:dyDescent="0.2">
      <c r="A772" t="s">
        <v>491</v>
      </c>
      <c r="B772" t="s">
        <v>3053</v>
      </c>
      <c r="C772">
        <v>1</v>
      </c>
      <c r="D772" t="s">
        <v>3054</v>
      </c>
      <c r="E772">
        <v>0</v>
      </c>
      <c r="F772" t="s">
        <v>172</v>
      </c>
      <c r="G772" t="s">
        <v>61</v>
      </c>
      <c r="H772" t="s">
        <v>3055</v>
      </c>
      <c r="I772" t="s">
        <v>222</v>
      </c>
    </row>
    <row r="773" spans="1:9" x14ac:dyDescent="0.2">
      <c r="A773" t="s">
        <v>491</v>
      </c>
      <c r="B773" t="s">
        <v>3056</v>
      </c>
      <c r="C773">
        <v>2</v>
      </c>
      <c r="D773" t="s">
        <v>3057</v>
      </c>
      <c r="E773">
        <v>1</v>
      </c>
      <c r="F773" t="s">
        <v>255</v>
      </c>
      <c r="G773" t="s">
        <v>60</v>
      </c>
      <c r="H773" t="s">
        <v>3058</v>
      </c>
      <c r="I773" t="s">
        <v>222</v>
      </c>
    </row>
    <row r="774" spans="1:9" x14ac:dyDescent="0.2">
      <c r="A774" t="s">
        <v>491</v>
      </c>
      <c r="B774" t="s">
        <v>3059</v>
      </c>
      <c r="C774">
        <v>3</v>
      </c>
      <c r="D774" t="s">
        <v>3060</v>
      </c>
      <c r="E774">
        <v>3</v>
      </c>
      <c r="H774" t="s">
        <v>3061</v>
      </c>
      <c r="I774" t="s">
        <v>222</v>
      </c>
    </row>
    <row r="775" spans="1:9" x14ac:dyDescent="0.2">
      <c r="A775" t="s">
        <v>491</v>
      </c>
      <c r="B775" t="s">
        <v>3062</v>
      </c>
      <c r="C775">
        <v>4</v>
      </c>
      <c r="D775" t="s">
        <v>3063</v>
      </c>
      <c r="E775">
        <v>4</v>
      </c>
      <c r="H775" t="s">
        <v>2454</v>
      </c>
      <c r="I775" t="s">
        <v>222</v>
      </c>
    </row>
    <row r="776" spans="1:9" x14ac:dyDescent="0.2">
      <c r="A776" t="s">
        <v>492</v>
      </c>
      <c r="B776" t="s">
        <v>3064</v>
      </c>
      <c r="C776">
        <v>1</v>
      </c>
      <c r="D776" t="s">
        <v>3065</v>
      </c>
      <c r="E776">
        <v>0</v>
      </c>
      <c r="F776" t="s">
        <v>255</v>
      </c>
      <c r="G776" t="s">
        <v>60</v>
      </c>
      <c r="H776" t="s">
        <v>3066</v>
      </c>
      <c r="I776" t="s">
        <v>222</v>
      </c>
    </row>
    <row r="777" spans="1:9" x14ac:dyDescent="0.2">
      <c r="A777" t="s">
        <v>492</v>
      </c>
      <c r="B777" t="s">
        <v>3067</v>
      </c>
      <c r="C777">
        <v>2</v>
      </c>
      <c r="D777" t="s">
        <v>3068</v>
      </c>
      <c r="E777">
        <v>1</v>
      </c>
      <c r="F777" t="s">
        <v>255</v>
      </c>
      <c r="G777" t="s">
        <v>60</v>
      </c>
      <c r="H777" t="s">
        <v>3069</v>
      </c>
      <c r="I777" t="s">
        <v>222</v>
      </c>
    </row>
    <row r="778" spans="1:9" x14ac:dyDescent="0.2">
      <c r="A778" t="s">
        <v>492</v>
      </c>
      <c r="B778" t="s">
        <v>3070</v>
      </c>
      <c r="C778">
        <v>3</v>
      </c>
      <c r="D778" t="s">
        <v>3071</v>
      </c>
      <c r="E778">
        <v>3</v>
      </c>
      <c r="H778" t="s">
        <v>3072</v>
      </c>
      <c r="I778" t="s">
        <v>222</v>
      </c>
    </row>
    <row r="779" spans="1:9" x14ac:dyDescent="0.2">
      <c r="A779" t="s">
        <v>492</v>
      </c>
      <c r="B779" t="s">
        <v>3073</v>
      </c>
      <c r="C779">
        <v>4</v>
      </c>
      <c r="D779" t="s">
        <v>3074</v>
      </c>
      <c r="E779">
        <v>4</v>
      </c>
      <c r="H779" t="s">
        <v>2454</v>
      </c>
      <c r="I779" t="s">
        <v>222</v>
      </c>
    </row>
    <row r="780" spans="1:9" x14ac:dyDescent="0.2">
      <c r="A780" t="s">
        <v>493</v>
      </c>
      <c r="B780" t="s">
        <v>3075</v>
      </c>
      <c r="C780">
        <v>1</v>
      </c>
      <c r="D780" t="s">
        <v>3076</v>
      </c>
      <c r="E780">
        <v>0</v>
      </c>
      <c r="F780" t="s">
        <v>172</v>
      </c>
      <c r="G780" t="s">
        <v>61</v>
      </c>
      <c r="H780" t="s">
        <v>3077</v>
      </c>
      <c r="I780" t="s">
        <v>222</v>
      </c>
    </row>
    <row r="781" spans="1:9" x14ac:dyDescent="0.2">
      <c r="A781" t="s">
        <v>493</v>
      </c>
      <c r="B781" t="s">
        <v>3078</v>
      </c>
      <c r="C781">
        <v>2</v>
      </c>
      <c r="D781" t="s">
        <v>3079</v>
      </c>
      <c r="E781">
        <v>1</v>
      </c>
      <c r="F781" t="s">
        <v>255</v>
      </c>
      <c r="G781" t="s">
        <v>60</v>
      </c>
      <c r="H781" t="s">
        <v>3080</v>
      </c>
      <c r="I781" t="s">
        <v>222</v>
      </c>
    </row>
    <row r="782" spans="1:9" x14ac:dyDescent="0.2">
      <c r="A782" t="s">
        <v>493</v>
      </c>
      <c r="B782" t="s">
        <v>3081</v>
      </c>
      <c r="C782">
        <v>3</v>
      </c>
      <c r="D782" t="s">
        <v>3082</v>
      </c>
      <c r="E782">
        <v>3</v>
      </c>
      <c r="H782" t="s">
        <v>3083</v>
      </c>
      <c r="I782" t="s">
        <v>222</v>
      </c>
    </row>
    <row r="783" spans="1:9" x14ac:dyDescent="0.2">
      <c r="A783" t="s">
        <v>493</v>
      </c>
      <c r="B783" t="s">
        <v>3084</v>
      </c>
      <c r="C783">
        <v>4</v>
      </c>
      <c r="D783" t="s">
        <v>3085</v>
      </c>
      <c r="E783">
        <v>4</v>
      </c>
      <c r="H783" t="s">
        <v>2454</v>
      </c>
      <c r="I783" t="s">
        <v>222</v>
      </c>
    </row>
    <row r="784" spans="1:9" x14ac:dyDescent="0.2">
      <c r="A784" t="s">
        <v>494</v>
      </c>
      <c r="B784" t="s">
        <v>3086</v>
      </c>
      <c r="C784">
        <v>1</v>
      </c>
      <c r="D784" t="s">
        <v>3087</v>
      </c>
      <c r="E784">
        <v>0</v>
      </c>
      <c r="F784" t="s">
        <v>236</v>
      </c>
      <c r="G784" t="s">
        <v>57</v>
      </c>
      <c r="H784" t="s">
        <v>3088</v>
      </c>
      <c r="I784" t="s">
        <v>222</v>
      </c>
    </row>
    <row r="785" spans="1:9" x14ac:dyDescent="0.2">
      <c r="A785" t="s">
        <v>494</v>
      </c>
      <c r="B785" t="s">
        <v>3089</v>
      </c>
      <c r="C785">
        <v>2</v>
      </c>
      <c r="D785" t="s">
        <v>3090</v>
      </c>
      <c r="E785">
        <v>1</v>
      </c>
      <c r="F785" t="s">
        <v>255</v>
      </c>
      <c r="G785" t="s">
        <v>60</v>
      </c>
      <c r="H785" t="s">
        <v>3091</v>
      </c>
      <c r="I785" t="s">
        <v>222</v>
      </c>
    </row>
    <row r="786" spans="1:9" x14ac:dyDescent="0.2">
      <c r="A786" t="s">
        <v>494</v>
      </c>
      <c r="B786" t="s">
        <v>3092</v>
      </c>
      <c r="C786">
        <v>3</v>
      </c>
      <c r="D786" t="s">
        <v>3093</v>
      </c>
      <c r="E786">
        <v>3</v>
      </c>
      <c r="H786" t="s">
        <v>3094</v>
      </c>
      <c r="I786" t="s">
        <v>222</v>
      </c>
    </row>
    <row r="787" spans="1:9" x14ac:dyDescent="0.2">
      <c r="A787" t="s">
        <v>494</v>
      </c>
      <c r="B787" t="s">
        <v>3095</v>
      </c>
      <c r="C787">
        <v>4</v>
      </c>
      <c r="D787" t="s">
        <v>3096</v>
      </c>
      <c r="E787">
        <v>4</v>
      </c>
      <c r="H787" t="s">
        <v>2454</v>
      </c>
      <c r="I787" t="s">
        <v>222</v>
      </c>
    </row>
    <row r="788" spans="1:9" x14ac:dyDescent="0.2">
      <c r="A788" t="s">
        <v>495</v>
      </c>
      <c r="B788" t="s">
        <v>3097</v>
      </c>
      <c r="C788">
        <v>1</v>
      </c>
      <c r="D788" t="s">
        <v>3098</v>
      </c>
      <c r="E788">
        <v>0</v>
      </c>
      <c r="F788" t="s">
        <v>248</v>
      </c>
      <c r="G788" t="s">
        <v>59</v>
      </c>
      <c r="H788" t="s">
        <v>3099</v>
      </c>
      <c r="I788" t="s">
        <v>222</v>
      </c>
    </row>
    <row r="789" spans="1:9" x14ac:dyDescent="0.2">
      <c r="A789" t="s">
        <v>495</v>
      </c>
      <c r="B789" t="s">
        <v>3100</v>
      </c>
      <c r="C789">
        <v>2</v>
      </c>
      <c r="D789" t="s">
        <v>3101</v>
      </c>
      <c r="E789">
        <v>1</v>
      </c>
      <c r="F789" t="s">
        <v>255</v>
      </c>
      <c r="G789" t="s">
        <v>60</v>
      </c>
      <c r="H789" t="s">
        <v>3102</v>
      </c>
      <c r="I789" t="s">
        <v>222</v>
      </c>
    </row>
    <row r="790" spans="1:9" x14ac:dyDescent="0.2">
      <c r="A790" t="s">
        <v>495</v>
      </c>
      <c r="B790" t="s">
        <v>3103</v>
      </c>
      <c r="C790">
        <v>3</v>
      </c>
      <c r="D790" t="s">
        <v>3104</v>
      </c>
      <c r="E790">
        <v>3</v>
      </c>
      <c r="H790" t="s">
        <v>3105</v>
      </c>
      <c r="I790" t="s">
        <v>222</v>
      </c>
    </row>
    <row r="791" spans="1:9" x14ac:dyDescent="0.2">
      <c r="A791" t="s">
        <v>495</v>
      </c>
      <c r="B791" t="s">
        <v>3106</v>
      </c>
      <c r="C791">
        <v>4</v>
      </c>
      <c r="D791" t="s">
        <v>3107</v>
      </c>
      <c r="E791">
        <v>4</v>
      </c>
      <c r="H791" t="s">
        <v>2454</v>
      </c>
      <c r="I791" t="s">
        <v>222</v>
      </c>
    </row>
    <row r="792" spans="1:9" x14ac:dyDescent="0.2">
      <c r="A792" t="s">
        <v>496</v>
      </c>
      <c r="B792" t="s">
        <v>3108</v>
      </c>
      <c r="C792">
        <v>1</v>
      </c>
      <c r="D792" t="s">
        <v>3109</v>
      </c>
      <c r="E792">
        <v>0</v>
      </c>
      <c r="F792" t="s">
        <v>276</v>
      </c>
      <c r="G792" t="s">
        <v>66</v>
      </c>
      <c r="H792" t="s">
        <v>3110</v>
      </c>
      <c r="I792" t="s">
        <v>222</v>
      </c>
    </row>
    <row r="793" spans="1:9" x14ac:dyDescent="0.2">
      <c r="A793" t="s">
        <v>496</v>
      </c>
      <c r="B793" t="s">
        <v>3111</v>
      </c>
      <c r="C793">
        <v>2</v>
      </c>
      <c r="D793" t="s">
        <v>3112</v>
      </c>
      <c r="E793">
        <v>1</v>
      </c>
      <c r="F793" t="s">
        <v>172</v>
      </c>
      <c r="G793" t="s">
        <v>61</v>
      </c>
      <c r="H793" t="s">
        <v>3113</v>
      </c>
      <c r="I793" t="s">
        <v>222</v>
      </c>
    </row>
    <row r="794" spans="1:9" x14ac:dyDescent="0.2">
      <c r="A794" t="s">
        <v>496</v>
      </c>
      <c r="B794" t="s">
        <v>3114</v>
      </c>
      <c r="C794">
        <v>3</v>
      </c>
      <c r="D794" t="s">
        <v>3115</v>
      </c>
      <c r="E794">
        <v>3</v>
      </c>
      <c r="H794" t="s">
        <v>3116</v>
      </c>
      <c r="I794" t="s">
        <v>222</v>
      </c>
    </row>
    <row r="795" spans="1:9" x14ac:dyDescent="0.2">
      <c r="A795" t="s">
        <v>496</v>
      </c>
      <c r="B795" t="s">
        <v>3117</v>
      </c>
      <c r="C795">
        <v>4</v>
      </c>
      <c r="D795" t="s">
        <v>3118</v>
      </c>
      <c r="E795">
        <v>4</v>
      </c>
      <c r="H795" t="s">
        <v>2454</v>
      </c>
      <c r="I795" t="s">
        <v>222</v>
      </c>
    </row>
    <row r="796" spans="1:9" x14ac:dyDescent="0.2">
      <c r="A796" t="s">
        <v>497</v>
      </c>
      <c r="B796" t="s">
        <v>3119</v>
      </c>
      <c r="C796">
        <v>1</v>
      </c>
      <c r="D796" t="s">
        <v>3120</v>
      </c>
      <c r="E796">
        <v>0</v>
      </c>
      <c r="F796" t="s">
        <v>265</v>
      </c>
      <c r="G796" t="s">
        <v>62</v>
      </c>
      <c r="H796" t="s">
        <v>3121</v>
      </c>
      <c r="I796" t="s">
        <v>222</v>
      </c>
    </row>
    <row r="797" spans="1:9" x14ac:dyDescent="0.2">
      <c r="A797" t="s">
        <v>497</v>
      </c>
      <c r="B797" t="s">
        <v>3122</v>
      </c>
      <c r="C797">
        <v>2</v>
      </c>
      <c r="D797" t="s">
        <v>3123</v>
      </c>
      <c r="E797">
        <v>1</v>
      </c>
      <c r="F797" t="s">
        <v>255</v>
      </c>
      <c r="G797" t="s">
        <v>60</v>
      </c>
      <c r="H797" t="s">
        <v>3124</v>
      </c>
      <c r="I797" t="s">
        <v>222</v>
      </c>
    </row>
    <row r="798" spans="1:9" x14ac:dyDescent="0.2">
      <c r="A798" t="s">
        <v>497</v>
      </c>
      <c r="B798" t="s">
        <v>3125</v>
      </c>
      <c r="C798">
        <v>3</v>
      </c>
      <c r="D798" t="s">
        <v>3126</v>
      </c>
      <c r="E798">
        <v>3</v>
      </c>
      <c r="H798" t="s">
        <v>3127</v>
      </c>
      <c r="I798" t="s">
        <v>222</v>
      </c>
    </row>
    <row r="799" spans="1:9" x14ac:dyDescent="0.2">
      <c r="A799" t="s">
        <v>497</v>
      </c>
      <c r="B799" t="s">
        <v>3128</v>
      </c>
      <c r="C799">
        <v>4</v>
      </c>
      <c r="D799" t="s">
        <v>3129</v>
      </c>
      <c r="E799">
        <v>4</v>
      </c>
      <c r="H799" t="s">
        <v>2454</v>
      </c>
      <c r="I799" t="s">
        <v>222</v>
      </c>
    </row>
    <row r="800" spans="1:9" x14ac:dyDescent="0.2">
      <c r="A800" t="s">
        <v>498</v>
      </c>
      <c r="B800" t="s">
        <v>3130</v>
      </c>
      <c r="C800">
        <v>1</v>
      </c>
      <c r="D800" t="s">
        <v>3131</v>
      </c>
      <c r="E800">
        <v>0</v>
      </c>
      <c r="F800" t="s">
        <v>248</v>
      </c>
      <c r="G800" t="s">
        <v>59</v>
      </c>
      <c r="H800" t="s">
        <v>3132</v>
      </c>
      <c r="I800" t="s">
        <v>222</v>
      </c>
    </row>
    <row r="801" spans="1:9" x14ac:dyDescent="0.2">
      <c r="A801" t="s">
        <v>498</v>
      </c>
      <c r="B801" t="s">
        <v>3133</v>
      </c>
      <c r="C801">
        <v>2</v>
      </c>
      <c r="D801" t="s">
        <v>3134</v>
      </c>
      <c r="E801">
        <v>1</v>
      </c>
      <c r="F801" t="s">
        <v>255</v>
      </c>
      <c r="G801" t="s">
        <v>60</v>
      </c>
      <c r="H801" t="s">
        <v>3135</v>
      </c>
      <c r="I801" t="s">
        <v>222</v>
      </c>
    </row>
    <row r="802" spans="1:9" x14ac:dyDescent="0.2">
      <c r="A802" t="s">
        <v>498</v>
      </c>
      <c r="B802" t="s">
        <v>3136</v>
      </c>
      <c r="C802">
        <v>3</v>
      </c>
      <c r="D802" t="s">
        <v>3137</v>
      </c>
      <c r="E802">
        <v>3</v>
      </c>
      <c r="H802" t="s">
        <v>3138</v>
      </c>
      <c r="I802" t="s">
        <v>222</v>
      </c>
    </row>
    <row r="803" spans="1:9" x14ac:dyDescent="0.2">
      <c r="A803" t="s">
        <v>498</v>
      </c>
      <c r="B803" t="s">
        <v>3139</v>
      </c>
      <c r="C803">
        <v>4</v>
      </c>
      <c r="D803" t="s">
        <v>3140</v>
      </c>
      <c r="E803">
        <v>4</v>
      </c>
      <c r="H803" t="s">
        <v>2454</v>
      </c>
      <c r="I803" t="s">
        <v>222</v>
      </c>
    </row>
    <row r="804" spans="1:9" x14ac:dyDescent="0.2">
      <c r="A804" t="s">
        <v>355</v>
      </c>
      <c r="B804" t="s">
        <v>3142</v>
      </c>
      <c r="C804">
        <v>0</v>
      </c>
      <c r="D804" t="s">
        <v>1017</v>
      </c>
      <c r="E804">
        <v>0</v>
      </c>
      <c r="F804" t="s">
        <v>273</v>
      </c>
      <c r="H804" t="s">
        <v>3143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21"/>
  <sheetViews>
    <sheetView topLeftCell="J83" workbookViewId="0">
      <selection activeCell="AH11" sqref="AH11"/>
    </sheetView>
  </sheetViews>
  <sheetFormatPr baseColWidth="10" defaultColWidth="8.83203125" defaultRowHeight="15" x14ac:dyDescent="0.2"/>
  <cols>
    <col min="1" max="1" width="11" customWidth="1"/>
    <col min="2" max="2" width="13" customWidth="1"/>
    <col min="3" max="3" width="10" customWidth="1"/>
    <col min="4" max="4" width="28" customWidth="1"/>
    <col min="5" max="8" width="10" style="6" customWidth="1"/>
    <col min="9" max="11" width="60" customWidth="1"/>
    <col min="12" max="12" width="18" customWidth="1"/>
    <col min="13" max="15" width="10" customWidth="1"/>
    <col min="16" max="16" width="16" customWidth="1"/>
    <col min="17" max="17" width="10" customWidth="1"/>
    <col min="18" max="18" width="60" customWidth="1"/>
    <col min="19" max="19" width="11" customWidth="1"/>
    <col min="20" max="20" width="40" customWidth="1"/>
    <col min="21" max="21" width="21" customWidth="1"/>
    <col min="22" max="22" width="33" customWidth="1"/>
    <col min="23" max="23" width="17" customWidth="1"/>
    <col min="24" max="24" width="60" customWidth="1"/>
    <col min="25" max="25" width="5.5" bestFit="1" customWidth="1"/>
    <col min="26" max="28" width="5.1640625" bestFit="1" customWidth="1"/>
    <col min="29" max="30" width="5.5" bestFit="1" customWidth="1"/>
    <col min="31" max="31" width="5.33203125" bestFit="1" customWidth="1"/>
    <col min="32" max="32" width="5.1640625" bestFit="1" customWidth="1"/>
    <col min="33" max="33" width="6" bestFit="1" customWidth="1"/>
    <col min="34" max="34" width="28.1640625" bestFit="1" customWidth="1"/>
    <col min="35" max="35" width="26.1640625" bestFit="1" customWidth="1"/>
    <col min="36" max="36" width="46.33203125" bestFit="1" customWidth="1"/>
  </cols>
  <sheetData>
    <row r="1" spans="1:36" ht="16" x14ac:dyDescent="0.2">
      <c r="A1" s="1" t="s">
        <v>3144</v>
      </c>
      <c r="B1" s="1" t="s">
        <v>323</v>
      </c>
      <c r="C1" s="1" t="s">
        <v>499</v>
      </c>
      <c r="D1" s="1" t="s">
        <v>500</v>
      </c>
      <c r="E1" s="5" t="s">
        <v>501</v>
      </c>
      <c r="F1" s="5" t="s">
        <v>502</v>
      </c>
      <c r="G1" s="5" t="s">
        <v>503</v>
      </c>
      <c r="H1" s="5" t="s">
        <v>504</v>
      </c>
      <c r="I1" s="1" t="s">
        <v>505</v>
      </c>
      <c r="J1" s="1" t="s">
        <v>330</v>
      </c>
      <c r="K1" s="1" t="s">
        <v>506</v>
      </c>
      <c r="L1" s="1" t="s">
        <v>43</v>
      </c>
      <c r="M1" s="1" t="s">
        <v>507</v>
      </c>
      <c r="N1" s="1" t="s">
        <v>508</v>
      </c>
      <c r="O1" s="1" t="s">
        <v>509</v>
      </c>
      <c r="P1" s="1" t="s">
        <v>1011</v>
      </c>
      <c r="Q1" s="1" t="s">
        <v>1012</v>
      </c>
      <c r="R1" s="1" t="s">
        <v>1013</v>
      </c>
      <c r="S1" s="1" t="s">
        <v>1014</v>
      </c>
      <c r="T1" s="1" t="s">
        <v>171</v>
      </c>
      <c r="U1" s="1" t="s">
        <v>54</v>
      </c>
      <c r="V1" s="1" t="s">
        <v>67</v>
      </c>
      <c r="W1" s="1" t="s">
        <v>213</v>
      </c>
      <c r="X1" s="1" t="s">
        <v>1015</v>
      </c>
      <c r="Y1" s="1" t="s">
        <v>3145</v>
      </c>
      <c r="Z1" s="1" t="s">
        <v>3146</v>
      </c>
      <c r="AA1" s="1" t="s">
        <v>3147</v>
      </c>
      <c r="AB1" s="1" t="s">
        <v>3148</v>
      </c>
      <c r="AC1" s="1" t="s">
        <v>3149</v>
      </c>
      <c r="AD1" s="1" t="s">
        <v>3150</v>
      </c>
      <c r="AE1" s="1" t="s">
        <v>3151</v>
      </c>
      <c r="AF1" s="1" t="s">
        <v>3152</v>
      </c>
      <c r="AG1" s="1" t="s">
        <v>3153</v>
      </c>
      <c r="AH1" s="2" t="s">
        <v>516</v>
      </c>
      <c r="AI1" s="2" t="s">
        <v>517</v>
      </c>
      <c r="AJ1" s="2" t="s">
        <v>518</v>
      </c>
    </row>
    <row r="2" spans="1:36" x14ac:dyDescent="0.2">
      <c r="A2" t="s">
        <v>217</v>
      </c>
      <c r="B2" t="s">
        <v>337</v>
      </c>
      <c r="C2" t="s">
        <v>37</v>
      </c>
      <c r="D2" t="s">
        <v>521</v>
      </c>
      <c r="E2" s="6" t="s">
        <v>18</v>
      </c>
      <c r="F2" s="6">
        <v>1</v>
      </c>
      <c r="G2" s="6" t="s">
        <v>522</v>
      </c>
      <c r="I2" t="s">
        <v>523</v>
      </c>
      <c r="J2" t="s">
        <v>524</v>
      </c>
      <c r="L2" t="s">
        <v>44</v>
      </c>
      <c r="M2">
        <v>1</v>
      </c>
      <c r="P2" t="s">
        <v>1016</v>
      </c>
      <c r="Q2">
        <v>1</v>
      </c>
      <c r="R2" t="s">
        <v>1017</v>
      </c>
      <c r="S2">
        <v>0</v>
      </c>
      <c r="T2" t="s">
        <v>273</v>
      </c>
      <c r="U2" t="s">
        <v>65</v>
      </c>
      <c r="V2" t="s">
        <v>88</v>
      </c>
      <c r="W2" t="s">
        <v>222</v>
      </c>
      <c r="Y2">
        <f t="shared" ref="Y2:Y33" si="0">(S2*IF(E2="G",F2,0))+(S2*IF(G2="G",H2,0))</f>
        <v>0</v>
      </c>
      <c r="Z2">
        <f t="shared" ref="Z2:Z33" si="1">(S2*IF(E2="E",F2,0))+(S2*IF(G2="E",H2,0))</f>
        <v>0</v>
      </c>
      <c r="AA2">
        <f t="shared" ref="AA2:AA33" si="2">(S2*IF(E2="T",F2,0))+(S2*IF(G2="T",H2,0))</f>
        <v>0</v>
      </c>
      <c r="AB2">
        <f t="shared" ref="AB2:AB33" si="3">(S2*IF(E2="L",F2,0))+(S2*IF(G2="L",H2,0))</f>
        <v>0</v>
      </c>
      <c r="AC2">
        <f t="shared" ref="AC2:AC33" si="4">(S2*IF(E2="H",F2,0))+(S2*IF(G2="H",H2,0))</f>
        <v>0</v>
      </c>
      <c r="AD2">
        <f t="shared" ref="AD2:AD33" si="5">(S2*IF(E2="V",F2,0))+(S2*IF(G2="V",H2,0))</f>
        <v>0</v>
      </c>
      <c r="AE2">
        <f t="shared" ref="AE2:AE33" si="6">(S2*IF(E2="R",F2,0))+(S2*IF(G2="R",H2,0))</f>
        <v>0</v>
      </c>
      <c r="AF2">
        <f t="shared" ref="AF2:AF33" si="7">(S2*IF(E2="F",F2,0))+(S2*IF(G2="F",H2,0))</f>
        <v>0</v>
      </c>
      <c r="AG2">
        <f t="shared" ref="AG2:AG33" si="8">(S2*IF(E2="W",F2,0))+(S2*IF(G2="W",H2,0))</f>
        <v>0</v>
      </c>
      <c r="AH2" t="s">
        <v>521</v>
      </c>
      <c r="AI2" t="s">
        <v>525</v>
      </c>
      <c r="AJ2" t="s">
        <v>526</v>
      </c>
    </row>
    <row r="3" spans="1:36" x14ac:dyDescent="0.2">
      <c r="A3" t="s">
        <v>217</v>
      </c>
      <c r="B3" t="s">
        <v>337</v>
      </c>
      <c r="C3" t="s">
        <v>37</v>
      </c>
      <c r="D3" t="s">
        <v>521</v>
      </c>
      <c r="E3" s="6" t="s">
        <v>18</v>
      </c>
      <c r="F3" s="6">
        <v>1</v>
      </c>
      <c r="G3" s="6" t="s">
        <v>522</v>
      </c>
      <c r="I3" t="s">
        <v>523</v>
      </c>
      <c r="J3" t="s">
        <v>524</v>
      </c>
      <c r="L3" t="s">
        <v>44</v>
      </c>
      <c r="M3">
        <v>1</v>
      </c>
      <c r="P3" t="s">
        <v>1018</v>
      </c>
      <c r="Q3">
        <v>2</v>
      </c>
      <c r="R3" t="s">
        <v>1019</v>
      </c>
      <c r="S3">
        <v>0</v>
      </c>
      <c r="T3" t="s">
        <v>242</v>
      </c>
      <c r="U3" t="s">
        <v>60</v>
      </c>
      <c r="V3" t="s">
        <v>127</v>
      </c>
      <c r="W3" t="s">
        <v>222</v>
      </c>
      <c r="Y3">
        <f t="shared" si="0"/>
        <v>0</v>
      </c>
      <c r="Z3">
        <f t="shared" si="1"/>
        <v>0</v>
      </c>
      <c r="AA3">
        <f t="shared" si="2"/>
        <v>0</v>
      </c>
      <c r="AB3">
        <f t="shared" si="3"/>
        <v>0</v>
      </c>
      <c r="AC3">
        <f t="shared" si="4"/>
        <v>0</v>
      </c>
      <c r="AD3">
        <f t="shared" si="5"/>
        <v>0</v>
      </c>
      <c r="AE3">
        <f t="shared" si="6"/>
        <v>0</v>
      </c>
      <c r="AF3">
        <f t="shared" si="7"/>
        <v>0</v>
      </c>
      <c r="AG3">
        <f t="shared" si="8"/>
        <v>0</v>
      </c>
      <c r="AH3" t="s">
        <v>521</v>
      </c>
      <c r="AI3" t="s">
        <v>525</v>
      </c>
      <c r="AJ3" t="s">
        <v>526</v>
      </c>
    </row>
    <row r="4" spans="1:36" x14ac:dyDescent="0.2">
      <c r="A4" t="s">
        <v>217</v>
      </c>
      <c r="B4" t="s">
        <v>337</v>
      </c>
      <c r="C4" t="s">
        <v>37</v>
      </c>
      <c r="D4" t="s">
        <v>521</v>
      </c>
      <c r="E4" s="6" t="s">
        <v>18</v>
      </c>
      <c r="F4" s="6">
        <v>1</v>
      </c>
      <c r="G4" s="6" t="s">
        <v>522</v>
      </c>
      <c r="I4" t="s">
        <v>523</v>
      </c>
      <c r="J4" t="s">
        <v>524</v>
      </c>
      <c r="L4" t="s">
        <v>44</v>
      </c>
      <c r="M4">
        <v>1</v>
      </c>
      <c r="P4" t="s">
        <v>1020</v>
      </c>
      <c r="Q4">
        <v>3</v>
      </c>
      <c r="R4" t="s">
        <v>1021</v>
      </c>
      <c r="S4">
        <v>1</v>
      </c>
      <c r="T4" t="s">
        <v>266</v>
      </c>
      <c r="U4" t="s">
        <v>63</v>
      </c>
      <c r="V4" t="s">
        <v>152</v>
      </c>
      <c r="W4" t="s">
        <v>222</v>
      </c>
      <c r="Y4">
        <f t="shared" si="0"/>
        <v>1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 t="s">
        <v>521</v>
      </c>
      <c r="AI4" t="s">
        <v>525</v>
      </c>
      <c r="AJ4" t="s">
        <v>526</v>
      </c>
    </row>
    <row r="5" spans="1:36" x14ac:dyDescent="0.2">
      <c r="A5" t="s">
        <v>217</v>
      </c>
      <c r="B5" t="s">
        <v>337</v>
      </c>
      <c r="C5" t="s">
        <v>37</v>
      </c>
      <c r="D5" t="s">
        <v>521</v>
      </c>
      <c r="E5" s="6" t="s">
        <v>18</v>
      </c>
      <c r="F5" s="6">
        <v>1</v>
      </c>
      <c r="G5" s="6" t="s">
        <v>522</v>
      </c>
      <c r="I5" t="s">
        <v>523</v>
      </c>
      <c r="J5" t="s">
        <v>524</v>
      </c>
      <c r="L5" t="s">
        <v>44</v>
      </c>
      <c r="M5">
        <v>1</v>
      </c>
      <c r="P5" t="s">
        <v>1022</v>
      </c>
      <c r="Q5">
        <v>4</v>
      </c>
      <c r="R5" t="s">
        <v>1023</v>
      </c>
      <c r="S5">
        <v>2</v>
      </c>
      <c r="T5" t="s">
        <v>172</v>
      </c>
      <c r="U5" t="s">
        <v>61</v>
      </c>
      <c r="V5" t="s">
        <v>148</v>
      </c>
      <c r="W5" t="s">
        <v>218</v>
      </c>
      <c r="X5" t="s">
        <v>1024</v>
      </c>
      <c r="Y5">
        <f t="shared" si="0"/>
        <v>2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 t="s">
        <v>521</v>
      </c>
      <c r="AI5" t="s">
        <v>525</v>
      </c>
      <c r="AJ5" t="s">
        <v>526</v>
      </c>
    </row>
    <row r="6" spans="1:36" x14ac:dyDescent="0.2">
      <c r="A6" t="s">
        <v>217</v>
      </c>
      <c r="B6" t="s">
        <v>337</v>
      </c>
      <c r="C6" t="s">
        <v>37</v>
      </c>
      <c r="D6" t="s">
        <v>521</v>
      </c>
      <c r="E6" s="6" t="s">
        <v>18</v>
      </c>
      <c r="F6" s="6">
        <v>1</v>
      </c>
      <c r="G6" s="6" t="s">
        <v>522</v>
      </c>
      <c r="I6" t="s">
        <v>523</v>
      </c>
      <c r="J6" t="s">
        <v>524</v>
      </c>
      <c r="L6" t="s">
        <v>44</v>
      </c>
      <c r="M6">
        <v>1</v>
      </c>
      <c r="P6" t="s">
        <v>1025</v>
      </c>
      <c r="Q6">
        <v>5</v>
      </c>
      <c r="R6" t="s">
        <v>1026</v>
      </c>
      <c r="S6">
        <v>3</v>
      </c>
      <c r="T6" t="s">
        <v>243</v>
      </c>
      <c r="V6" t="s">
        <v>148</v>
      </c>
      <c r="W6" t="s">
        <v>218</v>
      </c>
      <c r="X6" t="s">
        <v>1027</v>
      </c>
      <c r="Y6">
        <f t="shared" si="0"/>
        <v>3</v>
      </c>
      <c r="Z6">
        <f t="shared" si="1"/>
        <v>0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 t="s">
        <v>521</v>
      </c>
      <c r="AI6" t="s">
        <v>525</v>
      </c>
      <c r="AJ6" t="s">
        <v>526</v>
      </c>
    </row>
    <row r="7" spans="1:36" x14ac:dyDescent="0.2">
      <c r="A7" t="s">
        <v>217</v>
      </c>
      <c r="B7" t="s">
        <v>337</v>
      </c>
      <c r="C7" t="s">
        <v>37</v>
      </c>
      <c r="D7" t="s">
        <v>521</v>
      </c>
      <c r="E7" s="6" t="s">
        <v>18</v>
      </c>
      <c r="F7" s="6">
        <v>1</v>
      </c>
      <c r="G7" s="6" t="s">
        <v>522</v>
      </c>
      <c r="I7" t="s">
        <v>523</v>
      </c>
      <c r="J7" t="s">
        <v>524</v>
      </c>
      <c r="L7" t="s">
        <v>44</v>
      </c>
      <c r="M7">
        <v>1</v>
      </c>
      <c r="P7" t="s">
        <v>1028</v>
      </c>
      <c r="Q7">
        <v>6</v>
      </c>
      <c r="R7" t="s">
        <v>1029</v>
      </c>
      <c r="S7">
        <v>4</v>
      </c>
      <c r="T7" t="s">
        <v>256</v>
      </c>
      <c r="V7" t="s">
        <v>148</v>
      </c>
      <c r="W7" t="s">
        <v>218</v>
      </c>
      <c r="X7" t="s">
        <v>1030</v>
      </c>
      <c r="Y7">
        <f t="shared" si="0"/>
        <v>4</v>
      </c>
      <c r="Z7">
        <f t="shared" si="1"/>
        <v>0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 t="s">
        <v>521</v>
      </c>
      <c r="AI7" t="s">
        <v>525</v>
      </c>
      <c r="AJ7" t="s">
        <v>526</v>
      </c>
    </row>
    <row r="8" spans="1:36" x14ac:dyDescent="0.2">
      <c r="A8" t="s">
        <v>217</v>
      </c>
      <c r="B8" t="s">
        <v>340</v>
      </c>
      <c r="C8" t="s">
        <v>39</v>
      </c>
      <c r="D8" t="s">
        <v>521</v>
      </c>
      <c r="E8" s="6" t="s">
        <v>20</v>
      </c>
      <c r="F8" s="6">
        <v>1</v>
      </c>
      <c r="G8" s="6" t="s">
        <v>522</v>
      </c>
      <c r="I8" t="s">
        <v>528</v>
      </c>
      <c r="J8" t="s">
        <v>529</v>
      </c>
      <c r="L8" t="s">
        <v>48</v>
      </c>
      <c r="M8">
        <v>1</v>
      </c>
      <c r="P8" t="s">
        <v>1031</v>
      </c>
      <c r="Q8">
        <v>1</v>
      </c>
      <c r="R8" t="s">
        <v>1032</v>
      </c>
      <c r="S8">
        <v>0</v>
      </c>
      <c r="T8" t="s">
        <v>242</v>
      </c>
      <c r="U8" t="s">
        <v>60</v>
      </c>
      <c r="V8" t="s">
        <v>127</v>
      </c>
      <c r="W8" t="s">
        <v>222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 t="s">
        <v>530</v>
      </c>
      <c r="AI8" t="s">
        <v>531</v>
      </c>
      <c r="AJ8" t="s">
        <v>532</v>
      </c>
    </row>
    <row r="9" spans="1:36" x14ac:dyDescent="0.2">
      <c r="A9" t="s">
        <v>217</v>
      </c>
      <c r="B9" t="s">
        <v>340</v>
      </c>
      <c r="C9" t="s">
        <v>39</v>
      </c>
      <c r="D9" t="s">
        <v>521</v>
      </c>
      <c r="E9" s="6" t="s">
        <v>20</v>
      </c>
      <c r="F9" s="6">
        <v>1</v>
      </c>
      <c r="G9" s="6" t="s">
        <v>522</v>
      </c>
      <c r="I9" t="s">
        <v>528</v>
      </c>
      <c r="J9" t="s">
        <v>529</v>
      </c>
      <c r="L9" t="s">
        <v>48</v>
      </c>
      <c r="M9">
        <v>1</v>
      </c>
      <c r="P9" t="s">
        <v>1033</v>
      </c>
      <c r="Q9">
        <v>2</v>
      </c>
      <c r="R9" t="s">
        <v>1034</v>
      </c>
      <c r="S9">
        <v>1</v>
      </c>
      <c r="T9" t="s">
        <v>1035</v>
      </c>
      <c r="U9" t="s">
        <v>63</v>
      </c>
      <c r="V9" t="s">
        <v>84</v>
      </c>
      <c r="W9" t="s">
        <v>222</v>
      </c>
      <c r="Y9">
        <f t="shared" si="0"/>
        <v>0</v>
      </c>
      <c r="Z9">
        <f t="shared" si="1"/>
        <v>1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 t="s">
        <v>530</v>
      </c>
      <c r="AI9" t="s">
        <v>531</v>
      </c>
      <c r="AJ9" t="s">
        <v>532</v>
      </c>
    </row>
    <row r="10" spans="1:36" x14ac:dyDescent="0.2">
      <c r="A10" t="s">
        <v>217</v>
      </c>
      <c r="B10" t="s">
        <v>340</v>
      </c>
      <c r="C10" t="s">
        <v>39</v>
      </c>
      <c r="D10" t="s">
        <v>521</v>
      </c>
      <c r="E10" s="6" t="s">
        <v>20</v>
      </c>
      <c r="F10" s="6">
        <v>1</v>
      </c>
      <c r="G10" s="6" t="s">
        <v>522</v>
      </c>
      <c r="I10" t="s">
        <v>528</v>
      </c>
      <c r="J10" t="s">
        <v>529</v>
      </c>
      <c r="L10" t="s">
        <v>48</v>
      </c>
      <c r="M10">
        <v>1</v>
      </c>
      <c r="P10" t="s">
        <v>1036</v>
      </c>
      <c r="Q10">
        <v>3</v>
      </c>
      <c r="R10" t="s">
        <v>1037</v>
      </c>
      <c r="S10">
        <v>2</v>
      </c>
      <c r="T10" t="s">
        <v>174</v>
      </c>
      <c r="U10" t="s">
        <v>63</v>
      </c>
      <c r="V10" t="s">
        <v>123</v>
      </c>
      <c r="W10" t="s">
        <v>222</v>
      </c>
      <c r="Y10">
        <f t="shared" si="0"/>
        <v>0</v>
      </c>
      <c r="Z10">
        <f t="shared" si="1"/>
        <v>2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 t="s">
        <v>530</v>
      </c>
      <c r="AI10" t="s">
        <v>531</v>
      </c>
      <c r="AJ10" t="s">
        <v>532</v>
      </c>
    </row>
    <row r="11" spans="1:36" x14ac:dyDescent="0.2">
      <c r="A11" t="s">
        <v>217</v>
      </c>
      <c r="B11" t="s">
        <v>340</v>
      </c>
      <c r="C11" t="s">
        <v>39</v>
      </c>
      <c r="D11" t="s">
        <v>521</v>
      </c>
      <c r="E11" s="6" t="s">
        <v>20</v>
      </c>
      <c r="F11" s="6">
        <v>1</v>
      </c>
      <c r="G11" s="6" t="s">
        <v>522</v>
      </c>
      <c r="I11" t="s">
        <v>528</v>
      </c>
      <c r="J11" t="s">
        <v>529</v>
      </c>
      <c r="L11" t="s">
        <v>48</v>
      </c>
      <c r="M11">
        <v>1</v>
      </c>
      <c r="P11" t="s">
        <v>1038</v>
      </c>
      <c r="Q11">
        <v>4</v>
      </c>
      <c r="R11" t="s">
        <v>1039</v>
      </c>
      <c r="S11">
        <v>3</v>
      </c>
      <c r="T11" t="s">
        <v>239</v>
      </c>
      <c r="U11" t="s">
        <v>63</v>
      </c>
      <c r="V11" t="s">
        <v>153</v>
      </c>
      <c r="W11" t="s">
        <v>222</v>
      </c>
      <c r="Y11">
        <f t="shared" si="0"/>
        <v>0</v>
      </c>
      <c r="Z11">
        <f t="shared" si="1"/>
        <v>3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 t="s">
        <v>530</v>
      </c>
      <c r="AI11" t="s">
        <v>531</v>
      </c>
      <c r="AJ11" t="s">
        <v>532</v>
      </c>
    </row>
    <row r="12" spans="1:36" x14ac:dyDescent="0.2">
      <c r="A12" t="s">
        <v>217</v>
      </c>
      <c r="B12" t="s">
        <v>341</v>
      </c>
      <c r="C12" t="s">
        <v>39</v>
      </c>
      <c r="D12" t="s">
        <v>521</v>
      </c>
      <c r="E12" s="6" t="s">
        <v>18</v>
      </c>
      <c r="F12" s="6">
        <v>0.6</v>
      </c>
      <c r="G12" s="6" t="s">
        <v>20</v>
      </c>
      <c r="H12" s="6">
        <v>0.4</v>
      </c>
      <c r="I12" t="s">
        <v>533</v>
      </c>
      <c r="J12" t="s">
        <v>534</v>
      </c>
      <c r="L12" t="s">
        <v>44</v>
      </c>
      <c r="M12">
        <v>1</v>
      </c>
      <c r="P12" t="s">
        <v>1040</v>
      </c>
      <c r="Q12">
        <v>1</v>
      </c>
      <c r="R12" t="s">
        <v>1017</v>
      </c>
      <c r="S12">
        <v>0</v>
      </c>
      <c r="T12" t="s">
        <v>273</v>
      </c>
      <c r="U12" t="s">
        <v>65</v>
      </c>
      <c r="V12" t="s">
        <v>88</v>
      </c>
      <c r="W12" t="s">
        <v>222</v>
      </c>
      <c r="Y12">
        <f t="shared" si="0"/>
        <v>0</v>
      </c>
      <c r="Z12">
        <f t="shared" si="1"/>
        <v>0</v>
      </c>
      <c r="AA12">
        <f t="shared" si="2"/>
        <v>0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 t="s">
        <v>521</v>
      </c>
      <c r="AI12" t="s">
        <v>535</v>
      </c>
      <c r="AJ12" t="s">
        <v>536</v>
      </c>
    </row>
    <row r="13" spans="1:36" x14ac:dyDescent="0.2">
      <c r="A13" t="s">
        <v>217</v>
      </c>
      <c r="B13" t="s">
        <v>341</v>
      </c>
      <c r="C13" t="s">
        <v>39</v>
      </c>
      <c r="D13" t="s">
        <v>521</v>
      </c>
      <c r="E13" s="6" t="s">
        <v>18</v>
      </c>
      <c r="F13" s="6">
        <v>0.6</v>
      </c>
      <c r="G13" s="6" t="s">
        <v>20</v>
      </c>
      <c r="H13" s="6">
        <v>0.4</v>
      </c>
      <c r="I13" t="s">
        <v>533</v>
      </c>
      <c r="J13" t="s">
        <v>534</v>
      </c>
      <c r="L13" t="s">
        <v>44</v>
      </c>
      <c r="M13">
        <v>1</v>
      </c>
      <c r="P13" t="s">
        <v>1041</v>
      </c>
      <c r="Q13">
        <v>2</v>
      </c>
      <c r="R13" t="s">
        <v>1042</v>
      </c>
      <c r="S13">
        <v>0</v>
      </c>
      <c r="T13" t="s">
        <v>242</v>
      </c>
      <c r="U13" t="s">
        <v>60</v>
      </c>
      <c r="V13" t="s">
        <v>104</v>
      </c>
      <c r="W13" t="s">
        <v>222</v>
      </c>
      <c r="Y13">
        <f t="shared" si="0"/>
        <v>0</v>
      </c>
      <c r="Z13">
        <f t="shared" si="1"/>
        <v>0</v>
      </c>
      <c r="AA13">
        <f t="shared" si="2"/>
        <v>0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 t="s">
        <v>521</v>
      </c>
      <c r="AI13" t="s">
        <v>535</v>
      </c>
      <c r="AJ13" t="s">
        <v>536</v>
      </c>
    </row>
    <row r="14" spans="1:36" x14ac:dyDescent="0.2">
      <c r="A14" t="s">
        <v>217</v>
      </c>
      <c r="B14" t="s">
        <v>341</v>
      </c>
      <c r="C14" t="s">
        <v>39</v>
      </c>
      <c r="D14" t="s">
        <v>521</v>
      </c>
      <c r="E14" s="6" t="s">
        <v>18</v>
      </c>
      <c r="F14" s="6">
        <v>0.6</v>
      </c>
      <c r="G14" s="6" t="s">
        <v>20</v>
      </c>
      <c r="H14" s="6">
        <v>0.4</v>
      </c>
      <c r="I14" t="s">
        <v>533</v>
      </c>
      <c r="J14" t="s">
        <v>534</v>
      </c>
      <c r="L14" t="s">
        <v>44</v>
      </c>
      <c r="M14">
        <v>1</v>
      </c>
      <c r="P14" t="s">
        <v>1043</v>
      </c>
      <c r="Q14">
        <v>3</v>
      </c>
      <c r="R14" t="s">
        <v>1044</v>
      </c>
      <c r="S14">
        <v>1</v>
      </c>
      <c r="T14" t="s">
        <v>267</v>
      </c>
      <c r="U14" t="s">
        <v>60</v>
      </c>
      <c r="V14" t="s">
        <v>107</v>
      </c>
      <c r="W14" t="s">
        <v>222</v>
      </c>
      <c r="Y14">
        <f t="shared" si="0"/>
        <v>0.6</v>
      </c>
      <c r="Z14">
        <f t="shared" si="1"/>
        <v>0.4</v>
      </c>
      <c r="AA14">
        <f t="shared" si="2"/>
        <v>0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 t="s">
        <v>521</v>
      </c>
      <c r="AI14" t="s">
        <v>535</v>
      </c>
      <c r="AJ14" t="s">
        <v>536</v>
      </c>
    </row>
    <row r="15" spans="1:36" x14ac:dyDescent="0.2">
      <c r="A15" t="s">
        <v>217</v>
      </c>
      <c r="B15" t="s">
        <v>341</v>
      </c>
      <c r="C15" t="s">
        <v>39</v>
      </c>
      <c r="D15" t="s">
        <v>521</v>
      </c>
      <c r="E15" s="6" t="s">
        <v>18</v>
      </c>
      <c r="F15" s="6">
        <v>0.6</v>
      </c>
      <c r="G15" s="6" t="s">
        <v>20</v>
      </c>
      <c r="H15" s="6">
        <v>0.4</v>
      </c>
      <c r="I15" t="s">
        <v>533</v>
      </c>
      <c r="J15" t="s">
        <v>534</v>
      </c>
      <c r="L15" t="s">
        <v>44</v>
      </c>
      <c r="M15">
        <v>1</v>
      </c>
      <c r="P15" t="s">
        <v>1045</v>
      </c>
      <c r="Q15">
        <v>4</v>
      </c>
      <c r="R15" t="s">
        <v>1046</v>
      </c>
      <c r="S15">
        <v>2</v>
      </c>
      <c r="T15" t="s">
        <v>259</v>
      </c>
      <c r="U15" t="s">
        <v>61</v>
      </c>
      <c r="V15" t="s">
        <v>164</v>
      </c>
      <c r="W15" t="s">
        <v>222</v>
      </c>
      <c r="Y15">
        <f t="shared" si="0"/>
        <v>1.2</v>
      </c>
      <c r="Z15">
        <f t="shared" si="1"/>
        <v>0.8</v>
      </c>
      <c r="AA15">
        <f t="shared" si="2"/>
        <v>0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 t="s">
        <v>521</v>
      </c>
      <c r="AI15" t="s">
        <v>535</v>
      </c>
      <c r="AJ15" t="s">
        <v>536</v>
      </c>
    </row>
    <row r="16" spans="1:36" x14ac:dyDescent="0.2">
      <c r="A16" t="s">
        <v>217</v>
      </c>
      <c r="B16" t="s">
        <v>341</v>
      </c>
      <c r="C16" t="s">
        <v>39</v>
      </c>
      <c r="D16" t="s">
        <v>521</v>
      </c>
      <c r="E16" s="6" t="s">
        <v>18</v>
      </c>
      <c r="F16" s="6">
        <v>0.6</v>
      </c>
      <c r="G16" s="6" t="s">
        <v>20</v>
      </c>
      <c r="H16" s="6">
        <v>0.4</v>
      </c>
      <c r="I16" t="s">
        <v>533</v>
      </c>
      <c r="J16" t="s">
        <v>534</v>
      </c>
      <c r="L16" t="s">
        <v>44</v>
      </c>
      <c r="M16">
        <v>1</v>
      </c>
      <c r="P16" t="s">
        <v>1047</v>
      </c>
      <c r="Q16">
        <v>5</v>
      </c>
      <c r="R16" t="s">
        <v>1048</v>
      </c>
      <c r="S16">
        <v>3</v>
      </c>
      <c r="T16" t="s">
        <v>243</v>
      </c>
      <c r="V16" t="s">
        <v>148</v>
      </c>
      <c r="W16" t="s">
        <v>218</v>
      </c>
      <c r="X16" t="s">
        <v>1049</v>
      </c>
      <c r="Y16">
        <f t="shared" si="0"/>
        <v>1.7999999999999998</v>
      </c>
      <c r="Z16">
        <f t="shared" si="1"/>
        <v>1.2000000000000002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 t="s">
        <v>521</v>
      </c>
      <c r="AI16" t="s">
        <v>535</v>
      </c>
      <c r="AJ16" t="s">
        <v>536</v>
      </c>
    </row>
    <row r="17" spans="1:36" x14ac:dyDescent="0.2">
      <c r="A17" t="s">
        <v>217</v>
      </c>
      <c r="B17" t="s">
        <v>341</v>
      </c>
      <c r="C17" t="s">
        <v>39</v>
      </c>
      <c r="D17" t="s">
        <v>521</v>
      </c>
      <c r="E17" s="6" t="s">
        <v>18</v>
      </c>
      <c r="F17" s="6">
        <v>0.6</v>
      </c>
      <c r="G17" s="6" t="s">
        <v>20</v>
      </c>
      <c r="H17" s="6">
        <v>0.4</v>
      </c>
      <c r="I17" t="s">
        <v>533</v>
      </c>
      <c r="J17" t="s">
        <v>534</v>
      </c>
      <c r="L17" t="s">
        <v>44</v>
      </c>
      <c r="M17">
        <v>1</v>
      </c>
      <c r="P17" t="s">
        <v>1050</v>
      </c>
      <c r="Q17">
        <v>6</v>
      </c>
      <c r="R17" t="s">
        <v>1051</v>
      </c>
      <c r="S17">
        <v>4</v>
      </c>
      <c r="T17" t="s">
        <v>256</v>
      </c>
      <c r="V17" t="s">
        <v>148</v>
      </c>
      <c r="W17" t="s">
        <v>218</v>
      </c>
      <c r="X17" t="s">
        <v>1052</v>
      </c>
      <c r="Y17">
        <f t="shared" si="0"/>
        <v>2.4</v>
      </c>
      <c r="Z17">
        <f t="shared" si="1"/>
        <v>1.6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 t="s">
        <v>521</v>
      </c>
      <c r="AI17" t="s">
        <v>535</v>
      </c>
      <c r="AJ17" t="s">
        <v>536</v>
      </c>
    </row>
    <row r="18" spans="1:36" x14ac:dyDescent="0.2">
      <c r="A18" t="s">
        <v>217</v>
      </c>
      <c r="B18" t="s">
        <v>342</v>
      </c>
      <c r="C18" t="s">
        <v>39</v>
      </c>
      <c r="D18" t="s">
        <v>521</v>
      </c>
      <c r="E18" s="6" t="s">
        <v>18</v>
      </c>
      <c r="F18" s="6">
        <v>0.5</v>
      </c>
      <c r="G18" s="6" t="s">
        <v>20</v>
      </c>
      <c r="H18" s="6">
        <v>0.5</v>
      </c>
      <c r="I18" t="s">
        <v>538</v>
      </c>
      <c r="J18" t="s">
        <v>539</v>
      </c>
      <c r="L18" t="s">
        <v>44</v>
      </c>
      <c r="M18">
        <v>1</v>
      </c>
      <c r="P18" t="s">
        <v>1053</v>
      </c>
      <c r="Q18">
        <v>1</v>
      </c>
      <c r="R18" t="s">
        <v>1017</v>
      </c>
      <c r="S18">
        <v>0</v>
      </c>
      <c r="T18" t="s">
        <v>273</v>
      </c>
      <c r="U18" t="s">
        <v>65</v>
      </c>
      <c r="V18" t="s">
        <v>88</v>
      </c>
      <c r="W18" t="s">
        <v>222</v>
      </c>
      <c r="Y18">
        <f t="shared" si="0"/>
        <v>0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 t="s">
        <v>521</v>
      </c>
      <c r="AI18" t="s">
        <v>535</v>
      </c>
      <c r="AJ18" t="s">
        <v>540</v>
      </c>
    </row>
    <row r="19" spans="1:36" x14ac:dyDescent="0.2">
      <c r="A19" t="s">
        <v>217</v>
      </c>
      <c r="B19" t="s">
        <v>342</v>
      </c>
      <c r="C19" t="s">
        <v>39</v>
      </c>
      <c r="D19" t="s">
        <v>521</v>
      </c>
      <c r="E19" s="6" t="s">
        <v>18</v>
      </c>
      <c r="F19" s="6">
        <v>0.5</v>
      </c>
      <c r="G19" s="6" t="s">
        <v>20</v>
      </c>
      <c r="H19" s="6">
        <v>0.5</v>
      </c>
      <c r="I19" t="s">
        <v>538</v>
      </c>
      <c r="J19" t="s">
        <v>539</v>
      </c>
      <c r="L19" t="s">
        <v>44</v>
      </c>
      <c r="M19">
        <v>1</v>
      </c>
      <c r="P19" t="s">
        <v>1054</v>
      </c>
      <c r="Q19">
        <v>2</v>
      </c>
      <c r="R19" t="s">
        <v>1055</v>
      </c>
      <c r="S19">
        <v>0</v>
      </c>
      <c r="T19" t="s">
        <v>267</v>
      </c>
      <c r="U19" t="s">
        <v>60</v>
      </c>
      <c r="V19" t="s">
        <v>96</v>
      </c>
      <c r="W19" t="s">
        <v>222</v>
      </c>
      <c r="Y19">
        <f t="shared" si="0"/>
        <v>0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 t="s">
        <v>521</v>
      </c>
      <c r="AI19" t="s">
        <v>535</v>
      </c>
      <c r="AJ19" t="s">
        <v>540</v>
      </c>
    </row>
    <row r="20" spans="1:36" x14ac:dyDescent="0.2">
      <c r="A20" t="s">
        <v>217</v>
      </c>
      <c r="B20" t="s">
        <v>342</v>
      </c>
      <c r="C20" t="s">
        <v>39</v>
      </c>
      <c r="D20" t="s">
        <v>521</v>
      </c>
      <c r="E20" s="6" t="s">
        <v>18</v>
      </c>
      <c r="F20" s="6">
        <v>0.5</v>
      </c>
      <c r="G20" s="6" t="s">
        <v>20</v>
      </c>
      <c r="H20" s="6">
        <v>0.5</v>
      </c>
      <c r="I20" t="s">
        <v>538</v>
      </c>
      <c r="J20" t="s">
        <v>539</v>
      </c>
      <c r="L20" t="s">
        <v>44</v>
      </c>
      <c r="M20">
        <v>1</v>
      </c>
      <c r="P20" t="s">
        <v>1056</v>
      </c>
      <c r="Q20">
        <v>3</v>
      </c>
      <c r="R20" t="s">
        <v>1057</v>
      </c>
      <c r="S20">
        <v>1</v>
      </c>
      <c r="T20" t="s">
        <v>246</v>
      </c>
      <c r="U20" t="s">
        <v>63</v>
      </c>
      <c r="V20" t="s">
        <v>119</v>
      </c>
      <c r="W20" t="s">
        <v>222</v>
      </c>
      <c r="Y20">
        <f t="shared" si="0"/>
        <v>0.5</v>
      </c>
      <c r="Z20">
        <f t="shared" si="1"/>
        <v>0.5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 t="s">
        <v>521</v>
      </c>
      <c r="AI20" t="s">
        <v>535</v>
      </c>
      <c r="AJ20" t="s">
        <v>540</v>
      </c>
    </row>
    <row r="21" spans="1:36" x14ac:dyDescent="0.2">
      <c r="A21" t="s">
        <v>217</v>
      </c>
      <c r="B21" t="s">
        <v>342</v>
      </c>
      <c r="C21" t="s">
        <v>39</v>
      </c>
      <c r="D21" t="s">
        <v>521</v>
      </c>
      <c r="E21" s="6" t="s">
        <v>18</v>
      </c>
      <c r="F21" s="6">
        <v>0.5</v>
      </c>
      <c r="G21" s="6" t="s">
        <v>20</v>
      </c>
      <c r="H21" s="6">
        <v>0.5</v>
      </c>
      <c r="I21" t="s">
        <v>538</v>
      </c>
      <c r="J21" t="s">
        <v>539</v>
      </c>
      <c r="L21" t="s">
        <v>44</v>
      </c>
      <c r="M21">
        <v>1</v>
      </c>
      <c r="P21" t="s">
        <v>1058</v>
      </c>
      <c r="Q21">
        <v>4</v>
      </c>
      <c r="R21" t="s">
        <v>1059</v>
      </c>
      <c r="S21">
        <v>2</v>
      </c>
      <c r="T21" t="s">
        <v>245</v>
      </c>
      <c r="U21" t="s">
        <v>61</v>
      </c>
      <c r="V21" t="s">
        <v>128</v>
      </c>
      <c r="W21" t="s">
        <v>222</v>
      </c>
      <c r="Y21">
        <f t="shared" si="0"/>
        <v>1</v>
      </c>
      <c r="Z21">
        <f t="shared" si="1"/>
        <v>1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 t="s">
        <v>521</v>
      </c>
      <c r="AI21" t="s">
        <v>535</v>
      </c>
      <c r="AJ21" t="s">
        <v>540</v>
      </c>
    </row>
    <row r="22" spans="1:36" x14ac:dyDescent="0.2">
      <c r="A22" t="s">
        <v>217</v>
      </c>
      <c r="B22" t="s">
        <v>342</v>
      </c>
      <c r="C22" t="s">
        <v>39</v>
      </c>
      <c r="D22" t="s">
        <v>521</v>
      </c>
      <c r="E22" s="6" t="s">
        <v>18</v>
      </c>
      <c r="F22" s="6">
        <v>0.5</v>
      </c>
      <c r="G22" s="6" t="s">
        <v>20</v>
      </c>
      <c r="H22" s="6">
        <v>0.5</v>
      </c>
      <c r="I22" t="s">
        <v>538</v>
      </c>
      <c r="J22" t="s">
        <v>539</v>
      </c>
      <c r="L22" t="s">
        <v>44</v>
      </c>
      <c r="M22">
        <v>1</v>
      </c>
      <c r="P22" t="s">
        <v>1060</v>
      </c>
      <c r="Q22">
        <v>5</v>
      </c>
      <c r="R22" t="s">
        <v>1061</v>
      </c>
      <c r="S22">
        <v>3</v>
      </c>
      <c r="T22" t="s">
        <v>243</v>
      </c>
      <c r="V22" t="s">
        <v>148</v>
      </c>
      <c r="W22" t="s">
        <v>218</v>
      </c>
      <c r="X22" t="s">
        <v>1062</v>
      </c>
      <c r="Y22">
        <f t="shared" si="0"/>
        <v>1.5</v>
      </c>
      <c r="Z22">
        <f t="shared" si="1"/>
        <v>1.5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 t="s">
        <v>521</v>
      </c>
      <c r="AI22" t="s">
        <v>535</v>
      </c>
      <c r="AJ22" t="s">
        <v>540</v>
      </c>
    </row>
    <row r="23" spans="1:36" x14ac:dyDescent="0.2">
      <c r="A23" t="s">
        <v>217</v>
      </c>
      <c r="B23" t="s">
        <v>342</v>
      </c>
      <c r="C23" t="s">
        <v>39</v>
      </c>
      <c r="D23" t="s">
        <v>521</v>
      </c>
      <c r="E23" s="6" t="s">
        <v>18</v>
      </c>
      <c r="F23" s="6">
        <v>0.5</v>
      </c>
      <c r="G23" s="6" t="s">
        <v>20</v>
      </c>
      <c r="H23" s="6">
        <v>0.5</v>
      </c>
      <c r="I23" t="s">
        <v>538</v>
      </c>
      <c r="J23" t="s">
        <v>539</v>
      </c>
      <c r="L23" t="s">
        <v>44</v>
      </c>
      <c r="M23">
        <v>1</v>
      </c>
      <c r="P23" t="s">
        <v>1063</v>
      </c>
      <c r="Q23">
        <v>6</v>
      </c>
      <c r="R23" t="s">
        <v>1064</v>
      </c>
      <c r="S23">
        <v>4</v>
      </c>
      <c r="T23" t="s">
        <v>256</v>
      </c>
      <c r="V23" t="s">
        <v>148</v>
      </c>
      <c r="W23" t="s">
        <v>218</v>
      </c>
      <c r="Y23">
        <f t="shared" si="0"/>
        <v>2</v>
      </c>
      <c r="Z23">
        <f t="shared" si="1"/>
        <v>2</v>
      </c>
      <c r="AA23">
        <f t="shared" si="2"/>
        <v>0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 t="s">
        <v>521</v>
      </c>
      <c r="AI23" t="s">
        <v>535</v>
      </c>
      <c r="AJ23" t="s">
        <v>540</v>
      </c>
    </row>
    <row r="24" spans="1:36" x14ac:dyDescent="0.2">
      <c r="A24" t="s">
        <v>217</v>
      </c>
      <c r="B24" t="s">
        <v>343</v>
      </c>
      <c r="C24" t="s">
        <v>41</v>
      </c>
      <c r="D24" t="s">
        <v>521</v>
      </c>
      <c r="E24" s="6" t="s">
        <v>18</v>
      </c>
      <c r="F24" s="6">
        <v>1</v>
      </c>
      <c r="G24" s="6" t="s">
        <v>522</v>
      </c>
      <c r="I24" t="s">
        <v>541</v>
      </c>
      <c r="J24" t="s">
        <v>542</v>
      </c>
      <c r="L24" t="s">
        <v>44</v>
      </c>
      <c r="M24">
        <v>1</v>
      </c>
      <c r="P24" t="s">
        <v>1065</v>
      </c>
      <c r="Q24">
        <v>1</v>
      </c>
      <c r="R24" t="s">
        <v>1017</v>
      </c>
      <c r="S24">
        <v>0</v>
      </c>
      <c r="T24" t="s">
        <v>273</v>
      </c>
      <c r="U24" t="s">
        <v>65</v>
      </c>
      <c r="V24" t="s">
        <v>86</v>
      </c>
      <c r="W24" t="s">
        <v>222</v>
      </c>
      <c r="Y24">
        <f t="shared" si="0"/>
        <v>0</v>
      </c>
      <c r="Z24">
        <f t="shared" si="1"/>
        <v>0</v>
      </c>
      <c r="AA24">
        <f t="shared" si="2"/>
        <v>0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 t="s">
        <v>521</v>
      </c>
      <c r="AI24" t="s">
        <v>525</v>
      </c>
      <c r="AJ24" t="s">
        <v>543</v>
      </c>
    </row>
    <row r="25" spans="1:36" x14ac:dyDescent="0.2">
      <c r="A25" t="s">
        <v>217</v>
      </c>
      <c r="B25" t="s">
        <v>343</v>
      </c>
      <c r="C25" t="s">
        <v>41</v>
      </c>
      <c r="D25" t="s">
        <v>521</v>
      </c>
      <c r="E25" s="6" t="s">
        <v>18</v>
      </c>
      <c r="F25" s="6">
        <v>1</v>
      </c>
      <c r="G25" s="6" t="s">
        <v>522</v>
      </c>
      <c r="I25" t="s">
        <v>541</v>
      </c>
      <c r="J25" t="s">
        <v>542</v>
      </c>
      <c r="L25" t="s">
        <v>44</v>
      </c>
      <c r="M25">
        <v>1</v>
      </c>
      <c r="P25" t="s">
        <v>1066</v>
      </c>
      <c r="Q25">
        <v>2</v>
      </c>
      <c r="R25" t="s">
        <v>1067</v>
      </c>
      <c r="S25">
        <v>0</v>
      </c>
      <c r="T25" t="s">
        <v>242</v>
      </c>
      <c r="U25" t="s">
        <v>60</v>
      </c>
      <c r="V25" t="s">
        <v>101</v>
      </c>
      <c r="W25" t="s">
        <v>222</v>
      </c>
      <c r="Y25">
        <f t="shared" si="0"/>
        <v>0</v>
      </c>
      <c r="Z25">
        <f t="shared" si="1"/>
        <v>0</v>
      </c>
      <c r="AA25">
        <f t="shared" si="2"/>
        <v>0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 t="s">
        <v>521</v>
      </c>
      <c r="AI25" t="s">
        <v>525</v>
      </c>
      <c r="AJ25" t="s">
        <v>543</v>
      </c>
    </row>
    <row r="26" spans="1:36" x14ac:dyDescent="0.2">
      <c r="A26" t="s">
        <v>217</v>
      </c>
      <c r="B26" t="s">
        <v>343</v>
      </c>
      <c r="C26" t="s">
        <v>41</v>
      </c>
      <c r="D26" t="s">
        <v>521</v>
      </c>
      <c r="E26" s="6" t="s">
        <v>18</v>
      </c>
      <c r="F26" s="6">
        <v>1</v>
      </c>
      <c r="G26" s="6" t="s">
        <v>522</v>
      </c>
      <c r="I26" t="s">
        <v>541</v>
      </c>
      <c r="J26" t="s">
        <v>542</v>
      </c>
      <c r="L26" t="s">
        <v>44</v>
      </c>
      <c r="M26">
        <v>1</v>
      </c>
      <c r="P26" t="s">
        <v>1068</v>
      </c>
      <c r="Q26">
        <v>3</v>
      </c>
      <c r="R26" t="s">
        <v>1069</v>
      </c>
      <c r="S26">
        <v>1</v>
      </c>
      <c r="T26" t="s">
        <v>274</v>
      </c>
      <c r="U26" t="s">
        <v>57</v>
      </c>
      <c r="V26" t="s">
        <v>159</v>
      </c>
      <c r="W26" t="s">
        <v>222</v>
      </c>
      <c r="Y26">
        <f t="shared" si="0"/>
        <v>1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 t="s">
        <v>521</v>
      </c>
      <c r="AI26" t="s">
        <v>525</v>
      </c>
      <c r="AJ26" t="s">
        <v>543</v>
      </c>
    </row>
    <row r="27" spans="1:36" x14ac:dyDescent="0.2">
      <c r="A27" t="s">
        <v>217</v>
      </c>
      <c r="B27" t="s">
        <v>343</v>
      </c>
      <c r="C27" t="s">
        <v>41</v>
      </c>
      <c r="D27" t="s">
        <v>521</v>
      </c>
      <c r="E27" s="6" t="s">
        <v>18</v>
      </c>
      <c r="F27" s="6">
        <v>1</v>
      </c>
      <c r="G27" s="6" t="s">
        <v>522</v>
      </c>
      <c r="I27" t="s">
        <v>541</v>
      </c>
      <c r="J27" t="s">
        <v>542</v>
      </c>
      <c r="L27" t="s">
        <v>44</v>
      </c>
      <c r="M27">
        <v>1</v>
      </c>
      <c r="P27" t="s">
        <v>1070</v>
      </c>
      <c r="Q27">
        <v>4</v>
      </c>
      <c r="R27" t="s">
        <v>1071</v>
      </c>
      <c r="S27">
        <v>2</v>
      </c>
      <c r="T27" t="s">
        <v>258</v>
      </c>
      <c r="U27" t="s">
        <v>61</v>
      </c>
      <c r="V27" t="s">
        <v>140</v>
      </c>
      <c r="W27" t="s">
        <v>222</v>
      </c>
      <c r="Y27">
        <f t="shared" si="0"/>
        <v>2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0</v>
      </c>
      <c r="AE27">
        <f t="shared" si="6"/>
        <v>0</v>
      </c>
      <c r="AF27">
        <f t="shared" si="7"/>
        <v>0</v>
      </c>
      <c r="AG27">
        <f t="shared" si="8"/>
        <v>0</v>
      </c>
      <c r="AH27" t="s">
        <v>521</v>
      </c>
      <c r="AI27" t="s">
        <v>525</v>
      </c>
      <c r="AJ27" t="s">
        <v>543</v>
      </c>
    </row>
    <row r="28" spans="1:36" x14ac:dyDescent="0.2">
      <c r="A28" t="s">
        <v>217</v>
      </c>
      <c r="B28" t="s">
        <v>343</v>
      </c>
      <c r="C28" t="s">
        <v>41</v>
      </c>
      <c r="D28" t="s">
        <v>521</v>
      </c>
      <c r="E28" s="6" t="s">
        <v>18</v>
      </c>
      <c r="F28" s="6">
        <v>1</v>
      </c>
      <c r="G28" s="6" t="s">
        <v>522</v>
      </c>
      <c r="I28" t="s">
        <v>541</v>
      </c>
      <c r="J28" t="s">
        <v>542</v>
      </c>
      <c r="L28" t="s">
        <v>44</v>
      </c>
      <c r="M28">
        <v>1</v>
      </c>
      <c r="P28" t="s">
        <v>1072</v>
      </c>
      <c r="Q28">
        <v>5</v>
      </c>
      <c r="R28" t="s">
        <v>1073</v>
      </c>
      <c r="S28">
        <v>3</v>
      </c>
      <c r="T28" t="s">
        <v>243</v>
      </c>
      <c r="V28" t="s">
        <v>148</v>
      </c>
      <c r="W28" t="s">
        <v>218</v>
      </c>
      <c r="X28" t="s">
        <v>1074</v>
      </c>
      <c r="Y28">
        <f t="shared" si="0"/>
        <v>3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0</v>
      </c>
      <c r="AE28">
        <f t="shared" si="6"/>
        <v>0</v>
      </c>
      <c r="AF28">
        <f t="shared" si="7"/>
        <v>0</v>
      </c>
      <c r="AG28">
        <f t="shared" si="8"/>
        <v>0</v>
      </c>
      <c r="AH28" t="s">
        <v>521</v>
      </c>
      <c r="AI28" t="s">
        <v>525</v>
      </c>
      <c r="AJ28" t="s">
        <v>543</v>
      </c>
    </row>
    <row r="29" spans="1:36" x14ac:dyDescent="0.2">
      <c r="A29" t="s">
        <v>217</v>
      </c>
      <c r="B29" t="s">
        <v>343</v>
      </c>
      <c r="C29" t="s">
        <v>41</v>
      </c>
      <c r="D29" t="s">
        <v>521</v>
      </c>
      <c r="E29" s="6" t="s">
        <v>18</v>
      </c>
      <c r="F29" s="6">
        <v>1</v>
      </c>
      <c r="G29" s="6" t="s">
        <v>522</v>
      </c>
      <c r="I29" t="s">
        <v>541</v>
      </c>
      <c r="J29" t="s">
        <v>542</v>
      </c>
      <c r="L29" t="s">
        <v>44</v>
      </c>
      <c r="M29">
        <v>1</v>
      </c>
      <c r="P29" t="s">
        <v>1075</v>
      </c>
      <c r="Q29">
        <v>6</v>
      </c>
      <c r="R29" t="s">
        <v>1076</v>
      </c>
      <c r="S29">
        <v>4</v>
      </c>
      <c r="T29" t="s">
        <v>256</v>
      </c>
      <c r="V29" t="s">
        <v>148</v>
      </c>
      <c r="W29" t="s">
        <v>218</v>
      </c>
      <c r="Y29">
        <f t="shared" si="0"/>
        <v>4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 t="s">
        <v>521</v>
      </c>
      <c r="AI29" t="s">
        <v>525</v>
      </c>
      <c r="AJ29" t="s">
        <v>543</v>
      </c>
    </row>
    <row r="30" spans="1:36" x14ac:dyDescent="0.2">
      <c r="A30" t="s">
        <v>217</v>
      </c>
      <c r="B30" t="s">
        <v>344</v>
      </c>
      <c r="C30" t="s">
        <v>39</v>
      </c>
      <c r="D30" t="s">
        <v>521</v>
      </c>
      <c r="E30" s="6" t="s">
        <v>18</v>
      </c>
      <c r="F30" s="6">
        <v>1</v>
      </c>
      <c r="G30" s="6" t="s">
        <v>522</v>
      </c>
      <c r="I30" t="s">
        <v>544</v>
      </c>
      <c r="J30" t="s">
        <v>545</v>
      </c>
      <c r="L30" t="s">
        <v>44</v>
      </c>
      <c r="M30">
        <v>1</v>
      </c>
      <c r="P30" t="s">
        <v>1077</v>
      </c>
      <c r="Q30">
        <v>1</v>
      </c>
      <c r="R30" t="s">
        <v>1017</v>
      </c>
      <c r="S30">
        <v>0</v>
      </c>
      <c r="T30" t="s">
        <v>273</v>
      </c>
      <c r="U30" t="s">
        <v>65</v>
      </c>
      <c r="V30" t="s">
        <v>87</v>
      </c>
      <c r="W30" t="s">
        <v>222</v>
      </c>
      <c r="Y30">
        <f t="shared" si="0"/>
        <v>0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0</v>
      </c>
      <c r="AE30">
        <f t="shared" si="6"/>
        <v>0</v>
      </c>
      <c r="AF30">
        <f t="shared" si="7"/>
        <v>0</v>
      </c>
      <c r="AG30">
        <f t="shared" si="8"/>
        <v>0</v>
      </c>
      <c r="AH30" t="s">
        <v>521</v>
      </c>
      <c r="AI30" t="s">
        <v>525</v>
      </c>
      <c r="AJ30" t="s">
        <v>546</v>
      </c>
    </row>
    <row r="31" spans="1:36" x14ac:dyDescent="0.2">
      <c r="A31" t="s">
        <v>217</v>
      </c>
      <c r="B31" t="s">
        <v>344</v>
      </c>
      <c r="C31" t="s">
        <v>39</v>
      </c>
      <c r="D31" t="s">
        <v>521</v>
      </c>
      <c r="E31" s="6" t="s">
        <v>18</v>
      </c>
      <c r="F31" s="6">
        <v>1</v>
      </c>
      <c r="G31" s="6" t="s">
        <v>522</v>
      </c>
      <c r="I31" t="s">
        <v>544</v>
      </c>
      <c r="J31" t="s">
        <v>545</v>
      </c>
      <c r="L31" t="s">
        <v>44</v>
      </c>
      <c r="M31">
        <v>1</v>
      </c>
      <c r="P31" t="s">
        <v>1078</v>
      </c>
      <c r="Q31">
        <v>2</v>
      </c>
      <c r="R31" t="s">
        <v>1079</v>
      </c>
      <c r="S31">
        <v>0</v>
      </c>
      <c r="T31" t="s">
        <v>264</v>
      </c>
      <c r="U31" t="s">
        <v>60</v>
      </c>
      <c r="V31" t="s">
        <v>93</v>
      </c>
      <c r="W31" t="s">
        <v>222</v>
      </c>
      <c r="Y31">
        <f t="shared" si="0"/>
        <v>0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0</v>
      </c>
      <c r="AE31">
        <f t="shared" si="6"/>
        <v>0</v>
      </c>
      <c r="AF31">
        <f t="shared" si="7"/>
        <v>0</v>
      </c>
      <c r="AG31">
        <f t="shared" si="8"/>
        <v>0</v>
      </c>
      <c r="AH31" t="s">
        <v>521</v>
      </c>
      <c r="AI31" t="s">
        <v>525</v>
      </c>
      <c r="AJ31" t="s">
        <v>546</v>
      </c>
    </row>
    <row r="32" spans="1:36" x14ac:dyDescent="0.2">
      <c r="A32" t="s">
        <v>217</v>
      </c>
      <c r="B32" t="s">
        <v>344</v>
      </c>
      <c r="C32" t="s">
        <v>39</v>
      </c>
      <c r="D32" t="s">
        <v>521</v>
      </c>
      <c r="E32" s="6" t="s">
        <v>18</v>
      </c>
      <c r="F32" s="6">
        <v>1</v>
      </c>
      <c r="G32" s="6" t="s">
        <v>522</v>
      </c>
      <c r="I32" t="s">
        <v>544</v>
      </c>
      <c r="J32" t="s">
        <v>545</v>
      </c>
      <c r="L32" t="s">
        <v>44</v>
      </c>
      <c r="M32">
        <v>1</v>
      </c>
      <c r="P32" t="s">
        <v>1080</v>
      </c>
      <c r="Q32">
        <v>3</v>
      </c>
      <c r="R32" t="s">
        <v>1081</v>
      </c>
      <c r="S32">
        <v>1</v>
      </c>
      <c r="T32" t="s">
        <v>266</v>
      </c>
      <c r="U32" t="s">
        <v>63</v>
      </c>
      <c r="V32" t="s">
        <v>125</v>
      </c>
      <c r="W32" t="s">
        <v>222</v>
      </c>
      <c r="Y32">
        <f t="shared" si="0"/>
        <v>1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 t="s">
        <v>521</v>
      </c>
      <c r="AI32" t="s">
        <v>525</v>
      </c>
      <c r="AJ32" t="s">
        <v>546</v>
      </c>
    </row>
    <row r="33" spans="1:36" x14ac:dyDescent="0.2">
      <c r="A33" t="s">
        <v>217</v>
      </c>
      <c r="B33" t="s">
        <v>344</v>
      </c>
      <c r="C33" t="s">
        <v>39</v>
      </c>
      <c r="D33" t="s">
        <v>521</v>
      </c>
      <c r="E33" s="6" t="s">
        <v>18</v>
      </c>
      <c r="F33" s="6">
        <v>1</v>
      </c>
      <c r="G33" s="6" t="s">
        <v>522</v>
      </c>
      <c r="I33" t="s">
        <v>544</v>
      </c>
      <c r="J33" t="s">
        <v>545</v>
      </c>
      <c r="L33" t="s">
        <v>44</v>
      </c>
      <c r="M33">
        <v>1</v>
      </c>
      <c r="P33" t="s">
        <v>1082</v>
      </c>
      <c r="Q33">
        <v>4</v>
      </c>
      <c r="R33" t="s">
        <v>1083</v>
      </c>
      <c r="S33">
        <v>2</v>
      </c>
      <c r="T33" t="s">
        <v>260</v>
      </c>
      <c r="U33" t="s">
        <v>61</v>
      </c>
      <c r="V33" t="s">
        <v>70</v>
      </c>
      <c r="W33" t="s">
        <v>222</v>
      </c>
      <c r="Y33">
        <f t="shared" si="0"/>
        <v>2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 t="s">
        <v>521</v>
      </c>
      <c r="AI33" t="s">
        <v>525</v>
      </c>
      <c r="AJ33" t="s">
        <v>546</v>
      </c>
    </row>
    <row r="34" spans="1:36" x14ac:dyDescent="0.2">
      <c r="A34" t="s">
        <v>217</v>
      </c>
      <c r="B34" t="s">
        <v>344</v>
      </c>
      <c r="C34" t="s">
        <v>39</v>
      </c>
      <c r="D34" t="s">
        <v>521</v>
      </c>
      <c r="E34" s="6" t="s">
        <v>18</v>
      </c>
      <c r="F34" s="6">
        <v>1</v>
      </c>
      <c r="G34" s="6" t="s">
        <v>522</v>
      </c>
      <c r="I34" t="s">
        <v>544</v>
      </c>
      <c r="J34" t="s">
        <v>545</v>
      </c>
      <c r="L34" t="s">
        <v>44</v>
      </c>
      <c r="M34">
        <v>1</v>
      </c>
      <c r="P34" t="s">
        <v>1084</v>
      </c>
      <c r="Q34">
        <v>5</v>
      </c>
      <c r="R34" t="s">
        <v>1085</v>
      </c>
      <c r="S34">
        <v>3</v>
      </c>
      <c r="T34" t="s">
        <v>243</v>
      </c>
      <c r="V34" t="s">
        <v>148</v>
      </c>
      <c r="W34" t="s">
        <v>218</v>
      </c>
      <c r="X34" t="s">
        <v>1086</v>
      </c>
      <c r="Y34">
        <f t="shared" ref="Y34:Y65" si="9">(S34*IF(E34="G",F34,0))+(S34*IF(G34="G",H34,0))</f>
        <v>3</v>
      </c>
      <c r="Z34">
        <f t="shared" ref="Z34:Z65" si="10">(S34*IF(E34="E",F34,0))+(S34*IF(G34="E",H34,0))</f>
        <v>0</v>
      </c>
      <c r="AA34">
        <f t="shared" ref="AA34:AA65" si="11">(S34*IF(E34="T",F34,0))+(S34*IF(G34="T",H34,0))</f>
        <v>0</v>
      </c>
      <c r="AB34">
        <f t="shared" ref="AB34:AB65" si="12">(S34*IF(E34="L",F34,0))+(S34*IF(G34="L",H34,0))</f>
        <v>0</v>
      </c>
      <c r="AC34">
        <f t="shared" ref="AC34:AC65" si="13">(S34*IF(E34="H",F34,0))+(S34*IF(G34="H",H34,0))</f>
        <v>0</v>
      </c>
      <c r="AD34">
        <f t="shared" ref="AD34:AD65" si="14">(S34*IF(E34="V",F34,0))+(S34*IF(G34="V",H34,0))</f>
        <v>0</v>
      </c>
      <c r="AE34">
        <f t="shared" ref="AE34:AE65" si="15">(S34*IF(E34="R",F34,0))+(S34*IF(G34="R",H34,0))</f>
        <v>0</v>
      </c>
      <c r="AF34">
        <f t="shared" ref="AF34:AF65" si="16">(S34*IF(E34="F",F34,0))+(S34*IF(G34="F",H34,0))</f>
        <v>0</v>
      </c>
      <c r="AG34">
        <f t="shared" ref="AG34:AG65" si="17">(S34*IF(E34="W",F34,0))+(S34*IF(G34="W",H34,0))</f>
        <v>0</v>
      </c>
      <c r="AH34" t="s">
        <v>521</v>
      </c>
      <c r="AI34" t="s">
        <v>525</v>
      </c>
      <c r="AJ34" t="s">
        <v>546</v>
      </c>
    </row>
    <row r="35" spans="1:36" x14ac:dyDescent="0.2">
      <c r="A35" t="s">
        <v>217</v>
      </c>
      <c r="B35" t="s">
        <v>344</v>
      </c>
      <c r="C35" t="s">
        <v>39</v>
      </c>
      <c r="D35" t="s">
        <v>521</v>
      </c>
      <c r="E35" s="6" t="s">
        <v>18</v>
      </c>
      <c r="F35" s="6">
        <v>1</v>
      </c>
      <c r="G35" s="6" t="s">
        <v>522</v>
      </c>
      <c r="I35" t="s">
        <v>544</v>
      </c>
      <c r="J35" t="s">
        <v>545</v>
      </c>
      <c r="L35" t="s">
        <v>44</v>
      </c>
      <c r="M35">
        <v>1</v>
      </c>
      <c r="P35" t="s">
        <v>1087</v>
      </c>
      <c r="Q35">
        <v>6</v>
      </c>
      <c r="R35" t="s">
        <v>1088</v>
      </c>
      <c r="S35">
        <v>4</v>
      </c>
      <c r="T35" t="s">
        <v>256</v>
      </c>
      <c r="V35" t="s">
        <v>148</v>
      </c>
      <c r="W35" t="s">
        <v>218</v>
      </c>
      <c r="Y35">
        <f t="shared" si="9"/>
        <v>4</v>
      </c>
      <c r="Z35">
        <f t="shared" si="10"/>
        <v>0</v>
      </c>
      <c r="AA35">
        <f t="shared" si="11"/>
        <v>0</v>
      </c>
      <c r="AB35">
        <f t="shared" si="12"/>
        <v>0</v>
      </c>
      <c r="AC35">
        <f t="shared" si="13"/>
        <v>0</v>
      </c>
      <c r="AD35">
        <f t="shared" si="14"/>
        <v>0</v>
      </c>
      <c r="AE35">
        <f t="shared" si="15"/>
        <v>0</v>
      </c>
      <c r="AF35">
        <f t="shared" si="16"/>
        <v>0</v>
      </c>
      <c r="AG35">
        <f t="shared" si="17"/>
        <v>0</v>
      </c>
      <c r="AH35" t="s">
        <v>521</v>
      </c>
      <c r="AI35" t="s">
        <v>525</v>
      </c>
      <c r="AJ35" t="s">
        <v>546</v>
      </c>
    </row>
    <row r="36" spans="1:36" x14ac:dyDescent="0.2">
      <c r="A36" t="s">
        <v>217</v>
      </c>
      <c r="B36" t="s">
        <v>345</v>
      </c>
      <c r="C36" t="s">
        <v>37</v>
      </c>
      <c r="D36" t="s">
        <v>547</v>
      </c>
      <c r="E36" s="6" t="s">
        <v>28</v>
      </c>
      <c r="F36" s="6">
        <v>1</v>
      </c>
      <c r="G36" s="6" t="s">
        <v>522</v>
      </c>
      <c r="I36" t="s">
        <v>548</v>
      </c>
      <c r="J36" t="s">
        <v>549</v>
      </c>
      <c r="L36" t="s">
        <v>46</v>
      </c>
      <c r="M36">
        <v>1</v>
      </c>
      <c r="P36" t="s">
        <v>1089</v>
      </c>
      <c r="Q36">
        <v>1</v>
      </c>
      <c r="R36" t="s">
        <v>1017</v>
      </c>
      <c r="S36">
        <v>0</v>
      </c>
      <c r="T36" t="s">
        <v>273</v>
      </c>
      <c r="U36" t="s">
        <v>65</v>
      </c>
      <c r="V36" t="s">
        <v>151</v>
      </c>
      <c r="W36" t="s">
        <v>222</v>
      </c>
      <c r="Y36">
        <f t="shared" si="9"/>
        <v>0</v>
      </c>
      <c r="Z36">
        <f t="shared" si="10"/>
        <v>0</v>
      </c>
      <c r="AA36">
        <f t="shared" si="11"/>
        <v>0</v>
      </c>
      <c r="AB36">
        <f t="shared" si="12"/>
        <v>0</v>
      </c>
      <c r="AC36">
        <f t="shared" si="13"/>
        <v>0</v>
      </c>
      <c r="AD36">
        <f t="shared" si="14"/>
        <v>0</v>
      </c>
      <c r="AE36">
        <f t="shared" si="15"/>
        <v>0</v>
      </c>
      <c r="AF36">
        <f t="shared" si="16"/>
        <v>0</v>
      </c>
      <c r="AG36">
        <f t="shared" si="17"/>
        <v>0</v>
      </c>
      <c r="AH36" t="s">
        <v>550</v>
      </c>
      <c r="AI36" t="s">
        <v>551</v>
      </c>
      <c r="AJ36" t="s">
        <v>552</v>
      </c>
    </row>
    <row r="37" spans="1:36" x14ac:dyDescent="0.2">
      <c r="A37" t="s">
        <v>217</v>
      </c>
      <c r="B37" t="s">
        <v>345</v>
      </c>
      <c r="C37" t="s">
        <v>37</v>
      </c>
      <c r="D37" t="s">
        <v>547</v>
      </c>
      <c r="E37" s="6" t="s">
        <v>28</v>
      </c>
      <c r="F37" s="6">
        <v>1</v>
      </c>
      <c r="G37" s="6" t="s">
        <v>522</v>
      </c>
      <c r="I37" t="s">
        <v>548</v>
      </c>
      <c r="J37" t="s">
        <v>549</v>
      </c>
      <c r="L37" t="s">
        <v>46</v>
      </c>
      <c r="M37">
        <v>1</v>
      </c>
      <c r="P37" t="s">
        <v>1090</v>
      </c>
      <c r="Q37">
        <v>2</v>
      </c>
      <c r="R37" t="s">
        <v>1091</v>
      </c>
      <c r="S37">
        <v>0</v>
      </c>
      <c r="T37" t="s">
        <v>276</v>
      </c>
      <c r="U37" t="s">
        <v>66</v>
      </c>
      <c r="V37" t="s">
        <v>151</v>
      </c>
      <c r="W37" t="s">
        <v>222</v>
      </c>
      <c r="Y37">
        <f t="shared" si="9"/>
        <v>0</v>
      </c>
      <c r="Z37">
        <f t="shared" si="10"/>
        <v>0</v>
      </c>
      <c r="AA37">
        <f t="shared" si="11"/>
        <v>0</v>
      </c>
      <c r="AB37">
        <f t="shared" si="12"/>
        <v>0</v>
      </c>
      <c r="AC37">
        <f t="shared" si="13"/>
        <v>0</v>
      </c>
      <c r="AD37">
        <f t="shared" si="14"/>
        <v>0</v>
      </c>
      <c r="AE37">
        <f t="shared" si="15"/>
        <v>0</v>
      </c>
      <c r="AF37">
        <f t="shared" si="16"/>
        <v>0</v>
      </c>
      <c r="AG37">
        <f t="shared" si="17"/>
        <v>0</v>
      </c>
      <c r="AH37" t="s">
        <v>550</v>
      </c>
      <c r="AI37" t="s">
        <v>551</v>
      </c>
      <c r="AJ37" t="s">
        <v>552</v>
      </c>
    </row>
    <row r="38" spans="1:36" x14ac:dyDescent="0.2">
      <c r="A38" t="s">
        <v>217</v>
      </c>
      <c r="B38" t="s">
        <v>345</v>
      </c>
      <c r="C38" t="s">
        <v>37</v>
      </c>
      <c r="D38" t="s">
        <v>547</v>
      </c>
      <c r="E38" s="6" t="s">
        <v>28</v>
      </c>
      <c r="F38" s="6">
        <v>1</v>
      </c>
      <c r="G38" s="6" t="s">
        <v>522</v>
      </c>
      <c r="I38" t="s">
        <v>548</v>
      </c>
      <c r="J38" t="s">
        <v>549</v>
      </c>
      <c r="L38" t="s">
        <v>46</v>
      </c>
      <c r="M38">
        <v>1</v>
      </c>
      <c r="P38" t="s">
        <v>1092</v>
      </c>
      <c r="Q38">
        <v>3</v>
      </c>
      <c r="R38" t="s">
        <v>1093</v>
      </c>
      <c r="S38">
        <v>1</v>
      </c>
      <c r="T38" t="s">
        <v>1094</v>
      </c>
      <c r="U38" t="s">
        <v>63</v>
      </c>
      <c r="V38" t="s">
        <v>108</v>
      </c>
      <c r="W38" t="s">
        <v>222</v>
      </c>
      <c r="Y38">
        <f t="shared" si="9"/>
        <v>0</v>
      </c>
      <c r="Z38">
        <f t="shared" si="10"/>
        <v>0</v>
      </c>
      <c r="AA38">
        <f t="shared" si="11"/>
        <v>0</v>
      </c>
      <c r="AB38">
        <f t="shared" si="12"/>
        <v>0</v>
      </c>
      <c r="AC38">
        <f t="shared" si="13"/>
        <v>0</v>
      </c>
      <c r="AD38">
        <f t="shared" si="14"/>
        <v>1</v>
      </c>
      <c r="AE38">
        <f t="shared" si="15"/>
        <v>0</v>
      </c>
      <c r="AF38">
        <f t="shared" si="16"/>
        <v>0</v>
      </c>
      <c r="AG38">
        <f t="shared" si="17"/>
        <v>0</v>
      </c>
      <c r="AH38" t="s">
        <v>550</v>
      </c>
      <c r="AI38" t="s">
        <v>551</v>
      </c>
      <c r="AJ38" t="s">
        <v>552</v>
      </c>
    </row>
    <row r="39" spans="1:36" x14ac:dyDescent="0.2">
      <c r="A39" t="s">
        <v>217</v>
      </c>
      <c r="B39" t="s">
        <v>345</v>
      </c>
      <c r="C39" t="s">
        <v>37</v>
      </c>
      <c r="D39" t="s">
        <v>547</v>
      </c>
      <c r="E39" s="6" t="s">
        <v>28</v>
      </c>
      <c r="F39" s="6">
        <v>1</v>
      </c>
      <c r="G39" s="6" t="s">
        <v>522</v>
      </c>
      <c r="I39" t="s">
        <v>548</v>
      </c>
      <c r="J39" t="s">
        <v>549</v>
      </c>
      <c r="L39" t="s">
        <v>46</v>
      </c>
      <c r="M39">
        <v>1</v>
      </c>
      <c r="P39" t="s">
        <v>1095</v>
      </c>
      <c r="Q39">
        <v>4</v>
      </c>
      <c r="R39" t="s">
        <v>1096</v>
      </c>
      <c r="S39">
        <v>2</v>
      </c>
      <c r="T39" t="s">
        <v>234</v>
      </c>
      <c r="U39" t="s">
        <v>61</v>
      </c>
      <c r="V39" t="s">
        <v>116</v>
      </c>
      <c r="W39" t="s">
        <v>222</v>
      </c>
      <c r="Y39">
        <f t="shared" si="9"/>
        <v>0</v>
      </c>
      <c r="Z39">
        <f t="shared" si="10"/>
        <v>0</v>
      </c>
      <c r="AA39">
        <f t="shared" si="11"/>
        <v>0</v>
      </c>
      <c r="AB39">
        <f t="shared" si="12"/>
        <v>0</v>
      </c>
      <c r="AC39">
        <f t="shared" si="13"/>
        <v>0</v>
      </c>
      <c r="AD39">
        <f t="shared" si="14"/>
        <v>2</v>
      </c>
      <c r="AE39">
        <f t="shared" si="15"/>
        <v>0</v>
      </c>
      <c r="AF39">
        <f t="shared" si="16"/>
        <v>0</v>
      </c>
      <c r="AG39">
        <f t="shared" si="17"/>
        <v>0</v>
      </c>
      <c r="AH39" t="s">
        <v>550</v>
      </c>
      <c r="AI39" t="s">
        <v>551</v>
      </c>
      <c r="AJ39" t="s">
        <v>552</v>
      </c>
    </row>
    <row r="40" spans="1:36" x14ac:dyDescent="0.2">
      <c r="A40" t="s">
        <v>217</v>
      </c>
      <c r="B40" t="s">
        <v>345</v>
      </c>
      <c r="C40" t="s">
        <v>37</v>
      </c>
      <c r="D40" t="s">
        <v>547</v>
      </c>
      <c r="E40" s="6" t="s">
        <v>28</v>
      </c>
      <c r="F40" s="6">
        <v>1</v>
      </c>
      <c r="G40" s="6" t="s">
        <v>522</v>
      </c>
      <c r="I40" t="s">
        <v>548</v>
      </c>
      <c r="J40" t="s">
        <v>549</v>
      </c>
      <c r="L40" t="s">
        <v>46</v>
      </c>
      <c r="M40">
        <v>1</v>
      </c>
      <c r="P40" t="s">
        <v>1097</v>
      </c>
      <c r="Q40">
        <v>5</v>
      </c>
      <c r="R40" t="s">
        <v>1098</v>
      </c>
      <c r="S40">
        <v>3</v>
      </c>
      <c r="T40" t="s">
        <v>243</v>
      </c>
      <c r="V40" t="s">
        <v>148</v>
      </c>
      <c r="W40" t="s">
        <v>218</v>
      </c>
      <c r="X40" t="s">
        <v>1099</v>
      </c>
      <c r="Y40">
        <f t="shared" si="9"/>
        <v>0</v>
      </c>
      <c r="Z40">
        <f t="shared" si="10"/>
        <v>0</v>
      </c>
      <c r="AA40">
        <f t="shared" si="11"/>
        <v>0</v>
      </c>
      <c r="AB40">
        <f t="shared" si="12"/>
        <v>0</v>
      </c>
      <c r="AC40">
        <f t="shared" si="13"/>
        <v>0</v>
      </c>
      <c r="AD40">
        <f t="shared" si="14"/>
        <v>3</v>
      </c>
      <c r="AE40">
        <f t="shared" si="15"/>
        <v>0</v>
      </c>
      <c r="AF40">
        <f t="shared" si="16"/>
        <v>0</v>
      </c>
      <c r="AG40">
        <f t="shared" si="17"/>
        <v>0</v>
      </c>
      <c r="AH40" t="s">
        <v>550</v>
      </c>
      <c r="AI40" t="s">
        <v>551</v>
      </c>
      <c r="AJ40" t="s">
        <v>552</v>
      </c>
    </row>
    <row r="41" spans="1:36" x14ac:dyDescent="0.2">
      <c r="A41" t="s">
        <v>217</v>
      </c>
      <c r="B41" t="s">
        <v>345</v>
      </c>
      <c r="C41" t="s">
        <v>37</v>
      </c>
      <c r="D41" t="s">
        <v>547</v>
      </c>
      <c r="E41" s="6" t="s">
        <v>28</v>
      </c>
      <c r="F41" s="6">
        <v>1</v>
      </c>
      <c r="G41" s="6" t="s">
        <v>522</v>
      </c>
      <c r="I41" t="s">
        <v>548</v>
      </c>
      <c r="J41" t="s">
        <v>549</v>
      </c>
      <c r="L41" t="s">
        <v>46</v>
      </c>
      <c r="M41">
        <v>1</v>
      </c>
      <c r="P41" t="s">
        <v>1100</v>
      </c>
      <c r="Q41">
        <v>6</v>
      </c>
      <c r="R41" t="s">
        <v>1101</v>
      </c>
      <c r="S41">
        <v>4</v>
      </c>
      <c r="T41" t="s">
        <v>256</v>
      </c>
      <c r="V41" t="s">
        <v>148</v>
      </c>
      <c r="W41" t="s">
        <v>218</v>
      </c>
      <c r="Y41">
        <f t="shared" si="9"/>
        <v>0</v>
      </c>
      <c r="Z41">
        <f t="shared" si="10"/>
        <v>0</v>
      </c>
      <c r="AA41">
        <f t="shared" si="11"/>
        <v>0</v>
      </c>
      <c r="AB41">
        <f t="shared" si="12"/>
        <v>0</v>
      </c>
      <c r="AC41">
        <f t="shared" si="13"/>
        <v>0</v>
      </c>
      <c r="AD41">
        <f t="shared" si="14"/>
        <v>4</v>
      </c>
      <c r="AE41">
        <f t="shared" si="15"/>
        <v>0</v>
      </c>
      <c r="AF41">
        <f t="shared" si="16"/>
        <v>0</v>
      </c>
      <c r="AG41">
        <f t="shared" si="17"/>
        <v>0</v>
      </c>
      <c r="AH41" t="s">
        <v>550</v>
      </c>
      <c r="AI41" t="s">
        <v>551</v>
      </c>
      <c r="AJ41" t="s">
        <v>552</v>
      </c>
    </row>
    <row r="42" spans="1:36" x14ac:dyDescent="0.2">
      <c r="A42" t="s">
        <v>217</v>
      </c>
      <c r="B42" t="s">
        <v>346</v>
      </c>
      <c r="C42" t="s">
        <v>39</v>
      </c>
      <c r="D42" t="s">
        <v>547</v>
      </c>
      <c r="E42" s="6" t="s">
        <v>28</v>
      </c>
      <c r="F42" s="6">
        <v>1</v>
      </c>
      <c r="G42" s="6" t="s">
        <v>522</v>
      </c>
      <c r="I42" t="s">
        <v>553</v>
      </c>
      <c r="J42" t="s">
        <v>554</v>
      </c>
      <c r="L42" t="s">
        <v>46</v>
      </c>
      <c r="M42">
        <v>1</v>
      </c>
      <c r="P42" t="s">
        <v>1102</v>
      </c>
      <c r="Q42">
        <v>1</v>
      </c>
      <c r="R42" t="s">
        <v>1103</v>
      </c>
      <c r="S42">
        <v>0</v>
      </c>
      <c r="T42" t="s">
        <v>276</v>
      </c>
      <c r="U42" t="s">
        <v>66</v>
      </c>
      <c r="V42" t="s">
        <v>151</v>
      </c>
      <c r="W42" t="s">
        <v>222</v>
      </c>
      <c r="Y42">
        <f t="shared" si="9"/>
        <v>0</v>
      </c>
      <c r="Z42">
        <f t="shared" si="10"/>
        <v>0</v>
      </c>
      <c r="AA42">
        <f t="shared" si="11"/>
        <v>0</v>
      </c>
      <c r="AB42">
        <f t="shared" si="12"/>
        <v>0</v>
      </c>
      <c r="AC42">
        <f t="shared" si="13"/>
        <v>0</v>
      </c>
      <c r="AD42">
        <f t="shared" si="14"/>
        <v>0</v>
      </c>
      <c r="AE42">
        <f t="shared" si="15"/>
        <v>0</v>
      </c>
      <c r="AF42">
        <f t="shared" si="16"/>
        <v>0</v>
      </c>
      <c r="AG42">
        <f t="shared" si="17"/>
        <v>0</v>
      </c>
      <c r="AH42" t="s">
        <v>521</v>
      </c>
      <c r="AI42" t="s">
        <v>525</v>
      </c>
      <c r="AJ42" t="s">
        <v>526</v>
      </c>
    </row>
    <row r="43" spans="1:36" x14ac:dyDescent="0.2">
      <c r="A43" t="s">
        <v>217</v>
      </c>
      <c r="B43" t="s">
        <v>346</v>
      </c>
      <c r="C43" t="s">
        <v>39</v>
      </c>
      <c r="D43" t="s">
        <v>547</v>
      </c>
      <c r="E43" s="6" t="s">
        <v>28</v>
      </c>
      <c r="F43" s="6">
        <v>1</v>
      </c>
      <c r="G43" s="6" t="s">
        <v>522</v>
      </c>
      <c r="I43" t="s">
        <v>553</v>
      </c>
      <c r="J43" t="s">
        <v>554</v>
      </c>
      <c r="L43" t="s">
        <v>46</v>
      </c>
      <c r="M43">
        <v>1</v>
      </c>
      <c r="P43" t="s">
        <v>1104</v>
      </c>
      <c r="Q43">
        <v>2</v>
      </c>
      <c r="R43" t="s">
        <v>1105</v>
      </c>
      <c r="S43">
        <v>1</v>
      </c>
      <c r="T43" t="s">
        <v>253</v>
      </c>
      <c r="U43" t="s">
        <v>60</v>
      </c>
      <c r="V43" t="s">
        <v>71</v>
      </c>
      <c r="W43" t="s">
        <v>222</v>
      </c>
      <c r="Y43">
        <f t="shared" si="9"/>
        <v>0</v>
      </c>
      <c r="Z43">
        <f t="shared" si="10"/>
        <v>0</v>
      </c>
      <c r="AA43">
        <f t="shared" si="11"/>
        <v>0</v>
      </c>
      <c r="AB43">
        <f t="shared" si="12"/>
        <v>0</v>
      </c>
      <c r="AC43">
        <f t="shared" si="13"/>
        <v>0</v>
      </c>
      <c r="AD43">
        <f t="shared" si="14"/>
        <v>1</v>
      </c>
      <c r="AE43">
        <f t="shared" si="15"/>
        <v>0</v>
      </c>
      <c r="AF43">
        <f t="shared" si="16"/>
        <v>0</v>
      </c>
      <c r="AG43">
        <f t="shared" si="17"/>
        <v>0</v>
      </c>
      <c r="AH43" t="s">
        <v>521</v>
      </c>
      <c r="AI43" t="s">
        <v>525</v>
      </c>
      <c r="AJ43" t="s">
        <v>526</v>
      </c>
    </row>
    <row r="44" spans="1:36" x14ac:dyDescent="0.2">
      <c r="A44" t="s">
        <v>217</v>
      </c>
      <c r="B44" t="s">
        <v>346</v>
      </c>
      <c r="C44" t="s">
        <v>39</v>
      </c>
      <c r="D44" t="s">
        <v>547</v>
      </c>
      <c r="E44" s="6" t="s">
        <v>28</v>
      </c>
      <c r="F44" s="6">
        <v>1</v>
      </c>
      <c r="G44" s="6" t="s">
        <v>522</v>
      </c>
      <c r="I44" t="s">
        <v>553</v>
      </c>
      <c r="J44" t="s">
        <v>554</v>
      </c>
      <c r="L44" t="s">
        <v>46</v>
      </c>
      <c r="M44">
        <v>1</v>
      </c>
      <c r="P44" t="s">
        <v>1106</v>
      </c>
      <c r="Q44">
        <v>3</v>
      </c>
      <c r="R44" t="s">
        <v>1107</v>
      </c>
      <c r="S44">
        <v>2</v>
      </c>
      <c r="T44" t="s">
        <v>174</v>
      </c>
      <c r="U44" t="s">
        <v>63</v>
      </c>
      <c r="V44" t="s">
        <v>108</v>
      </c>
      <c r="W44" t="s">
        <v>222</v>
      </c>
      <c r="Y44">
        <f t="shared" si="9"/>
        <v>0</v>
      </c>
      <c r="Z44">
        <f t="shared" si="10"/>
        <v>0</v>
      </c>
      <c r="AA44">
        <f t="shared" si="11"/>
        <v>0</v>
      </c>
      <c r="AB44">
        <f t="shared" si="12"/>
        <v>0</v>
      </c>
      <c r="AC44">
        <f t="shared" si="13"/>
        <v>0</v>
      </c>
      <c r="AD44">
        <f t="shared" si="14"/>
        <v>2</v>
      </c>
      <c r="AE44">
        <f t="shared" si="15"/>
        <v>0</v>
      </c>
      <c r="AF44">
        <f t="shared" si="16"/>
        <v>0</v>
      </c>
      <c r="AG44">
        <f t="shared" si="17"/>
        <v>0</v>
      </c>
      <c r="AH44" t="s">
        <v>521</v>
      </c>
      <c r="AI44" t="s">
        <v>525</v>
      </c>
      <c r="AJ44" t="s">
        <v>526</v>
      </c>
    </row>
    <row r="45" spans="1:36" x14ac:dyDescent="0.2">
      <c r="A45" t="s">
        <v>217</v>
      </c>
      <c r="B45" t="s">
        <v>346</v>
      </c>
      <c r="C45" t="s">
        <v>39</v>
      </c>
      <c r="D45" t="s">
        <v>547</v>
      </c>
      <c r="E45" s="6" t="s">
        <v>28</v>
      </c>
      <c r="F45" s="6">
        <v>1</v>
      </c>
      <c r="G45" s="6" t="s">
        <v>522</v>
      </c>
      <c r="I45" t="s">
        <v>553</v>
      </c>
      <c r="J45" t="s">
        <v>554</v>
      </c>
      <c r="L45" t="s">
        <v>46</v>
      </c>
      <c r="M45">
        <v>1</v>
      </c>
      <c r="P45" t="s">
        <v>1108</v>
      </c>
      <c r="Q45">
        <v>4</v>
      </c>
      <c r="R45" t="s">
        <v>1109</v>
      </c>
      <c r="S45">
        <v>3</v>
      </c>
      <c r="T45" t="s">
        <v>243</v>
      </c>
      <c r="V45" t="s">
        <v>163</v>
      </c>
      <c r="W45" t="s">
        <v>222</v>
      </c>
      <c r="Y45">
        <f t="shared" si="9"/>
        <v>0</v>
      </c>
      <c r="Z45">
        <f t="shared" si="10"/>
        <v>0</v>
      </c>
      <c r="AA45">
        <f t="shared" si="11"/>
        <v>0</v>
      </c>
      <c r="AB45">
        <f t="shared" si="12"/>
        <v>0</v>
      </c>
      <c r="AC45">
        <f t="shared" si="13"/>
        <v>0</v>
      </c>
      <c r="AD45">
        <f t="shared" si="14"/>
        <v>3</v>
      </c>
      <c r="AE45">
        <f t="shared" si="15"/>
        <v>0</v>
      </c>
      <c r="AF45">
        <f t="shared" si="16"/>
        <v>0</v>
      </c>
      <c r="AG45">
        <f t="shared" si="17"/>
        <v>0</v>
      </c>
      <c r="AH45" t="s">
        <v>521</v>
      </c>
      <c r="AI45" t="s">
        <v>525</v>
      </c>
      <c r="AJ45" t="s">
        <v>526</v>
      </c>
    </row>
    <row r="46" spans="1:36" x14ac:dyDescent="0.2">
      <c r="A46" t="s">
        <v>217</v>
      </c>
      <c r="B46" t="s">
        <v>347</v>
      </c>
      <c r="C46" t="s">
        <v>39</v>
      </c>
      <c r="D46" t="s">
        <v>547</v>
      </c>
      <c r="E46" s="6" t="s">
        <v>28</v>
      </c>
      <c r="F46" s="6">
        <v>0.7</v>
      </c>
      <c r="G46" s="6" t="s">
        <v>20</v>
      </c>
      <c r="H46" s="6">
        <v>0.3</v>
      </c>
      <c r="I46" t="s">
        <v>555</v>
      </c>
      <c r="J46" t="s">
        <v>556</v>
      </c>
      <c r="L46" t="s">
        <v>46</v>
      </c>
      <c r="M46">
        <v>1</v>
      </c>
      <c r="P46" t="s">
        <v>1110</v>
      </c>
      <c r="Q46">
        <v>1</v>
      </c>
      <c r="R46" t="s">
        <v>1017</v>
      </c>
      <c r="S46">
        <v>0</v>
      </c>
      <c r="T46" t="s">
        <v>273</v>
      </c>
      <c r="U46" t="s">
        <v>65</v>
      </c>
      <c r="V46" t="s">
        <v>150</v>
      </c>
      <c r="W46" t="s">
        <v>222</v>
      </c>
      <c r="Y46">
        <f t="shared" si="9"/>
        <v>0</v>
      </c>
      <c r="Z46">
        <f t="shared" si="10"/>
        <v>0</v>
      </c>
      <c r="AA46">
        <f t="shared" si="11"/>
        <v>0</v>
      </c>
      <c r="AB46">
        <f t="shared" si="12"/>
        <v>0</v>
      </c>
      <c r="AC46">
        <f t="shared" si="13"/>
        <v>0</v>
      </c>
      <c r="AD46">
        <f t="shared" si="14"/>
        <v>0</v>
      </c>
      <c r="AE46">
        <f t="shared" si="15"/>
        <v>0</v>
      </c>
      <c r="AF46">
        <f t="shared" si="16"/>
        <v>0</v>
      </c>
      <c r="AG46">
        <f t="shared" si="17"/>
        <v>0</v>
      </c>
      <c r="AH46" t="s">
        <v>550</v>
      </c>
      <c r="AI46" t="s">
        <v>551</v>
      </c>
      <c r="AJ46" t="s">
        <v>552</v>
      </c>
    </row>
    <row r="47" spans="1:36" x14ac:dyDescent="0.2">
      <c r="A47" t="s">
        <v>217</v>
      </c>
      <c r="B47" t="s">
        <v>347</v>
      </c>
      <c r="C47" t="s">
        <v>39</v>
      </c>
      <c r="D47" t="s">
        <v>547</v>
      </c>
      <c r="E47" s="6" t="s">
        <v>28</v>
      </c>
      <c r="F47" s="6">
        <v>0.7</v>
      </c>
      <c r="G47" s="6" t="s">
        <v>20</v>
      </c>
      <c r="H47" s="6">
        <v>0.3</v>
      </c>
      <c r="I47" t="s">
        <v>555</v>
      </c>
      <c r="J47" t="s">
        <v>556</v>
      </c>
      <c r="L47" t="s">
        <v>46</v>
      </c>
      <c r="M47">
        <v>1</v>
      </c>
      <c r="P47" t="s">
        <v>1111</v>
      </c>
      <c r="Q47">
        <v>2</v>
      </c>
      <c r="R47" t="s">
        <v>1112</v>
      </c>
      <c r="S47">
        <v>0</v>
      </c>
      <c r="T47" t="s">
        <v>276</v>
      </c>
      <c r="U47" t="s">
        <v>66</v>
      </c>
      <c r="V47" t="s">
        <v>150</v>
      </c>
      <c r="W47" t="s">
        <v>222</v>
      </c>
      <c r="Y47">
        <f t="shared" si="9"/>
        <v>0</v>
      </c>
      <c r="Z47">
        <f t="shared" si="10"/>
        <v>0</v>
      </c>
      <c r="AA47">
        <f t="shared" si="11"/>
        <v>0</v>
      </c>
      <c r="AB47">
        <f t="shared" si="12"/>
        <v>0</v>
      </c>
      <c r="AC47">
        <f t="shared" si="13"/>
        <v>0</v>
      </c>
      <c r="AD47">
        <f t="shared" si="14"/>
        <v>0</v>
      </c>
      <c r="AE47">
        <f t="shared" si="15"/>
        <v>0</v>
      </c>
      <c r="AF47">
        <f t="shared" si="16"/>
        <v>0</v>
      </c>
      <c r="AG47">
        <f t="shared" si="17"/>
        <v>0</v>
      </c>
      <c r="AH47" t="s">
        <v>550</v>
      </c>
      <c r="AI47" t="s">
        <v>551</v>
      </c>
      <c r="AJ47" t="s">
        <v>552</v>
      </c>
    </row>
    <row r="48" spans="1:36" x14ac:dyDescent="0.2">
      <c r="A48" t="s">
        <v>217</v>
      </c>
      <c r="B48" t="s">
        <v>347</v>
      </c>
      <c r="C48" t="s">
        <v>39</v>
      </c>
      <c r="D48" t="s">
        <v>547</v>
      </c>
      <c r="E48" s="6" t="s">
        <v>28</v>
      </c>
      <c r="F48" s="6">
        <v>0.7</v>
      </c>
      <c r="G48" s="6" t="s">
        <v>20</v>
      </c>
      <c r="H48" s="6">
        <v>0.3</v>
      </c>
      <c r="I48" t="s">
        <v>555</v>
      </c>
      <c r="J48" t="s">
        <v>556</v>
      </c>
      <c r="L48" t="s">
        <v>46</v>
      </c>
      <c r="M48">
        <v>1</v>
      </c>
      <c r="P48" t="s">
        <v>1113</v>
      </c>
      <c r="Q48">
        <v>3</v>
      </c>
      <c r="R48" t="s">
        <v>1114</v>
      </c>
      <c r="S48">
        <v>1</v>
      </c>
      <c r="T48" t="s">
        <v>1094</v>
      </c>
      <c r="U48" t="s">
        <v>63</v>
      </c>
      <c r="V48" t="s">
        <v>118</v>
      </c>
      <c r="W48" t="s">
        <v>222</v>
      </c>
      <c r="Y48">
        <f t="shared" si="9"/>
        <v>0</v>
      </c>
      <c r="Z48">
        <f t="shared" si="10"/>
        <v>0.3</v>
      </c>
      <c r="AA48">
        <f t="shared" si="11"/>
        <v>0</v>
      </c>
      <c r="AB48">
        <f t="shared" si="12"/>
        <v>0</v>
      </c>
      <c r="AC48">
        <f t="shared" si="13"/>
        <v>0</v>
      </c>
      <c r="AD48">
        <f t="shared" si="14"/>
        <v>0.7</v>
      </c>
      <c r="AE48">
        <f t="shared" si="15"/>
        <v>0</v>
      </c>
      <c r="AF48">
        <f t="shared" si="16"/>
        <v>0</v>
      </c>
      <c r="AG48">
        <f t="shared" si="17"/>
        <v>0</v>
      </c>
      <c r="AH48" t="s">
        <v>550</v>
      </c>
      <c r="AI48" t="s">
        <v>551</v>
      </c>
      <c r="AJ48" t="s">
        <v>552</v>
      </c>
    </row>
    <row r="49" spans="1:36" x14ac:dyDescent="0.2">
      <c r="A49" t="s">
        <v>217</v>
      </c>
      <c r="B49" t="s">
        <v>347</v>
      </c>
      <c r="C49" t="s">
        <v>39</v>
      </c>
      <c r="D49" t="s">
        <v>547</v>
      </c>
      <c r="E49" s="6" t="s">
        <v>28</v>
      </c>
      <c r="F49" s="6">
        <v>0.7</v>
      </c>
      <c r="G49" s="6" t="s">
        <v>20</v>
      </c>
      <c r="H49" s="6">
        <v>0.3</v>
      </c>
      <c r="I49" t="s">
        <v>555</v>
      </c>
      <c r="J49" t="s">
        <v>556</v>
      </c>
      <c r="L49" t="s">
        <v>46</v>
      </c>
      <c r="M49">
        <v>1</v>
      </c>
      <c r="P49" t="s">
        <v>1115</v>
      </c>
      <c r="Q49">
        <v>4</v>
      </c>
      <c r="R49" t="s">
        <v>1116</v>
      </c>
      <c r="S49">
        <v>2</v>
      </c>
      <c r="T49" t="s">
        <v>262</v>
      </c>
      <c r="U49" t="s">
        <v>66</v>
      </c>
      <c r="V49" t="s">
        <v>115</v>
      </c>
      <c r="W49" t="s">
        <v>222</v>
      </c>
      <c r="Y49">
        <f t="shared" si="9"/>
        <v>0</v>
      </c>
      <c r="Z49">
        <f t="shared" si="10"/>
        <v>0.6</v>
      </c>
      <c r="AA49">
        <f t="shared" si="11"/>
        <v>0</v>
      </c>
      <c r="AB49">
        <f t="shared" si="12"/>
        <v>0</v>
      </c>
      <c r="AC49">
        <f t="shared" si="13"/>
        <v>0</v>
      </c>
      <c r="AD49">
        <f t="shared" si="14"/>
        <v>1.4</v>
      </c>
      <c r="AE49">
        <f t="shared" si="15"/>
        <v>0</v>
      </c>
      <c r="AF49">
        <f t="shared" si="16"/>
        <v>0</v>
      </c>
      <c r="AG49">
        <f t="shared" si="17"/>
        <v>0</v>
      </c>
      <c r="AH49" t="s">
        <v>550</v>
      </c>
      <c r="AI49" t="s">
        <v>551</v>
      </c>
      <c r="AJ49" t="s">
        <v>552</v>
      </c>
    </row>
    <row r="50" spans="1:36" x14ac:dyDescent="0.2">
      <c r="A50" t="s">
        <v>217</v>
      </c>
      <c r="B50" t="s">
        <v>347</v>
      </c>
      <c r="C50" t="s">
        <v>39</v>
      </c>
      <c r="D50" t="s">
        <v>547</v>
      </c>
      <c r="E50" s="6" t="s">
        <v>28</v>
      </c>
      <c r="F50" s="6">
        <v>0.7</v>
      </c>
      <c r="G50" s="6" t="s">
        <v>20</v>
      </c>
      <c r="H50" s="6">
        <v>0.3</v>
      </c>
      <c r="I50" t="s">
        <v>555</v>
      </c>
      <c r="J50" t="s">
        <v>556</v>
      </c>
      <c r="L50" t="s">
        <v>46</v>
      </c>
      <c r="M50">
        <v>1</v>
      </c>
      <c r="P50" t="s">
        <v>1117</v>
      </c>
      <c r="Q50">
        <v>5</v>
      </c>
      <c r="R50" t="s">
        <v>1118</v>
      </c>
      <c r="S50">
        <v>3</v>
      </c>
      <c r="T50" t="s">
        <v>243</v>
      </c>
      <c r="V50" t="s">
        <v>148</v>
      </c>
      <c r="W50" t="s">
        <v>218</v>
      </c>
      <c r="X50" t="s">
        <v>1119</v>
      </c>
      <c r="Y50">
        <f t="shared" si="9"/>
        <v>0</v>
      </c>
      <c r="Z50">
        <f t="shared" si="10"/>
        <v>0.89999999999999991</v>
      </c>
      <c r="AA50">
        <f t="shared" si="11"/>
        <v>0</v>
      </c>
      <c r="AB50">
        <f t="shared" si="12"/>
        <v>0</v>
      </c>
      <c r="AC50">
        <f t="shared" si="13"/>
        <v>0</v>
      </c>
      <c r="AD50">
        <f t="shared" si="14"/>
        <v>2.0999999999999996</v>
      </c>
      <c r="AE50">
        <f t="shared" si="15"/>
        <v>0</v>
      </c>
      <c r="AF50">
        <f t="shared" si="16"/>
        <v>0</v>
      </c>
      <c r="AG50">
        <f t="shared" si="17"/>
        <v>0</v>
      </c>
      <c r="AH50" t="s">
        <v>550</v>
      </c>
      <c r="AI50" t="s">
        <v>551</v>
      </c>
      <c r="AJ50" t="s">
        <v>552</v>
      </c>
    </row>
    <row r="51" spans="1:36" x14ac:dyDescent="0.2">
      <c r="A51" t="s">
        <v>217</v>
      </c>
      <c r="B51" t="s">
        <v>347</v>
      </c>
      <c r="C51" t="s">
        <v>39</v>
      </c>
      <c r="D51" t="s">
        <v>547</v>
      </c>
      <c r="E51" s="6" t="s">
        <v>28</v>
      </c>
      <c r="F51" s="6">
        <v>0.7</v>
      </c>
      <c r="G51" s="6" t="s">
        <v>20</v>
      </c>
      <c r="H51" s="6">
        <v>0.3</v>
      </c>
      <c r="I51" t="s">
        <v>555</v>
      </c>
      <c r="J51" t="s">
        <v>556</v>
      </c>
      <c r="L51" t="s">
        <v>46</v>
      </c>
      <c r="M51">
        <v>1</v>
      </c>
      <c r="P51" t="s">
        <v>1120</v>
      </c>
      <c r="Q51">
        <v>6</v>
      </c>
      <c r="R51" t="s">
        <v>1121</v>
      </c>
      <c r="S51">
        <v>4</v>
      </c>
      <c r="T51" t="s">
        <v>256</v>
      </c>
      <c r="V51" t="s">
        <v>148</v>
      </c>
      <c r="W51" t="s">
        <v>218</v>
      </c>
      <c r="Y51">
        <f t="shared" si="9"/>
        <v>0</v>
      </c>
      <c r="Z51">
        <f t="shared" si="10"/>
        <v>1.2</v>
      </c>
      <c r="AA51">
        <f t="shared" si="11"/>
        <v>0</v>
      </c>
      <c r="AB51">
        <f t="shared" si="12"/>
        <v>0</v>
      </c>
      <c r="AC51">
        <f t="shared" si="13"/>
        <v>0</v>
      </c>
      <c r="AD51">
        <f t="shared" si="14"/>
        <v>2.8</v>
      </c>
      <c r="AE51">
        <f t="shared" si="15"/>
        <v>0</v>
      </c>
      <c r="AF51">
        <f t="shared" si="16"/>
        <v>0</v>
      </c>
      <c r="AG51">
        <f t="shared" si="17"/>
        <v>0</v>
      </c>
      <c r="AH51" t="s">
        <v>550</v>
      </c>
      <c r="AI51" t="s">
        <v>551</v>
      </c>
      <c r="AJ51" t="s">
        <v>552</v>
      </c>
    </row>
    <row r="52" spans="1:36" x14ac:dyDescent="0.2">
      <c r="A52" t="s">
        <v>217</v>
      </c>
      <c r="B52" t="s">
        <v>348</v>
      </c>
      <c r="C52" t="s">
        <v>39</v>
      </c>
      <c r="D52" t="s">
        <v>547</v>
      </c>
      <c r="E52" s="6" t="s">
        <v>28</v>
      </c>
      <c r="F52" s="6">
        <v>0.6</v>
      </c>
      <c r="G52" s="6" t="s">
        <v>30</v>
      </c>
      <c r="H52" s="6">
        <v>0.4</v>
      </c>
      <c r="I52" t="s">
        <v>557</v>
      </c>
      <c r="J52" t="s">
        <v>558</v>
      </c>
      <c r="L52" t="s">
        <v>46</v>
      </c>
      <c r="M52">
        <v>1</v>
      </c>
      <c r="P52" t="s">
        <v>1122</v>
      </c>
      <c r="Q52">
        <v>1</v>
      </c>
      <c r="R52" t="s">
        <v>1017</v>
      </c>
      <c r="S52">
        <v>0</v>
      </c>
      <c r="T52" t="s">
        <v>273</v>
      </c>
      <c r="U52" t="s">
        <v>65</v>
      </c>
      <c r="V52" t="s">
        <v>94</v>
      </c>
      <c r="W52" t="s">
        <v>222</v>
      </c>
      <c r="Y52">
        <f t="shared" si="9"/>
        <v>0</v>
      </c>
      <c r="Z52">
        <f t="shared" si="10"/>
        <v>0</v>
      </c>
      <c r="AA52">
        <f t="shared" si="11"/>
        <v>0</v>
      </c>
      <c r="AB52">
        <f t="shared" si="12"/>
        <v>0</v>
      </c>
      <c r="AC52">
        <f t="shared" si="13"/>
        <v>0</v>
      </c>
      <c r="AD52">
        <f t="shared" si="14"/>
        <v>0</v>
      </c>
      <c r="AE52">
        <f t="shared" si="15"/>
        <v>0</v>
      </c>
      <c r="AF52">
        <f t="shared" si="16"/>
        <v>0</v>
      </c>
      <c r="AG52">
        <f t="shared" si="17"/>
        <v>0</v>
      </c>
      <c r="AH52" t="s">
        <v>550</v>
      </c>
      <c r="AI52" t="s">
        <v>551</v>
      </c>
      <c r="AJ52" t="s">
        <v>552</v>
      </c>
    </row>
    <row r="53" spans="1:36" x14ac:dyDescent="0.2">
      <c r="A53" t="s">
        <v>217</v>
      </c>
      <c r="B53" t="s">
        <v>348</v>
      </c>
      <c r="C53" t="s">
        <v>39</v>
      </c>
      <c r="D53" t="s">
        <v>547</v>
      </c>
      <c r="E53" s="6" t="s">
        <v>28</v>
      </c>
      <c r="F53" s="6">
        <v>0.6</v>
      </c>
      <c r="G53" s="6" t="s">
        <v>30</v>
      </c>
      <c r="H53" s="6">
        <v>0.4</v>
      </c>
      <c r="I53" t="s">
        <v>557</v>
      </c>
      <c r="J53" t="s">
        <v>558</v>
      </c>
      <c r="L53" t="s">
        <v>46</v>
      </c>
      <c r="M53">
        <v>1</v>
      </c>
      <c r="P53" t="s">
        <v>1123</v>
      </c>
      <c r="Q53">
        <v>2</v>
      </c>
      <c r="R53" t="s">
        <v>1124</v>
      </c>
      <c r="S53">
        <v>0</v>
      </c>
      <c r="T53" t="s">
        <v>242</v>
      </c>
      <c r="U53" t="s">
        <v>62</v>
      </c>
      <c r="V53" t="s">
        <v>94</v>
      </c>
      <c r="W53" t="s">
        <v>222</v>
      </c>
      <c r="Y53">
        <f t="shared" si="9"/>
        <v>0</v>
      </c>
      <c r="Z53">
        <f t="shared" si="10"/>
        <v>0</v>
      </c>
      <c r="AA53">
        <f t="shared" si="11"/>
        <v>0</v>
      </c>
      <c r="AB53">
        <f t="shared" si="12"/>
        <v>0</v>
      </c>
      <c r="AC53">
        <f t="shared" si="13"/>
        <v>0</v>
      </c>
      <c r="AD53">
        <f t="shared" si="14"/>
        <v>0</v>
      </c>
      <c r="AE53">
        <f t="shared" si="15"/>
        <v>0</v>
      </c>
      <c r="AF53">
        <f t="shared" si="16"/>
        <v>0</v>
      </c>
      <c r="AG53">
        <f t="shared" si="17"/>
        <v>0</v>
      </c>
      <c r="AH53" t="s">
        <v>550</v>
      </c>
      <c r="AI53" t="s">
        <v>551</v>
      </c>
      <c r="AJ53" t="s">
        <v>552</v>
      </c>
    </row>
    <row r="54" spans="1:36" x14ac:dyDescent="0.2">
      <c r="A54" t="s">
        <v>217</v>
      </c>
      <c r="B54" t="s">
        <v>348</v>
      </c>
      <c r="C54" t="s">
        <v>39</v>
      </c>
      <c r="D54" t="s">
        <v>547</v>
      </c>
      <c r="E54" s="6" t="s">
        <v>28</v>
      </c>
      <c r="F54" s="6">
        <v>0.6</v>
      </c>
      <c r="G54" s="6" t="s">
        <v>30</v>
      </c>
      <c r="H54" s="6">
        <v>0.4</v>
      </c>
      <c r="I54" t="s">
        <v>557</v>
      </c>
      <c r="J54" t="s">
        <v>558</v>
      </c>
      <c r="L54" t="s">
        <v>46</v>
      </c>
      <c r="M54">
        <v>1</v>
      </c>
      <c r="P54" t="s">
        <v>1125</v>
      </c>
      <c r="Q54">
        <v>3</v>
      </c>
      <c r="R54" t="s">
        <v>1126</v>
      </c>
      <c r="S54">
        <v>1</v>
      </c>
      <c r="T54" t="s">
        <v>266</v>
      </c>
      <c r="U54" t="s">
        <v>63</v>
      </c>
      <c r="V54" t="s">
        <v>110</v>
      </c>
      <c r="W54" t="s">
        <v>222</v>
      </c>
      <c r="Y54">
        <f t="shared" si="9"/>
        <v>0</v>
      </c>
      <c r="Z54">
        <f t="shared" si="10"/>
        <v>0</v>
      </c>
      <c r="AA54">
        <f t="shared" si="11"/>
        <v>0</v>
      </c>
      <c r="AB54">
        <f t="shared" si="12"/>
        <v>0</v>
      </c>
      <c r="AC54">
        <f t="shared" si="13"/>
        <v>0</v>
      </c>
      <c r="AD54">
        <f t="shared" si="14"/>
        <v>0.6</v>
      </c>
      <c r="AE54">
        <f t="shared" si="15"/>
        <v>0.4</v>
      </c>
      <c r="AF54">
        <f t="shared" si="16"/>
        <v>0</v>
      </c>
      <c r="AG54">
        <f t="shared" si="17"/>
        <v>0</v>
      </c>
      <c r="AH54" t="s">
        <v>550</v>
      </c>
      <c r="AI54" t="s">
        <v>551</v>
      </c>
      <c r="AJ54" t="s">
        <v>552</v>
      </c>
    </row>
    <row r="55" spans="1:36" x14ac:dyDescent="0.2">
      <c r="A55" t="s">
        <v>217</v>
      </c>
      <c r="B55" t="s">
        <v>348</v>
      </c>
      <c r="C55" t="s">
        <v>39</v>
      </c>
      <c r="D55" t="s">
        <v>547</v>
      </c>
      <c r="E55" s="6" t="s">
        <v>28</v>
      </c>
      <c r="F55" s="6">
        <v>0.6</v>
      </c>
      <c r="G55" s="6" t="s">
        <v>30</v>
      </c>
      <c r="H55" s="6">
        <v>0.4</v>
      </c>
      <c r="I55" t="s">
        <v>557</v>
      </c>
      <c r="J55" t="s">
        <v>558</v>
      </c>
      <c r="L55" t="s">
        <v>46</v>
      </c>
      <c r="M55">
        <v>1</v>
      </c>
      <c r="P55" t="s">
        <v>1127</v>
      </c>
      <c r="Q55">
        <v>4</v>
      </c>
      <c r="R55" t="s">
        <v>1128</v>
      </c>
      <c r="S55">
        <v>2</v>
      </c>
      <c r="T55" t="s">
        <v>172</v>
      </c>
      <c r="U55" t="s">
        <v>61</v>
      </c>
      <c r="V55" t="s">
        <v>114</v>
      </c>
      <c r="W55" t="s">
        <v>222</v>
      </c>
      <c r="Y55">
        <f t="shared" si="9"/>
        <v>0</v>
      </c>
      <c r="Z55">
        <f t="shared" si="10"/>
        <v>0</v>
      </c>
      <c r="AA55">
        <f t="shared" si="11"/>
        <v>0</v>
      </c>
      <c r="AB55">
        <f t="shared" si="12"/>
        <v>0</v>
      </c>
      <c r="AC55">
        <f t="shared" si="13"/>
        <v>0</v>
      </c>
      <c r="AD55">
        <f t="shared" si="14"/>
        <v>1.2</v>
      </c>
      <c r="AE55">
        <f t="shared" si="15"/>
        <v>0.8</v>
      </c>
      <c r="AF55">
        <f t="shared" si="16"/>
        <v>0</v>
      </c>
      <c r="AG55">
        <f t="shared" si="17"/>
        <v>0</v>
      </c>
      <c r="AH55" t="s">
        <v>550</v>
      </c>
      <c r="AI55" t="s">
        <v>551</v>
      </c>
      <c r="AJ55" t="s">
        <v>552</v>
      </c>
    </row>
    <row r="56" spans="1:36" x14ac:dyDescent="0.2">
      <c r="A56" t="s">
        <v>217</v>
      </c>
      <c r="B56" t="s">
        <v>348</v>
      </c>
      <c r="C56" t="s">
        <v>39</v>
      </c>
      <c r="D56" t="s">
        <v>547</v>
      </c>
      <c r="E56" s="6" t="s">
        <v>28</v>
      </c>
      <c r="F56" s="6">
        <v>0.6</v>
      </c>
      <c r="G56" s="6" t="s">
        <v>30</v>
      </c>
      <c r="H56" s="6">
        <v>0.4</v>
      </c>
      <c r="I56" t="s">
        <v>557</v>
      </c>
      <c r="J56" t="s">
        <v>558</v>
      </c>
      <c r="L56" t="s">
        <v>46</v>
      </c>
      <c r="M56">
        <v>1</v>
      </c>
      <c r="P56" t="s">
        <v>1129</v>
      </c>
      <c r="Q56">
        <v>5</v>
      </c>
      <c r="R56" t="s">
        <v>1130</v>
      </c>
      <c r="S56">
        <v>3</v>
      </c>
      <c r="T56" t="s">
        <v>243</v>
      </c>
      <c r="V56" t="s">
        <v>148</v>
      </c>
      <c r="W56" t="s">
        <v>218</v>
      </c>
      <c r="X56" t="s">
        <v>1131</v>
      </c>
      <c r="Y56">
        <f t="shared" si="9"/>
        <v>0</v>
      </c>
      <c r="Z56">
        <f t="shared" si="10"/>
        <v>0</v>
      </c>
      <c r="AA56">
        <f t="shared" si="11"/>
        <v>0</v>
      </c>
      <c r="AB56">
        <f t="shared" si="12"/>
        <v>0</v>
      </c>
      <c r="AC56">
        <f t="shared" si="13"/>
        <v>0</v>
      </c>
      <c r="AD56">
        <f t="shared" si="14"/>
        <v>1.7999999999999998</v>
      </c>
      <c r="AE56">
        <f t="shared" si="15"/>
        <v>1.2000000000000002</v>
      </c>
      <c r="AF56">
        <f t="shared" si="16"/>
        <v>0</v>
      </c>
      <c r="AG56">
        <f t="shared" si="17"/>
        <v>0</v>
      </c>
      <c r="AH56" t="s">
        <v>550</v>
      </c>
      <c r="AI56" t="s">
        <v>551</v>
      </c>
      <c r="AJ56" t="s">
        <v>552</v>
      </c>
    </row>
    <row r="57" spans="1:36" x14ac:dyDescent="0.2">
      <c r="A57" t="s">
        <v>217</v>
      </c>
      <c r="B57" t="s">
        <v>348</v>
      </c>
      <c r="C57" t="s">
        <v>39</v>
      </c>
      <c r="D57" t="s">
        <v>547</v>
      </c>
      <c r="E57" s="6" t="s">
        <v>28</v>
      </c>
      <c r="F57" s="6">
        <v>0.6</v>
      </c>
      <c r="G57" s="6" t="s">
        <v>30</v>
      </c>
      <c r="H57" s="6">
        <v>0.4</v>
      </c>
      <c r="I57" t="s">
        <v>557</v>
      </c>
      <c r="J57" t="s">
        <v>558</v>
      </c>
      <c r="L57" t="s">
        <v>46</v>
      </c>
      <c r="M57">
        <v>1</v>
      </c>
      <c r="P57" t="s">
        <v>1132</v>
      </c>
      <c r="Q57">
        <v>6</v>
      </c>
      <c r="R57" t="s">
        <v>1133</v>
      </c>
      <c r="S57">
        <v>4</v>
      </c>
      <c r="T57" t="s">
        <v>256</v>
      </c>
      <c r="V57" t="s">
        <v>148</v>
      </c>
      <c r="W57" t="s">
        <v>218</v>
      </c>
      <c r="Y57">
        <f t="shared" si="9"/>
        <v>0</v>
      </c>
      <c r="Z57">
        <f t="shared" si="10"/>
        <v>0</v>
      </c>
      <c r="AA57">
        <f t="shared" si="11"/>
        <v>0</v>
      </c>
      <c r="AB57">
        <f t="shared" si="12"/>
        <v>0</v>
      </c>
      <c r="AC57">
        <f t="shared" si="13"/>
        <v>0</v>
      </c>
      <c r="AD57">
        <f t="shared" si="14"/>
        <v>2.4</v>
      </c>
      <c r="AE57">
        <f t="shared" si="15"/>
        <v>1.6</v>
      </c>
      <c r="AF57">
        <f t="shared" si="16"/>
        <v>0</v>
      </c>
      <c r="AG57">
        <f t="shared" si="17"/>
        <v>0</v>
      </c>
      <c r="AH57" t="s">
        <v>550</v>
      </c>
      <c r="AI57" t="s">
        <v>551</v>
      </c>
      <c r="AJ57" t="s">
        <v>552</v>
      </c>
    </row>
    <row r="58" spans="1:36" x14ac:dyDescent="0.2">
      <c r="A58" t="s">
        <v>217</v>
      </c>
      <c r="B58" t="s">
        <v>349</v>
      </c>
      <c r="C58" t="s">
        <v>39</v>
      </c>
      <c r="D58" t="s">
        <v>547</v>
      </c>
      <c r="E58" s="6" t="s">
        <v>28</v>
      </c>
      <c r="F58" s="6">
        <v>0.5</v>
      </c>
      <c r="G58" s="6" t="s">
        <v>30</v>
      </c>
      <c r="H58" s="6">
        <v>0.5</v>
      </c>
      <c r="I58" t="s">
        <v>559</v>
      </c>
      <c r="J58" t="s">
        <v>560</v>
      </c>
      <c r="L58" t="s">
        <v>46</v>
      </c>
      <c r="M58">
        <v>1</v>
      </c>
      <c r="P58" t="s">
        <v>1134</v>
      </c>
      <c r="Q58">
        <v>1</v>
      </c>
      <c r="R58" t="s">
        <v>1135</v>
      </c>
      <c r="S58">
        <v>0</v>
      </c>
      <c r="T58" t="s">
        <v>253</v>
      </c>
      <c r="U58" t="s">
        <v>60</v>
      </c>
      <c r="V58" t="s">
        <v>72</v>
      </c>
      <c r="W58" t="s">
        <v>222</v>
      </c>
      <c r="Y58">
        <f t="shared" si="9"/>
        <v>0</v>
      </c>
      <c r="Z58">
        <f t="shared" si="10"/>
        <v>0</v>
      </c>
      <c r="AA58">
        <f t="shared" si="11"/>
        <v>0</v>
      </c>
      <c r="AB58">
        <f t="shared" si="12"/>
        <v>0</v>
      </c>
      <c r="AC58">
        <f t="shared" si="13"/>
        <v>0</v>
      </c>
      <c r="AD58">
        <f t="shared" si="14"/>
        <v>0</v>
      </c>
      <c r="AE58">
        <f t="shared" si="15"/>
        <v>0</v>
      </c>
      <c r="AF58">
        <f t="shared" si="16"/>
        <v>0</v>
      </c>
      <c r="AG58">
        <f t="shared" si="17"/>
        <v>0</v>
      </c>
      <c r="AH58" t="s">
        <v>561</v>
      </c>
      <c r="AI58" t="s">
        <v>562</v>
      </c>
      <c r="AJ58" t="s">
        <v>563</v>
      </c>
    </row>
    <row r="59" spans="1:36" x14ac:dyDescent="0.2">
      <c r="A59" t="s">
        <v>217</v>
      </c>
      <c r="B59" t="s">
        <v>349</v>
      </c>
      <c r="C59" t="s">
        <v>39</v>
      </c>
      <c r="D59" t="s">
        <v>547</v>
      </c>
      <c r="E59" s="6" t="s">
        <v>28</v>
      </c>
      <c r="F59" s="6">
        <v>0.5</v>
      </c>
      <c r="G59" s="6" t="s">
        <v>30</v>
      </c>
      <c r="H59" s="6">
        <v>0.5</v>
      </c>
      <c r="I59" t="s">
        <v>559</v>
      </c>
      <c r="J59" t="s">
        <v>560</v>
      </c>
      <c r="L59" t="s">
        <v>46</v>
      </c>
      <c r="M59">
        <v>1</v>
      </c>
      <c r="P59" t="s">
        <v>1136</v>
      </c>
      <c r="Q59">
        <v>2</v>
      </c>
      <c r="R59" t="s">
        <v>1137</v>
      </c>
      <c r="S59">
        <v>1</v>
      </c>
      <c r="T59" t="s">
        <v>253</v>
      </c>
      <c r="U59" t="s">
        <v>60</v>
      </c>
      <c r="V59" t="s">
        <v>72</v>
      </c>
      <c r="W59" t="s">
        <v>222</v>
      </c>
      <c r="Y59">
        <f t="shared" si="9"/>
        <v>0</v>
      </c>
      <c r="Z59">
        <f t="shared" si="10"/>
        <v>0</v>
      </c>
      <c r="AA59">
        <f t="shared" si="11"/>
        <v>0</v>
      </c>
      <c r="AB59">
        <f t="shared" si="12"/>
        <v>0</v>
      </c>
      <c r="AC59">
        <f t="shared" si="13"/>
        <v>0</v>
      </c>
      <c r="AD59">
        <f t="shared" si="14"/>
        <v>0.5</v>
      </c>
      <c r="AE59">
        <f t="shared" si="15"/>
        <v>0.5</v>
      </c>
      <c r="AF59">
        <f t="shared" si="16"/>
        <v>0</v>
      </c>
      <c r="AG59">
        <f t="shared" si="17"/>
        <v>0</v>
      </c>
      <c r="AH59" t="s">
        <v>561</v>
      </c>
      <c r="AI59" t="s">
        <v>562</v>
      </c>
      <c r="AJ59" t="s">
        <v>563</v>
      </c>
    </row>
    <row r="60" spans="1:36" x14ac:dyDescent="0.2">
      <c r="A60" t="s">
        <v>217</v>
      </c>
      <c r="B60" t="s">
        <v>349</v>
      </c>
      <c r="C60" t="s">
        <v>39</v>
      </c>
      <c r="D60" t="s">
        <v>547</v>
      </c>
      <c r="E60" s="6" t="s">
        <v>28</v>
      </c>
      <c r="F60" s="6">
        <v>0.5</v>
      </c>
      <c r="G60" s="6" t="s">
        <v>30</v>
      </c>
      <c r="H60" s="6">
        <v>0.5</v>
      </c>
      <c r="I60" t="s">
        <v>559</v>
      </c>
      <c r="J60" t="s">
        <v>560</v>
      </c>
      <c r="L60" t="s">
        <v>46</v>
      </c>
      <c r="M60">
        <v>1</v>
      </c>
      <c r="P60" t="s">
        <v>1138</v>
      </c>
      <c r="Q60">
        <v>3</v>
      </c>
      <c r="R60" t="s">
        <v>1139</v>
      </c>
      <c r="S60">
        <v>2</v>
      </c>
      <c r="T60" t="s">
        <v>266</v>
      </c>
      <c r="U60" t="s">
        <v>63</v>
      </c>
      <c r="V60" t="s">
        <v>91</v>
      </c>
      <c r="W60" t="s">
        <v>222</v>
      </c>
      <c r="Y60">
        <f t="shared" si="9"/>
        <v>0</v>
      </c>
      <c r="Z60">
        <f t="shared" si="10"/>
        <v>0</v>
      </c>
      <c r="AA60">
        <f t="shared" si="11"/>
        <v>0</v>
      </c>
      <c r="AB60">
        <f t="shared" si="12"/>
        <v>0</v>
      </c>
      <c r="AC60">
        <f t="shared" si="13"/>
        <v>0</v>
      </c>
      <c r="AD60">
        <f t="shared" si="14"/>
        <v>1</v>
      </c>
      <c r="AE60">
        <f t="shared" si="15"/>
        <v>1</v>
      </c>
      <c r="AF60">
        <f t="shared" si="16"/>
        <v>0</v>
      </c>
      <c r="AG60">
        <f t="shared" si="17"/>
        <v>0</v>
      </c>
      <c r="AH60" t="s">
        <v>561</v>
      </c>
      <c r="AI60" t="s">
        <v>562</v>
      </c>
      <c r="AJ60" t="s">
        <v>563</v>
      </c>
    </row>
    <row r="61" spans="1:36" x14ac:dyDescent="0.2">
      <c r="A61" t="s">
        <v>217</v>
      </c>
      <c r="B61" t="s">
        <v>350</v>
      </c>
      <c r="C61" t="s">
        <v>39</v>
      </c>
      <c r="D61" t="s">
        <v>547</v>
      </c>
      <c r="E61" s="6" t="s">
        <v>34</v>
      </c>
      <c r="F61" s="6">
        <v>1</v>
      </c>
      <c r="G61" s="6" t="s">
        <v>522</v>
      </c>
      <c r="I61" t="s">
        <v>564</v>
      </c>
      <c r="J61" t="s">
        <v>565</v>
      </c>
      <c r="L61" t="s">
        <v>48</v>
      </c>
      <c r="M61">
        <v>1</v>
      </c>
      <c r="P61" t="s">
        <v>1140</v>
      </c>
      <c r="Q61">
        <v>1</v>
      </c>
      <c r="R61" t="s">
        <v>1017</v>
      </c>
      <c r="S61">
        <v>0</v>
      </c>
      <c r="T61" t="s">
        <v>273</v>
      </c>
      <c r="U61" t="s">
        <v>65</v>
      </c>
      <c r="V61" t="s">
        <v>75</v>
      </c>
      <c r="W61" t="s">
        <v>222</v>
      </c>
      <c r="Y61">
        <f t="shared" si="9"/>
        <v>0</v>
      </c>
      <c r="Z61">
        <f t="shared" si="10"/>
        <v>0</v>
      </c>
      <c r="AA61">
        <f t="shared" si="11"/>
        <v>0</v>
      </c>
      <c r="AB61">
        <f t="shared" si="12"/>
        <v>0</v>
      </c>
      <c r="AC61">
        <f t="shared" si="13"/>
        <v>0</v>
      </c>
      <c r="AD61">
        <f t="shared" si="14"/>
        <v>0</v>
      </c>
      <c r="AE61">
        <f t="shared" si="15"/>
        <v>0</v>
      </c>
      <c r="AF61">
        <f t="shared" si="16"/>
        <v>0</v>
      </c>
      <c r="AG61">
        <f t="shared" si="17"/>
        <v>0</v>
      </c>
      <c r="AH61" t="s">
        <v>521</v>
      </c>
      <c r="AI61" t="s">
        <v>566</v>
      </c>
      <c r="AJ61" t="s">
        <v>567</v>
      </c>
    </row>
    <row r="62" spans="1:36" x14ac:dyDescent="0.2">
      <c r="A62" t="s">
        <v>217</v>
      </c>
      <c r="B62" t="s">
        <v>350</v>
      </c>
      <c r="C62" t="s">
        <v>39</v>
      </c>
      <c r="D62" t="s">
        <v>547</v>
      </c>
      <c r="E62" s="6" t="s">
        <v>34</v>
      </c>
      <c r="F62" s="6">
        <v>1</v>
      </c>
      <c r="G62" s="6" t="s">
        <v>522</v>
      </c>
      <c r="I62" t="s">
        <v>564</v>
      </c>
      <c r="J62" t="s">
        <v>565</v>
      </c>
      <c r="L62" t="s">
        <v>48</v>
      </c>
      <c r="M62">
        <v>1</v>
      </c>
      <c r="P62" t="s">
        <v>1141</v>
      </c>
      <c r="Q62">
        <v>2</v>
      </c>
      <c r="R62" t="s">
        <v>1142</v>
      </c>
      <c r="S62">
        <v>0</v>
      </c>
      <c r="T62" t="s">
        <v>180</v>
      </c>
      <c r="U62" t="s">
        <v>57</v>
      </c>
      <c r="V62" t="s">
        <v>90</v>
      </c>
      <c r="W62" t="s">
        <v>222</v>
      </c>
      <c r="Y62">
        <f t="shared" si="9"/>
        <v>0</v>
      </c>
      <c r="Z62">
        <f t="shared" si="10"/>
        <v>0</v>
      </c>
      <c r="AA62">
        <f t="shared" si="11"/>
        <v>0</v>
      </c>
      <c r="AB62">
        <f t="shared" si="12"/>
        <v>0</v>
      </c>
      <c r="AC62">
        <f t="shared" si="13"/>
        <v>0</v>
      </c>
      <c r="AD62">
        <f t="shared" si="14"/>
        <v>0</v>
      </c>
      <c r="AE62">
        <f t="shared" si="15"/>
        <v>0</v>
      </c>
      <c r="AF62">
        <f t="shared" si="16"/>
        <v>0</v>
      </c>
      <c r="AG62">
        <f t="shared" si="17"/>
        <v>0</v>
      </c>
      <c r="AH62" t="s">
        <v>521</v>
      </c>
      <c r="AI62" t="s">
        <v>566</v>
      </c>
      <c r="AJ62" t="s">
        <v>567</v>
      </c>
    </row>
    <row r="63" spans="1:36" x14ac:dyDescent="0.2">
      <c r="A63" t="s">
        <v>217</v>
      </c>
      <c r="B63" t="s">
        <v>350</v>
      </c>
      <c r="C63" t="s">
        <v>39</v>
      </c>
      <c r="D63" t="s">
        <v>547</v>
      </c>
      <c r="E63" s="6" t="s">
        <v>34</v>
      </c>
      <c r="F63" s="6">
        <v>1</v>
      </c>
      <c r="G63" s="6" t="s">
        <v>522</v>
      </c>
      <c r="I63" t="s">
        <v>564</v>
      </c>
      <c r="J63" t="s">
        <v>565</v>
      </c>
      <c r="L63" t="s">
        <v>48</v>
      </c>
      <c r="M63">
        <v>1</v>
      </c>
      <c r="P63" t="s">
        <v>1143</v>
      </c>
      <c r="Q63">
        <v>3</v>
      </c>
      <c r="R63" t="s">
        <v>1144</v>
      </c>
      <c r="S63">
        <v>1</v>
      </c>
      <c r="T63" t="s">
        <v>1145</v>
      </c>
      <c r="U63" t="s">
        <v>57</v>
      </c>
      <c r="V63" t="s">
        <v>90</v>
      </c>
      <c r="W63" t="s">
        <v>222</v>
      </c>
      <c r="Y63">
        <f t="shared" si="9"/>
        <v>0</v>
      </c>
      <c r="Z63">
        <f t="shared" si="10"/>
        <v>0</v>
      </c>
      <c r="AA63">
        <f t="shared" si="11"/>
        <v>0</v>
      </c>
      <c r="AB63">
        <f t="shared" si="12"/>
        <v>0</v>
      </c>
      <c r="AC63">
        <f t="shared" si="13"/>
        <v>0</v>
      </c>
      <c r="AD63">
        <f t="shared" si="14"/>
        <v>0</v>
      </c>
      <c r="AE63">
        <f t="shared" si="15"/>
        <v>0</v>
      </c>
      <c r="AF63">
        <f t="shared" si="16"/>
        <v>0</v>
      </c>
      <c r="AG63">
        <f t="shared" si="17"/>
        <v>1</v>
      </c>
      <c r="AH63" t="s">
        <v>521</v>
      </c>
      <c r="AI63" t="s">
        <v>566</v>
      </c>
      <c r="AJ63" t="s">
        <v>567</v>
      </c>
    </row>
    <row r="64" spans="1:36" x14ac:dyDescent="0.2">
      <c r="A64" t="s">
        <v>217</v>
      </c>
      <c r="B64" t="s">
        <v>350</v>
      </c>
      <c r="C64" t="s">
        <v>39</v>
      </c>
      <c r="D64" t="s">
        <v>547</v>
      </c>
      <c r="E64" s="6" t="s">
        <v>34</v>
      </c>
      <c r="F64" s="6">
        <v>1</v>
      </c>
      <c r="G64" s="6" t="s">
        <v>522</v>
      </c>
      <c r="I64" t="s">
        <v>564</v>
      </c>
      <c r="J64" t="s">
        <v>565</v>
      </c>
      <c r="L64" t="s">
        <v>48</v>
      </c>
      <c r="M64">
        <v>1</v>
      </c>
      <c r="P64" t="s">
        <v>1146</v>
      </c>
      <c r="Q64">
        <v>4</v>
      </c>
      <c r="R64" t="s">
        <v>1147</v>
      </c>
      <c r="S64">
        <v>2</v>
      </c>
      <c r="T64" t="s">
        <v>259</v>
      </c>
      <c r="U64" t="s">
        <v>61</v>
      </c>
      <c r="V64" t="s">
        <v>144</v>
      </c>
      <c r="W64" t="s">
        <v>222</v>
      </c>
      <c r="Y64">
        <f t="shared" si="9"/>
        <v>0</v>
      </c>
      <c r="Z64">
        <f t="shared" si="10"/>
        <v>0</v>
      </c>
      <c r="AA64">
        <f t="shared" si="11"/>
        <v>0</v>
      </c>
      <c r="AB64">
        <f t="shared" si="12"/>
        <v>0</v>
      </c>
      <c r="AC64">
        <f t="shared" si="13"/>
        <v>0</v>
      </c>
      <c r="AD64">
        <f t="shared" si="14"/>
        <v>0</v>
      </c>
      <c r="AE64">
        <f t="shared" si="15"/>
        <v>0</v>
      </c>
      <c r="AF64">
        <f t="shared" si="16"/>
        <v>0</v>
      </c>
      <c r="AG64">
        <f t="shared" si="17"/>
        <v>2</v>
      </c>
      <c r="AH64" t="s">
        <v>521</v>
      </c>
      <c r="AI64" t="s">
        <v>566</v>
      </c>
      <c r="AJ64" t="s">
        <v>567</v>
      </c>
    </row>
    <row r="65" spans="1:36" x14ac:dyDescent="0.2">
      <c r="A65" t="s">
        <v>217</v>
      </c>
      <c r="B65" t="s">
        <v>350</v>
      </c>
      <c r="C65" t="s">
        <v>39</v>
      </c>
      <c r="D65" t="s">
        <v>547</v>
      </c>
      <c r="E65" s="6" t="s">
        <v>34</v>
      </c>
      <c r="F65" s="6">
        <v>1</v>
      </c>
      <c r="G65" s="6" t="s">
        <v>522</v>
      </c>
      <c r="I65" t="s">
        <v>564</v>
      </c>
      <c r="J65" t="s">
        <v>565</v>
      </c>
      <c r="L65" t="s">
        <v>48</v>
      </c>
      <c r="M65">
        <v>1</v>
      </c>
      <c r="P65" t="s">
        <v>1148</v>
      </c>
      <c r="Q65">
        <v>5</v>
      </c>
      <c r="R65" t="s">
        <v>1149</v>
      </c>
      <c r="S65">
        <v>3</v>
      </c>
      <c r="T65" t="s">
        <v>243</v>
      </c>
      <c r="V65" t="s">
        <v>148</v>
      </c>
      <c r="W65" t="s">
        <v>218</v>
      </c>
      <c r="X65" t="s">
        <v>1150</v>
      </c>
      <c r="Y65">
        <f t="shared" si="9"/>
        <v>0</v>
      </c>
      <c r="Z65">
        <f t="shared" si="10"/>
        <v>0</v>
      </c>
      <c r="AA65">
        <f t="shared" si="11"/>
        <v>0</v>
      </c>
      <c r="AB65">
        <f t="shared" si="12"/>
        <v>0</v>
      </c>
      <c r="AC65">
        <f t="shared" si="13"/>
        <v>0</v>
      </c>
      <c r="AD65">
        <f t="shared" si="14"/>
        <v>0</v>
      </c>
      <c r="AE65">
        <f t="shared" si="15"/>
        <v>0</v>
      </c>
      <c r="AF65">
        <f t="shared" si="16"/>
        <v>0</v>
      </c>
      <c r="AG65">
        <f t="shared" si="17"/>
        <v>3</v>
      </c>
      <c r="AH65" t="s">
        <v>521</v>
      </c>
      <c r="AI65" t="s">
        <v>566</v>
      </c>
      <c r="AJ65" t="s">
        <v>567</v>
      </c>
    </row>
    <row r="66" spans="1:36" x14ac:dyDescent="0.2">
      <c r="A66" t="s">
        <v>217</v>
      </c>
      <c r="B66" t="s">
        <v>350</v>
      </c>
      <c r="C66" t="s">
        <v>39</v>
      </c>
      <c r="D66" t="s">
        <v>547</v>
      </c>
      <c r="E66" s="6" t="s">
        <v>34</v>
      </c>
      <c r="F66" s="6">
        <v>1</v>
      </c>
      <c r="G66" s="6" t="s">
        <v>522</v>
      </c>
      <c r="I66" t="s">
        <v>564</v>
      </c>
      <c r="J66" t="s">
        <v>565</v>
      </c>
      <c r="L66" t="s">
        <v>48</v>
      </c>
      <c r="M66">
        <v>1</v>
      </c>
      <c r="P66" t="s">
        <v>1151</v>
      </c>
      <c r="Q66">
        <v>6</v>
      </c>
      <c r="R66" t="s">
        <v>1152</v>
      </c>
      <c r="S66">
        <v>4</v>
      </c>
      <c r="T66" t="s">
        <v>256</v>
      </c>
      <c r="V66" t="s">
        <v>148</v>
      </c>
      <c r="W66" t="s">
        <v>218</v>
      </c>
      <c r="Y66">
        <f t="shared" ref="Y66:Y87" si="18">(S66*IF(E66="G",F66,0))+(S66*IF(G66="G",H66,0))</f>
        <v>0</v>
      </c>
      <c r="Z66">
        <f t="shared" ref="Z66:Z87" si="19">(S66*IF(E66="E",F66,0))+(S66*IF(G66="E",H66,0))</f>
        <v>0</v>
      </c>
      <c r="AA66">
        <f t="shared" ref="AA66:AA87" si="20">(S66*IF(E66="T",F66,0))+(S66*IF(G66="T",H66,0))</f>
        <v>0</v>
      </c>
      <c r="AB66">
        <f t="shared" ref="AB66:AB87" si="21">(S66*IF(E66="L",F66,0))+(S66*IF(G66="L",H66,0))</f>
        <v>0</v>
      </c>
      <c r="AC66">
        <f t="shared" ref="AC66:AC87" si="22">(S66*IF(E66="H",F66,0))+(S66*IF(G66="H",H66,0))</f>
        <v>0</v>
      </c>
      <c r="AD66">
        <f t="shared" ref="AD66:AD87" si="23">(S66*IF(E66="V",F66,0))+(S66*IF(G66="V",H66,0))</f>
        <v>0</v>
      </c>
      <c r="AE66">
        <f t="shared" ref="AE66:AE87" si="24">(S66*IF(E66="R",F66,0))+(S66*IF(G66="R",H66,0))</f>
        <v>0</v>
      </c>
      <c r="AF66">
        <f t="shared" ref="AF66:AF87" si="25">(S66*IF(E66="F",F66,0))+(S66*IF(G66="F",H66,0))</f>
        <v>0</v>
      </c>
      <c r="AG66">
        <f t="shared" ref="AG66:AG87" si="26">(S66*IF(E66="W",F66,0))+(S66*IF(G66="W",H66,0))</f>
        <v>4</v>
      </c>
      <c r="AH66" t="s">
        <v>521</v>
      </c>
      <c r="AI66" t="s">
        <v>566</v>
      </c>
      <c r="AJ66" t="s">
        <v>567</v>
      </c>
    </row>
    <row r="67" spans="1:36" x14ac:dyDescent="0.2">
      <c r="A67" t="s">
        <v>217</v>
      </c>
      <c r="B67" t="s">
        <v>351</v>
      </c>
      <c r="C67" t="s">
        <v>39</v>
      </c>
      <c r="D67" t="s">
        <v>547</v>
      </c>
      <c r="E67" s="6" t="s">
        <v>34</v>
      </c>
      <c r="F67" s="6">
        <v>1</v>
      </c>
      <c r="G67" s="6" t="s">
        <v>522</v>
      </c>
      <c r="I67" t="s">
        <v>568</v>
      </c>
      <c r="J67" t="s">
        <v>569</v>
      </c>
      <c r="L67" t="s">
        <v>48</v>
      </c>
      <c r="M67">
        <v>1</v>
      </c>
      <c r="P67" t="s">
        <v>1153</v>
      </c>
      <c r="Q67">
        <v>1</v>
      </c>
      <c r="R67" t="s">
        <v>1154</v>
      </c>
      <c r="S67">
        <v>0</v>
      </c>
      <c r="T67" t="s">
        <v>180</v>
      </c>
      <c r="U67" t="s">
        <v>57</v>
      </c>
      <c r="V67" t="s">
        <v>90</v>
      </c>
      <c r="W67" t="s">
        <v>222</v>
      </c>
      <c r="Y67">
        <f t="shared" si="18"/>
        <v>0</v>
      </c>
      <c r="Z67">
        <f t="shared" si="19"/>
        <v>0</v>
      </c>
      <c r="AA67">
        <f t="shared" si="20"/>
        <v>0</v>
      </c>
      <c r="AB67">
        <f t="shared" si="21"/>
        <v>0</v>
      </c>
      <c r="AC67">
        <f t="shared" si="22"/>
        <v>0</v>
      </c>
      <c r="AD67">
        <f t="shared" si="23"/>
        <v>0</v>
      </c>
      <c r="AE67">
        <f t="shared" si="24"/>
        <v>0</v>
      </c>
      <c r="AF67">
        <f t="shared" si="25"/>
        <v>0</v>
      </c>
      <c r="AG67">
        <f t="shared" si="26"/>
        <v>0</v>
      </c>
      <c r="AH67" t="s">
        <v>570</v>
      </c>
      <c r="AI67" t="s">
        <v>571</v>
      </c>
      <c r="AJ67" t="s">
        <v>572</v>
      </c>
    </row>
    <row r="68" spans="1:36" x14ac:dyDescent="0.2">
      <c r="A68" t="s">
        <v>217</v>
      </c>
      <c r="B68" t="s">
        <v>351</v>
      </c>
      <c r="C68" t="s">
        <v>39</v>
      </c>
      <c r="D68" t="s">
        <v>547</v>
      </c>
      <c r="E68" s="6" t="s">
        <v>34</v>
      </c>
      <c r="F68" s="6">
        <v>1</v>
      </c>
      <c r="G68" s="6" t="s">
        <v>522</v>
      </c>
      <c r="I68" t="s">
        <v>568</v>
      </c>
      <c r="J68" t="s">
        <v>569</v>
      </c>
      <c r="L68" t="s">
        <v>48</v>
      </c>
      <c r="M68">
        <v>1</v>
      </c>
      <c r="P68" t="s">
        <v>1155</v>
      </c>
      <c r="Q68">
        <v>2</v>
      </c>
      <c r="R68" t="s">
        <v>1156</v>
      </c>
      <c r="S68">
        <v>1</v>
      </c>
      <c r="T68" t="s">
        <v>180</v>
      </c>
      <c r="U68" t="s">
        <v>57</v>
      </c>
      <c r="V68" t="s">
        <v>90</v>
      </c>
      <c r="W68" t="s">
        <v>222</v>
      </c>
      <c r="Y68">
        <f t="shared" si="18"/>
        <v>0</v>
      </c>
      <c r="Z68">
        <f t="shared" si="19"/>
        <v>0</v>
      </c>
      <c r="AA68">
        <f t="shared" si="20"/>
        <v>0</v>
      </c>
      <c r="AB68">
        <f t="shared" si="21"/>
        <v>0</v>
      </c>
      <c r="AC68">
        <f t="shared" si="22"/>
        <v>0</v>
      </c>
      <c r="AD68">
        <f t="shared" si="23"/>
        <v>0</v>
      </c>
      <c r="AE68">
        <f t="shared" si="24"/>
        <v>0</v>
      </c>
      <c r="AF68">
        <f t="shared" si="25"/>
        <v>0</v>
      </c>
      <c r="AG68">
        <f t="shared" si="26"/>
        <v>1</v>
      </c>
      <c r="AH68" t="s">
        <v>570</v>
      </c>
      <c r="AI68" t="s">
        <v>571</v>
      </c>
      <c r="AJ68" t="s">
        <v>572</v>
      </c>
    </row>
    <row r="69" spans="1:36" x14ac:dyDescent="0.2">
      <c r="A69" t="s">
        <v>217</v>
      </c>
      <c r="B69" t="s">
        <v>351</v>
      </c>
      <c r="C69" t="s">
        <v>39</v>
      </c>
      <c r="D69" t="s">
        <v>547</v>
      </c>
      <c r="E69" s="6" t="s">
        <v>34</v>
      </c>
      <c r="F69" s="6">
        <v>1</v>
      </c>
      <c r="G69" s="6" t="s">
        <v>522</v>
      </c>
      <c r="I69" t="s">
        <v>568</v>
      </c>
      <c r="J69" t="s">
        <v>569</v>
      </c>
      <c r="L69" t="s">
        <v>48</v>
      </c>
      <c r="M69">
        <v>1</v>
      </c>
      <c r="P69" t="s">
        <v>1157</v>
      </c>
      <c r="Q69">
        <v>3</v>
      </c>
      <c r="R69" t="s">
        <v>1158</v>
      </c>
      <c r="S69">
        <v>2</v>
      </c>
      <c r="T69" t="s">
        <v>261</v>
      </c>
      <c r="V69" t="s">
        <v>144</v>
      </c>
      <c r="W69" t="s">
        <v>222</v>
      </c>
      <c r="Y69">
        <f t="shared" si="18"/>
        <v>0</v>
      </c>
      <c r="Z69">
        <f t="shared" si="19"/>
        <v>0</v>
      </c>
      <c r="AA69">
        <f t="shared" si="20"/>
        <v>0</v>
      </c>
      <c r="AB69">
        <f t="shared" si="21"/>
        <v>0</v>
      </c>
      <c r="AC69">
        <f t="shared" si="22"/>
        <v>0</v>
      </c>
      <c r="AD69">
        <f t="shared" si="23"/>
        <v>0</v>
      </c>
      <c r="AE69">
        <f t="shared" si="24"/>
        <v>0</v>
      </c>
      <c r="AF69">
        <f t="shared" si="25"/>
        <v>0</v>
      </c>
      <c r="AG69">
        <f t="shared" si="26"/>
        <v>2</v>
      </c>
      <c r="AH69" t="s">
        <v>570</v>
      </c>
      <c r="AI69" t="s">
        <v>571</v>
      </c>
      <c r="AJ69" t="s">
        <v>572</v>
      </c>
    </row>
    <row r="70" spans="1:36" x14ac:dyDescent="0.2">
      <c r="A70" t="s">
        <v>217</v>
      </c>
      <c r="B70" t="s">
        <v>351</v>
      </c>
      <c r="C70" t="s">
        <v>39</v>
      </c>
      <c r="D70" t="s">
        <v>547</v>
      </c>
      <c r="E70" s="6" t="s">
        <v>34</v>
      </c>
      <c r="F70" s="6">
        <v>1</v>
      </c>
      <c r="G70" s="6" t="s">
        <v>522</v>
      </c>
      <c r="I70" t="s">
        <v>568</v>
      </c>
      <c r="J70" t="s">
        <v>569</v>
      </c>
      <c r="L70" t="s">
        <v>48</v>
      </c>
      <c r="M70">
        <v>1</v>
      </c>
      <c r="P70" t="s">
        <v>1159</v>
      </c>
      <c r="Q70">
        <v>4</v>
      </c>
      <c r="R70" t="s">
        <v>1160</v>
      </c>
      <c r="S70">
        <v>3</v>
      </c>
      <c r="T70" t="s">
        <v>243</v>
      </c>
      <c r="V70" t="s">
        <v>148</v>
      </c>
      <c r="W70" t="s">
        <v>218</v>
      </c>
      <c r="X70" t="s">
        <v>1161</v>
      </c>
      <c r="Y70">
        <f t="shared" si="18"/>
        <v>0</v>
      </c>
      <c r="Z70">
        <f t="shared" si="19"/>
        <v>0</v>
      </c>
      <c r="AA70">
        <f t="shared" si="20"/>
        <v>0</v>
      </c>
      <c r="AB70">
        <f t="shared" si="21"/>
        <v>0</v>
      </c>
      <c r="AC70">
        <f t="shared" si="22"/>
        <v>0</v>
      </c>
      <c r="AD70">
        <f t="shared" si="23"/>
        <v>0</v>
      </c>
      <c r="AE70">
        <f t="shared" si="24"/>
        <v>0</v>
      </c>
      <c r="AF70">
        <f t="shared" si="25"/>
        <v>0</v>
      </c>
      <c r="AG70">
        <f t="shared" si="26"/>
        <v>3</v>
      </c>
      <c r="AH70" t="s">
        <v>570</v>
      </c>
      <c r="AI70" t="s">
        <v>571</v>
      </c>
      <c r="AJ70" t="s">
        <v>572</v>
      </c>
    </row>
    <row r="71" spans="1:36" x14ac:dyDescent="0.2">
      <c r="A71" t="s">
        <v>217</v>
      </c>
      <c r="B71" t="s">
        <v>352</v>
      </c>
      <c r="C71" t="s">
        <v>39</v>
      </c>
      <c r="D71" t="s">
        <v>547</v>
      </c>
      <c r="E71" s="6" t="s">
        <v>28</v>
      </c>
      <c r="F71" s="6">
        <v>0.6</v>
      </c>
      <c r="G71" s="6" t="s">
        <v>18</v>
      </c>
      <c r="H71" s="6">
        <v>0.4</v>
      </c>
      <c r="I71" t="s">
        <v>573</v>
      </c>
      <c r="J71" t="s">
        <v>574</v>
      </c>
      <c r="L71" t="s">
        <v>46</v>
      </c>
      <c r="M71">
        <v>1</v>
      </c>
      <c r="P71" t="s">
        <v>1162</v>
      </c>
      <c r="Q71">
        <v>1</v>
      </c>
      <c r="R71" t="s">
        <v>1017</v>
      </c>
      <c r="S71">
        <v>0</v>
      </c>
      <c r="T71" t="s">
        <v>273</v>
      </c>
      <c r="U71" t="s">
        <v>65</v>
      </c>
      <c r="V71" t="s">
        <v>80</v>
      </c>
      <c r="W71" t="s">
        <v>222</v>
      </c>
      <c r="Y71">
        <f t="shared" si="18"/>
        <v>0</v>
      </c>
      <c r="Z71">
        <f t="shared" si="19"/>
        <v>0</v>
      </c>
      <c r="AA71">
        <f t="shared" si="20"/>
        <v>0</v>
      </c>
      <c r="AB71">
        <f t="shared" si="21"/>
        <v>0</v>
      </c>
      <c r="AC71">
        <f t="shared" si="22"/>
        <v>0</v>
      </c>
      <c r="AD71">
        <f t="shared" si="23"/>
        <v>0</v>
      </c>
      <c r="AE71">
        <f t="shared" si="24"/>
        <v>0</v>
      </c>
      <c r="AF71">
        <f t="shared" si="25"/>
        <v>0</v>
      </c>
      <c r="AG71">
        <f t="shared" si="26"/>
        <v>0</v>
      </c>
      <c r="AH71" t="s">
        <v>530</v>
      </c>
      <c r="AI71" t="s">
        <v>531</v>
      </c>
      <c r="AJ71" t="s">
        <v>532</v>
      </c>
    </row>
    <row r="72" spans="1:36" x14ac:dyDescent="0.2">
      <c r="A72" t="s">
        <v>217</v>
      </c>
      <c r="B72" t="s">
        <v>352</v>
      </c>
      <c r="C72" t="s">
        <v>39</v>
      </c>
      <c r="D72" t="s">
        <v>547</v>
      </c>
      <c r="E72" s="6" t="s">
        <v>28</v>
      </c>
      <c r="F72" s="6">
        <v>0.6</v>
      </c>
      <c r="G72" s="6" t="s">
        <v>18</v>
      </c>
      <c r="H72" s="6">
        <v>0.4</v>
      </c>
      <c r="I72" t="s">
        <v>573</v>
      </c>
      <c r="J72" t="s">
        <v>574</v>
      </c>
      <c r="L72" t="s">
        <v>46</v>
      </c>
      <c r="M72">
        <v>1</v>
      </c>
      <c r="P72" t="s">
        <v>1163</v>
      </c>
      <c r="Q72">
        <v>2</v>
      </c>
      <c r="R72" t="s">
        <v>1164</v>
      </c>
      <c r="S72">
        <v>0</v>
      </c>
      <c r="T72" t="s">
        <v>270</v>
      </c>
      <c r="U72" t="s">
        <v>66</v>
      </c>
      <c r="V72" t="s">
        <v>117</v>
      </c>
      <c r="W72" t="s">
        <v>222</v>
      </c>
      <c r="Y72">
        <f t="shared" si="18"/>
        <v>0</v>
      </c>
      <c r="Z72">
        <f t="shared" si="19"/>
        <v>0</v>
      </c>
      <c r="AA72">
        <f t="shared" si="20"/>
        <v>0</v>
      </c>
      <c r="AB72">
        <f t="shared" si="21"/>
        <v>0</v>
      </c>
      <c r="AC72">
        <f t="shared" si="22"/>
        <v>0</v>
      </c>
      <c r="AD72">
        <f t="shared" si="23"/>
        <v>0</v>
      </c>
      <c r="AE72">
        <f t="shared" si="24"/>
        <v>0</v>
      </c>
      <c r="AF72">
        <f t="shared" si="25"/>
        <v>0</v>
      </c>
      <c r="AG72">
        <f t="shared" si="26"/>
        <v>0</v>
      </c>
      <c r="AH72" t="s">
        <v>530</v>
      </c>
      <c r="AI72" t="s">
        <v>531</v>
      </c>
      <c r="AJ72" t="s">
        <v>532</v>
      </c>
    </row>
    <row r="73" spans="1:36" x14ac:dyDescent="0.2">
      <c r="A73" t="s">
        <v>217</v>
      </c>
      <c r="B73" t="s">
        <v>352</v>
      </c>
      <c r="C73" t="s">
        <v>39</v>
      </c>
      <c r="D73" t="s">
        <v>547</v>
      </c>
      <c r="E73" s="6" t="s">
        <v>28</v>
      </c>
      <c r="F73" s="6">
        <v>0.6</v>
      </c>
      <c r="G73" s="6" t="s">
        <v>18</v>
      </c>
      <c r="H73" s="6">
        <v>0.4</v>
      </c>
      <c r="I73" t="s">
        <v>573</v>
      </c>
      <c r="J73" t="s">
        <v>574</v>
      </c>
      <c r="L73" t="s">
        <v>46</v>
      </c>
      <c r="M73">
        <v>1</v>
      </c>
      <c r="P73" t="s">
        <v>1165</v>
      </c>
      <c r="Q73">
        <v>3</v>
      </c>
      <c r="R73" t="s">
        <v>1166</v>
      </c>
      <c r="S73">
        <v>1</v>
      </c>
      <c r="T73" t="s">
        <v>172</v>
      </c>
      <c r="U73" t="s">
        <v>61</v>
      </c>
      <c r="V73" t="s">
        <v>170</v>
      </c>
      <c r="W73" t="s">
        <v>222</v>
      </c>
      <c r="Y73">
        <f t="shared" si="18"/>
        <v>0.4</v>
      </c>
      <c r="Z73">
        <f t="shared" si="19"/>
        <v>0</v>
      </c>
      <c r="AA73">
        <f t="shared" si="20"/>
        <v>0</v>
      </c>
      <c r="AB73">
        <f t="shared" si="21"/>
        <v>0</v>
      </c>
      <c r="AC73">
        <f t="shared" si="22"/>
        <v>0</v>
      </c>
      <c r="AD73">
        <f t="shared" si="23"/>
        <v>0.6</v>
      </c>
      <c r="AE73">
        <f t="shared" si="24"/>
        <v>0</v>
      </c>
      <c r="AF73">
        <f t="shared" si="25"/>
        <v>0</v>
      </c>
      <c r="AG73">
        <f t="shared" si="26"/>
        <v>0</v>
      </c>
      <c r="AH73" t="s">
        <v>530</v>
      </c>
      <c r="AI73" t="s">
        <v>531</v>
      </c>
      <c r="AJ73" t="s">
        <v>532</v>
      </c>
    </row>
    <row r="74" spans="1:36" x14ac:dyDescent="0.2">
      <c r="A74" t="s">
        <v>217</v>
      </c>
      <c r="B74" t="s">
        <v>352</v>
      </c>
      <c r="C74" t="s">
        <v>39</v>
      </c>
      <c r="D74" t="s">
        <v>547</v>
      </c>
      <c r="E74" s="6" t="s">
        <v>28</v>
      </c>
      <c r="F74" s="6">
        <v>0.6</v>
      </c>
      <c r="G74" s="6" t="s">
        <v>18</v>
      </c>
      <c r="H74" s="6">
        <v>0.4</v>
      </c>
      <c r="I74" t="s">
        <v>573</v>
      </c>
      <c r="J74" t="s">
        <v>574</v>
      </c>
      <c r="L74" t="s">
        <v>46</v>
      </c>
      <c r="M74">
        <v>1</v>
      </c>
      <c r="P74" t="s">
        <v>1167</v>
      </c>
      <c r="Q74">
        <v>4</v>
      </c>
      <c r="R74" t="s">
        <v>1168</v>
      </c>
      <c r="S74">
        <v>2</v>
      </c>
      <c r="T74" t="s">
        <v>245</v>
      </c>
      <c r="U74" t="s">
        <v>60</v>
      </c>
      <c r="V74" t="s">
        <v>162</v>
      </c>
      <c r="W74" t="s">
        <v>222</v>
      </c>
      <c r="Y74">
        <f t="shared" si="18"/>
        <v>0.8</v>
      </c>
      <c r="Z74">
        <f t="shared" si="19"/>
        <v>0</v>
      </c>
      <c r="AA74">
        <f t="shared" si="20"/>
        <v>0</v>
      </c>
      <c r="AB74">
        <f t="shared" si="21"/>
        <v>0</v>
      </c>
      <c r="AC74">
        <f t="shared" si="22"/>
        <v>0</v>
      </c>
      <c r="AD74">
        <f t="shared" si="23"/>
        <v>1.2</v>
      </c>
      <c r="AE74">
        <f t="shared" si="24"/>
        <v>0</v>
      </c>
      <c r="AF74">
        <f t="shared" si="25"/>
        <v>0</v>
      </c>
      <c r="AG74">
        <f t="shared" si="26"/>
        <v>0</v>
      </c>
      <c r="AH74" t="s">
        <v>530</v>
      </c>
      <c r="AI74" t="s">
        <v>531</v>
      </c>
      <c r="AJ74" t="s">
        <v>532</v>
      </c>
    </row>
    <row r="75" spans="1:36" x14ac:dyDescent="0.2">
      <c r="A75" t="s">
        <v>217</v>
      </c>
      <c r="B75" t="s">
        <v>352</v>
      </c>
      <c r="C75" t="s">
        <v>39</v>
      </c>
      <c r="D75" t="s">
        <v>547</v>
      </c>
      <c r="E75" s="6" t="s">
        <v>28</v>
      </c>
      <c r="F75" s="6">
        <v>0.6</v>
      </c>
      <c r="G75" s="6" t="s">
        <v>18</v>
      </c>
      <c r="H75" s="6">
        <v>0.4</v>
      </c>
      <c r="I75" t="s">
        <v>573</v>
      </c>
      <c r="J75" t="s">
        <v>574</v>
      </c>
      <c r="L75" t="s">
        <v>46</v>
      </c>
      <c r="M75">
        <v>1</v>
      </c>
      <c r="P75" t="s">
        <v>1169</v>
      </c>
      <c r="Q75">
        <v>5</v>
      </c>
      <c r="R75" t="s">
        <v>1170</v>
      </c>
      <c r="S75">
        <v>3</v>
      </c>
      <c r="T75" t="s">
        <v>243</v>
      </c>
      <c r="V75" t="s">
        <v>148</v>
      </c>
      <c r="W75" t="s">
        <v>218</v>
      </c>
      <c r="Y75">
        <f t="shared" si="18"/>
        <v>1.2000000000000002</v>
      </c>
      <c r="Z75">
        <f t="shared" si="19"/>
        <v>0</v>
      </c>
      <c r="AA75">
        <f t="shared" si="20"/>
        <v>0</v>
      </c>
      <c r="AB75">
        <f t="shared" si="21"/>
        <v>0</v>
      </c>
      <c r="AC75">
        <f t="shared" si="22"/>
        <v>0</v>
      </c>
      <c r="AD75">
        <f t="shared" si="23"/>
        <v>1.7999999999999998</v>
      </c>
      <c r="AE75">
        <f t="shared" si="24"/>
        <v>0</v>
      </c>
      <c r="AF75">
        <f t="shared" si="25"/>
        <v>0</v>
      </c>
      <c r="AG75">
        <f t="shared" si="26"/>
        <v>0</v>
      </c>
      <c r="AH75" t="s">
        <v>530</v>
      </c>
      <c r="AI75" t="s">
        <v>531</v>
      </c>
      <c r="AJ75" t="s">
        <v>532</v>
      </c>
    </row>
    <row r="76" spans="1:36" x14ac:dyDescent="0.2">
      <c r="A76" t="s">
        <v>217</v>
      </c>
      <c r="B76" t="s">
        <v>352</v>
      </c>
      <c r="C76" t="s">
        <v>39</v>
      </c>
      <c r="D76" t="s">
        <v>547</v>
      </c>
      <c r="E76" s="6" t="s">
        <v>28</v>
      </c>
      <c r="F76" s="6">
        <v>0.6</v>
      </c>
      <c r="G76" s="6" t="s">
        <v>18</v>
      </c>
      <c r="H76" s="6">
        <v>0.4</v>
      </c>
      <c r="I76" t="s">
        <v>573</v>
      </c>
      <c r="J76" t="s">
        <v>574</v>
      </c>
      <c r="L76" t="s">
        <v>46</v>
      </c>
      <c r="M76">
        <v>1</v>
      </c>
      <c r="P76" t="s">
        <v>1171</v>
      </c>
      <c r="Q76">
        <v>6</v>
      </c>
      <c r="R76" t="s">
        <v>1172</v>
      </c>
      <c r="S76">
        <v>4</v>
      </c>
      <c r="T76" t="s">
        <v>256</v>
      </c>
      <c r="V76" t="s">
        <v>148</v>
      </c>
      <c r="W76" t="s">
        <v>218</v>
      </c>
      <c r="Y76">
        <f t="shared" si="18"/>
        <v>1.6</v>
      </c>
      <c r="Z76">
        <f t="shared" si="19"/>
        <v>0</v>
      </c>
      <c r="AA76">
        <f t="shared" si="20"/>
        <v>0</v>
      </c>
      <c r="AB76">
        <f t="shared" si="21"/>
        <v>0</v>
      </c>
      <c r="AC76">
        <f t="shared" si="22"/>
        <v>0</v>
      </c>
      <c r="AD76">
        <f t="shared" si="23"/>
        <v>2.4</v>
      </c>
      <c r="AE76">
        <f t="shared" si="24"/>
        <v>0</v>
      </c>
      <c r="AF76">
        <f t="shared" si="25"/>
        <v>0</v>
      </c>
      <c r="AG76">
        <f t="shared" si="26"/>
        <v>0</v>
      </c>
      <c r="AH76" t="s">
        <v>530</v>
      </c>
      <c r="AI76" t="s">
        <v>531</v>
      </c>
      <c r="AJ76" t="s">
        <v>532</v>
      </c>
    </row>
    <row r="77" spans="1:36" x14ac:dyDescent="0.2">
      <c r="A77" t="s">
        <v>217</v>
      </c>
      <c r="B77" t="s">
        <v>353</v>
      </c>
      <c r="C77" t="s">
        <v>37</v>
      </c>
      <c r="D77" t="s">
        <v>575</v>
      </c>
      <c r="E77" s="6" t="s">
        <v>24</v>
      </c>
      <c r="F77" s="6">
        <v>0.8</v>
      </c>
      <c r="G77" s="6" t="s">
        <v>18</v>
      </c>
      <c r="H77" s="6">
        <v>0.2</v>
      </c>
      <c r="I77" t="s">
        <v>576</v>
      </c>
      <c r="J77" t="s">
        <v>577</v>
      </c>
      <c r="L77" t="s">
        <v>52</v>
      </c>
      <c r="M77">
        <v>1</v>
      </c>
      <c r="P77" t="s">
        <v>1173</v>
      </c>
      <c r="Q77">
        <v>1</v>
      </c>
      <c r="R77" t="s">
        <v>1017</v>
      </c>
      <c r="S77">
        <v>0</v>
      </c>
      <c r="T77" t="s">
        <v>273</v>
      </c>
      <c r="U77" t="s">
        <v>65</v>
      </c>
      <c r="V77" t="s">
        <v>138</v>
      </c>
      <c r="W77" t="s">
        <v>222</v>
      </c>
      <c r="Y77">
        <f t="shared" si="18"/>
        <v>0</v>
      </c>
      <c r="Z77">
        <f t="shared" si="19"/>
        <v>0</v>
      </c>
      <c r="AA77">
        <f t="shared" si="20"/>
        <v>0</v>
      </c>
      <c r="AB77">
        <f t="shared" si="21"/>
        <v>0</v>
      </c>
      <c r="AC77">
        <f t="shared" si="22"/>
        <v>0</v>
      </c>
      <c r="AD77">
        <f t="shared" si="23"/>
        <v>0</v>
      </c>
      <c r="AE77">
        <f t="shared" si="24"/>
        <v>0</v>
      </c>
      <c r="AF77">
        <f t="shared" si="25"/>
        <v>0</v>
      </c>
      <c r="AG77">
        <f t="shared" si="26"/>
        <v>0</v>
      </c>
      <c r="AH77" t="s">
        <v>521</v>
      </c>
      <c r="AI77" t="s">
        <v>525</v>
      </c>
      <c r="AJ77" t="s">
        <v>578</v>
      </c>
    </row>
    <row r="78" spans="1:36" x14ac:dyDescent="0.2">
      <c r="A78" t="s">
        <v>217</v>
      </c>
      <c r="B78" t="s">
        <v>353</v>
      </c>
      <c r="C78" t="s">
        <v>37</v>
      </c>
      <c r="D78" t="s">
        <v>575</v>
      </c>
      <c r="E78" s="6" t="s">
        <v>24</v>
      </c>
      <c r="F78" s="6">
        <v>0.8</v>
      </c>
      <c r="G78" s="6" t="s">
        <v>18</v>
      </c>
      <c r="H78" s="6">
        <v>0.2</v>
      </c>
      <c r="I78" t="s">
        <v>576</v>
      </c>
      <c r="J78" t="s">
        <v>577</v>
      </c>
      <c r="L78" t="s">
        <v>52</v>
      </c>
      <c r="M78">
        <v>1</v>
      </c>
      <c r="P78" t="s">
        <v>1174</v>
      </c>
      <c r="Q78">
        <v>2</v>
      </c>
      <c r="R78" t="s">
        <v>1175</v>
      </c>
      <c r="S78">
        <v>0</v>
      </c>
      <c r="T78" t="s">
        <v>249</v>
      </c>
      <c r="U78" t="s">
        <v>59</v>
      </c>
      <c r="V78" t="s">
        <v>139</v>
      </c>
      <c r="W78" t="s">
        <v>222</v>
      </c>
      <c r="Y78">
        <f t="shared" si="18"/>
        <v>0</v>
      </c>
      <c r="Z78">
        <f t="shared" si="19"/>
        <v>0</v>
      </c>
      <c r="AA78">
        <f t="shared" si="20"/>
        <v>0</v>
      </c>
      <c r="AB78">
        <f t="shared" si="21"/>
        <v>0</v>
      </c>
      <c r="AC78">
        <f t="shared" si="22"/>
        <v>0</v>
      </c>
      <c r="AD78">
        <f t="shared" si="23"/>
        <v>0</v>
      </c>
      <c r="AE78">
        <f t="shared" si="24"/>
        <v>0</v>
      </c>
      <c r="AF78">
        <f t="shared" si="25"/>
        <v>0</v>
      </c>
      <c r="AG78">
        <f t="shared" si="26"/>
        <v>0</v>
      </c>
      <c r="AH78" t="s">
        <v>521</v>
      </c>
      <c r="AI78" t="s">
        <v>525</v>
      </c>
      <c r="AJ78" t="s">
        <v>578</v>
      </c>
    </row>
    <row r="79" spans="1:36" x14ac:dyDescent="0.2">
      <c r="A79" t="s">
        <v>217</v>
      </c>
      <c r="B79" t="s">
        <v>353</v>
      </c>
      <c r="C79" t="s">
        <v>37</v>
      </c>
      <c r="D79" t="s">
        <v>575</v>
      </c>
      <c r="E79" s="6" t="s">
        <v>24</v>
      </c>
      <c r="F79" s="6">
        <v>0.8</v>
      </c>
      <c r="G79" s="6" t="s">
        <v>18</v>
      </c>
      <c r="H79" s="6">
        <v>0.2</v>
      </c>
      <c r="I79" t="s">
        <v>576</v>
      </c>
      <c r="J79" t="s">
        <v>577</v>
      </c>
      <c r="L79" t="s">
        <v>52</v>
      </c>
      <c r="M79">
        <v>1</v>
      </c>
      <c r="P79" t="s">
        <v>1176</v>
      </c>
      <c r="Q79">
        <v>3</v>
      </c>
      <c r="R79" t="s">
        <v>1177</v>
      </c>
      <c r="S79">
        <v>1</v>
      </c>
      <c r="T79" t="s">
        <v>1178</v>
      </c>
      <c r="U79" t="s">
        <v>59</v>
      </c>
      <c r="V79" t="s">
        <v>139</v>
      </c>
      <c r="W79" t="s">
        <v>222</v>
      </c>
      <c r="Y79">
        <f t="shared" si="18"/>
        <v>0.2</v>
      </c>
      <c r="Z79">
        <f t="shared" si="19"/>
        <v>0</v>
      </c>
      <c r="AA79">
        <f t="shared" si="20"/>
        <v>0</v>
      </c>
      <c r="AB79">
        <f t="shared" si="21"/>
        <v>0.8</v>
      </c>
      <c r="AC79">
        <f t="shared" si="22"/>
        <v>0</v>
      </c>
      <c r="AD79">
        <f t="shared" si="23"/>
        <v>0</v>
      </c>
      <c r="AE79">
        <f t="shared" si="24"/>
        <v>0</v>
      </c>
      <c r="AF79">
        <f t="shared" si="25"/>
        <v>0</v>
      </c>
      <c r="AG79">
        <f t="shared" si="26"/>
        <v>0</v>
      </c>
      <c r="AH79" t="s">
        <v>521</v>
      </c>
      <c r="AI79" t="s">
        <v>525</v>
      </c>
      <c r="AJ79" t="s">
        <v>578</v>
      </c>
    </row>
    <row r="80" spans="1:36" x14ac:dyDescent="0.2">
      <c r="A80" t="s">
        <v>217</v>
      </c>
      <c r="B80" t="s">
        <v>353</v>
      </c>
      <c r="C80" t="s">
        <v>37</v>
      </c>
      <c r="D80" t="s">
        <v>575</v>
      </c>
      <c r="E80" s="6" t="s">
        <v>24</v>
      </c>
      <c r="F80" s="6">
        <v>0.8</v>
      </c>
      <c r="G80" s="6" t="s">
        <v>18</v>
      </c>
      <c r="H80" s="6">
        <v>0.2</v>
      </c>
      <c r="I80" t="s">
        <v>576</v>
      </c>
      <c r="J80" t="s">
        <v>577</v>
      </c>
      <c r="L80" t="s">
        <v>52</v>
      </c>
      <c r="M80">
        <v>1</v>
      </c>
      <c r="P80" t="s">
        <v>1179</v>
      </c>
      <c r="Q80">
        <v>4</v>
      </c>
      <c r="R80" t="s">
        <v>1180</v>
      </c>
      <c r="S80">
        <v>2</v>
      </c>
      <c r="T80" t="s">
        <v>172</v>
      </c>
      <c r="U80" t="s">
        <v>61</v>
      </c>
      <c r="V80" t="s">
        <v>73</v>
      </c>
      <c r="W80" t="s">
        <v>218</v>
      </c>
      <c r="Y80">
        <f t="shared" si="18"/>
        <v>0.4</v>
      </c>
      <c r="Z80">
        <f t="shared" si="19"/>
        <v>0</v>
      </c>
      <c r="AA80">
        <f t="shared" si="20"/>
        <v>0</v>
      </c>
      <c r="AB80">
        <f t="shared" si="21"/>
        <v>1.6</v>
      </c>
      <c r="AC80">
        <f t="shared" si="22"/>
        <v>0</v>
      </c>
      <c r="AD80">
        <f t="shared" si="23"/>
        <v>0</v>
      </c>
      <c r="AE80">
        <f t="shared" si="24"/>
        <v>0</v>
      </c>
      <c r="AF80">
        <f t="shared" si="25"/>
        <v>0</v>
      </c>
      <c r="AG80">
        <f t="shared" si="26"/>
        <v>0</v>
      </c>
      <c r="AH80" t="s">
        <v>521</v>
      </c>
      <c r="AI80" t="s">
        <v>525</v>
      </c>
      <c r="AJ80" t="s">
        <v>578</v>
      </c>
    </row>
    <row r="81" spans="1:36" x14ac:dyDescent="0.2">
      <c r="A81" t="s">
        <v>217</v>
      </c>
      <c r="B81" t="s">
        <v>353</v>
      </c>
      <c r="C81" t="s">
        <v>37</v>
      </c>
      <c r="D81" t="s">
        <v>575</v>
      </c>
      <c r="E81" s="6" t="s">
        <v>24</v>
      </c>
      <c r="F81" s="6">
        <v>0.8</v>
      </c>
      <c r="G81" s="6" t="s">
        <v>18</v>
      </c>
      <c r="H81" s="6">
        <v>0.2</v>
      </c>
      <c r="I81" t="s">
        <v>576</v>
      </c>
      <c r="J81" t="s">
        <v>577</v>
      </c>
      <c r="L81" t="s">
        <v>52</v>
      </c>
      <c r="M81">
        <v>1</v>
      </c>
      <c r="P81" t="s">
        <v>1181</v>
      </c>
      <c r="Q81">
        <v>5</v>
      </c>
      <c r="R81" t="s">
        <v>1182</v>
      </c>
      <c r="S81">
        <v>3</v>
      </c>
      <c r="T81" t="s">
        <v>243</v>
      </c>
      <c r="V81" t="s">
        <v>148</v>
      </c>
      <c r="W81" t="s">
        <v>218</v>
      </c>
      <c r="X81" t="s">
        <v>1183</v>
      </c>
      <c r="Y81">
        <f t="shared" si="18"/>
        <v>0.60000000000000009</v>
      </c>
      <c r="Z81">
        <f t="shared" si="19"/>
        <v>0</v>
      </c>
      <c r="AA81">
        <f t="shared" si="20"/>
        <v>0</v>
      </c>
      <c r="AB81">
        <f t="shared" si="21"/>
        <v>2.4000000000000004</v>
      </c>
      <c r="AC81">
        <f t="shared" si="22"/>
        <v>0</v>
      </c>
      <c r="AD81">
        <f t="shared" si="23"/>
        <v>0</v>
      </c>
      <c r="AE81">
        <f t="shared" si="24"/>
        <v>0</v>
      </c>
      <c r="AF81">
        <f t="shared" si="25"/>
        <v>0</v>
      </c>
      <c r="AG81">
        <f t="shared" si="26"/>
        <v>0</v>
      </c>
      <c r="AH81" t="s">
        <v>521</v>
      </c>
      <c r="AI81" t="s">
        <v>525</v>
      </c>
      <c r="AJ81" t="s">
        <v>578</v>
      </c>
    </row>
    <row r="82" spans="1:36" x14ac:dyDescent="0.2">
      <c r="A82" t="s">
        <v>217</v>
      </c>
      <c r="B82" t="s">
        <v>353</v>
      </c>
      <c r="C82" t="s">
        <v>37</v>
      </c>
      <c r="D82" t="s">
        <v>575</v>
      </c>
      <c r="E82" s="6" t="s">
        <v>24</v>
      </c>
      <c r="F82" s="6">
        <v>0.8</v>
      </c>
      <c r="G82" s="6" t="s">
        <v>18</v>
      </c>
      <c r="H82" s="6">
        <v>0.2</v>
      </c>
      <c r="I82" t="s">
        <v>576</v>
      </c>
      <c r="J82" t="s">
        <v>577</v>
      </c>
      <c r="L82" t="s">
        <v>52</v>
      </c>
      <c r="M82">
        <v>1</v>
      </c>
      <c r="P82" t="s">
        <v>1184</v>
      </c>
      <c r="Q82">
        <v>6</v>
      </c>
      <c r="R82" t="s">
        <v>1185</v>
      </c>
      <c r="S82">
        <v>4</v>
      </c>
      <c r="T82" t="s">
        <v>256</v>
      </c>
      <c r="V82" t="s">
        <v>148</v>
      </c>
      <c r="W82" t="s">
        <v>218</v>
      </c>
      <c r="Y82">
        <f t="shared" si="18"/>
        <v>0.8</v>
      </c>
      <c r="Z82">
        <f t="shared" si="19"/>
        <v>0</v>
      </c>
      <c r="AA82">
        <f t="shared" si="20"/>
        <v>0</v>
      </c>
      <c r="AB82">
        <f t="shared" si="21"/>
        <v>3.2</v>
      </c>
      <c r="AC82">
        <f t="shared" si="22"/>
        <v>0</v>
      </c>
      <c r="AD82">
        <f t="shared" si="23"/>
        <v>0</v>
      </c>
      <c r="AE82">
        <f t="shared" si="24"/>
        <v>0</v>
      </c>
      <c r="AF82">
        <f t="shared" si="25"/>
        <v>0</v>
      </c>
      <c r="AG82">
        <f t="shared" si="26"/>
        <v>0</v>
      </c>
      <c r="AH82" t="s">
        <v>521</v>
      </c>
      <c r="AI82" t="s">
        <v>525</v>
      </c>
      <c r="AJ82" t="s">
        <v>578</v>
      </c>
    </row>
    <row r="83" spans="1:36" x14ac:dyDescent="0.2">
      <c r="A83" t="s">
        <v>217</v>
      </c>
      <c r="B83" t="s">
        <v>354</v>
      </c>
      <c r="C83" t="s">
        <v>39</v>
      </c>
      <c r="D83" t="s">
        <v>575</v>
      </c>
      <c r="E83" s="6" t="s">
        <v>24</v>
      </c>
      <c r="F83" s="6">
        <v>0.5</v>
      </c>
      <c r="G83" s="6" t="s">
        <v>26</v>
      </c>
      <c r="H83" s="6">
        <v>0.5</v>
      </c>
      <c r="I83" t="s">
        <v>579</v>
      </c>
      <c r="J83" t="s">
        <v>580</v>
      </c>
      <c r="L83" t="s">
        <v>52</v>
      </c>
      <c r="M83">
        <v>1</v>
      </c>
      <c r="P83" t="s">
        <v>1186</v>
      </c>
      <c r="Q83">
        <v>1</v>
      </c>
      <c r="R83" t="s">
        <v>1187</v>
      </c>
      <c r="S83">
        <v>0</v>
      </c>
      <c r="T83" t="s">
        <v>1188</v>
      </c>
      <c r="U83" t="s">
        <v>64</v>
      </c>
      <c r="V83" t="s">
        <v>167</v>
      </c>
      <c r="W83" t="s">
        <v>222</v>
      </c>
      <c r="Y83">
        <f t="shared" si="18"/>
        <v>0</v>
      </c>
      <c r="Z83">
        <f t="shared" si="19"/>
        <v>0</v>
      </c>
      <c r="AA83">
        <f t="shared" si="20"/>
        <v>0</v>
      </c>
      <c r="AB83">
        <f t="shared" si="21"/>
        <v>0</v>
      </c>
      <c r="AC83">
        <f t="shared" si="22"/>
        <v>0</v>
      </c>
      <c r="AD83">
        <f t="shared" si="23"/>
        <v>0</v>
      </c>
      <c r="AE83">
        <f t="shared" si="24"/>
        <v>0</v>
      </c>
      <c r="AF83">
        <f t="shared" si="25"/>
        <v>0</v>
      </c>
      <c r="AG83">
        <f t="shared" si="26"/>
        <v>0</v>
      </c>
      <c r="AH83" t="s">
        <v>530</v>
      </c>
      <c r="AI83" t="s">
        <v>581</v>
      </c>
      <c r="AJ83" t="s">
        <v>582</v>
      </c>
    </row>
    <row r="84" spans="1:36" x14ac:dyDescent="0.2">
      <c r="A84" t="s">
        <v>217</v>
      </c>
      <c r="B84" t="s">
        <v>354</v>
      </c>
      <c r="C84" t="s">
        <v>39</v>
      </c>
      <c r="D84" t="s">
        <v>575</v>
      </c>
      <c r="E84" s="6" t="s">
        <v>24</v>
      </c>
      <c r="F84" s="6">
        <v>0.5</v>
      </c>
      <c r="G84" s="6" t="s">
        <v>26</v>
      </c>
      <c r="H84" s="6">
        <v>0.5</v>
      </c>
      <c r="I84" t="s">
        <v>579</v>
      </c>
      <c r="J84" t="s">
        <v>580</v>
      </c>
      <c r="L84" t="s">
        <v>52</v>
      </c>
      <c r="M84">
        <v>1</v>
      </c>
      <c r="P84" t="s">
        <v>1189</v>
      </c>
      <c r="Q84">
        <v>2</v>
      </c>
      <c r="R84" t="s">
        <v>1190</v>
      </c>
      <c r="S84">
        <v>1</v>
      </c>
      <c r="T84" t="s">
        <v>249</v>
      </c>
      <c r="U84" t="s">
        <v>59</v>
      </c>
      <c r="V84" t="s">
        <v>167</v>
      </c>
      <c r="W84" t="s">
        <v>222</v>
      </c>
      <c r="Y84">
        <f t="shared" si="18"/>
        <v>0</v>
      </c>
      <c r="Z84">
        <f t="shared" si="19"/>
        <v>0</v>
      </c>
      <c r="AA84">
        <f t="shared" si="20"/>
        <v>0</v>
      </c>
      <c r="AB84">
        <f t="shared" si="21"/>
        <v>0.5</v>
      </c>
      <c r="AC84">
        <f t="shared" si="22"/>
        <v>0.5</v>
      </c>
      <c r="AD84">
        <f t="shared" si="23"/>
        <v>0</v>
      </c>
      <c r="AE84">
        <f t="shared" si="24"/>
        <v>0</v>
      </c>
      <c r="AF84">
        <f t="shared" si="25"/>
        <v>0</v>
      </c>
      <c r="AG84">
        <f t="shared" si="26"/>
        <v>0</v>
      </c>
      <c r="AH84" t="s">
        <v>530</v>
      </c>
      <c r="AI84" t="s">
        <v>581</v>
      </c>
      <c r="AJ84" t="s">
        <v>582</v>
      </c>
    </row>
    <row r="85" spans="1:36" x14ac:dyDescent="0.2">
      <c r="A85" t="s">
        <v>217</v>
      </c>
      <c r="B85" t="s">
        <v>354</v>
      </c>
      <c r="C85" t="s">
        <v>39</v>
      </c>
      <c r="D85" t="s">
        <v>575</v>
      </c>
      <c r="E85" s="6" t="s">
        <v>24</v>
      </c>
      <c r="F85" s="6">
        <v>0.5</v>
      </c>
      <c r="G85" s="6" t="s">
        <v>26</v>
      </c>
      <c r="H85" s="6">
        <v>0.5</v>
      </c>
      <c r="I85" t="s">
        <v>579</v>
      </c>
      <c r="J85" t="s">
        <v>580</v>
      </c>
      <c r="L85" t="s">
        <v>52</v>
      </c>
      <c r="M85">
        <v>1</v>
      </c>
      <c r="P85" t="s">
        <v>1191</v>
      </c>
      <c r="Q85">
        <v>3</v>
      </c>
      <c r="R85" t="s">
        <v>1192</v>
      </c>
      <c r="S85">
        <v>2</v>
      </c>
      <c r="T85" t="s">
        <v>259</v>
      </c>
      <c r="U85" t="s">
        <v>61</v>
      </c>
      <c r="V85" t="s">
        <v>134</v>
      </c>
      <c r="W85" t="s">
        <v>222</v>
      </c>
      <c r="Y85">
        <f t="shared" si="18"/>
        <v>0</v>
      </c>
      <c r="Z85">
        <f t="shared" si="19"/>
        <v>0</v>
      </c>
      <c r="AA85">
        <f t="shared" si="20"/>
        <v>0</v>
      </c>
      <c r="AB85">
        <f t="shared" si="21"/>
        <v>1</v>
      </c>
      <c r="AC85">
        <f t="shared" si="22"/>
        <v>1</v>
      </c>
      <c r="AD85">
        <f t="shared" si="23"/>
        <v>0</v>
      </c>
      <c r="AE85">
        <f t="shared" si="24"/>
        <v>0</v>
      </c>
      <c r="AF85">
        <f t="shared" si="25"/>
        <v>0</v>
      </c>
      <c r="AG85">
        <f t="shared" si="26"/>
        <v>0</v>
      </c>
      <c r="AH85" t="s">
        <v>530</v>
      </c>
      <c r="AI85" t="s">
        <v>581</v>
      </c>
      <c r="AJ85" t="s">
        <v>582</v>
      </c>
    </row>
    <row r="86" spans="1:36" x14ac:dyDescent="0.2">
      <c r="A86" t="s">
        <v>217</v>
      </c>
      <c r="B86" t="s">
        <v>354</v>
      </c>
      <c r="C86" t="s">
        <v>39</v>
      </c>
      <c r="D86" t="s">
        <v>575</v>
      </c>
      <c r="E86" s="6" t="s">
        <v>24</v>
      </c>
      <c r="F86" s="6">
        <v>0.5</v>
      </c>
      <c r="G86" s="6" t="s">
        <v>26</v>
      </c>
      <c r="H86" s="6">
        <v>0.5</v>
      </c>
      <c r="I86" t="s">
        <v>579</v>
      </c>
      <c r="J86" t="s">
        <v>580</v>
      </c>
      <c r="L86" t="s">
        <v>52</v>
      </c>
      <c r="M86">
        <v>1</v>
      </c>
      <c r="P86" t="s">
        <v>1193</v>
      </c>
      <c r="Q86">
        <v>4</v>
      </c>
      <c r="R86" t="s">
        <v>1194</v>
      </c>
      <c r="S86">
        <v>3</v>
      </c>
      <c r="T86" t="s">
        <v>243</v>
      </c>
      <c r="V86" t="s">
        <v>148</v>
      </c>
      <c r="W86" t="s">
        <v>218</v>
      </c>
      <c r="Y86">
        <f t="shared" si="18"/>
        <v>0</v>
      </c>
      <c r="Z86">
        <f t="shared" si="19"/>
        <v>0</v>
      </c>
      <c r="AA86">
        <f t="shared" si="20"/>
        <v>0</v>
      </c>
      <c r="AB86">
        <f t="shared" si="21"/>
        <v>1.5</v>
      </c>
      <c r="AC86">
        <f t="shared" si="22"/>
        <v>1.5</v>
      </c>
      <c r="AD86">
        <f t="shared" si="23"/>
        <v>0</v>
      </c>
      <c r="AE86">
        <f t="shared" si="24"/>
        <v>0</v>
      </c>
      <c r="AF86">
        <f t="shared" si="25"/>
        <v>0</v>
      </c>
      <c r="AG86">
        <f t="shared" si="26"/>
        <v>0</v>
      </c>
      <c r="AH86" t="s">
        <v>530</v>
      </c>
      <c r="AI86" t="s">
        <v>581</v>
      </c>
      <c r="AJ86" t="s">
        <v>582</v>
      </c>
    </row>
    <row r="87" spans="1:36" x14ac:dyDescent="0.2">
      <c r="A87" t="s">
        <v>217</v>
      </c>
      <c r="B87" t="s">
        <v>355</v>
      </c>
      <c r="C87" t="s">
        <v>39</v>
      </c>
      <c r="D87" t="s">
        <v>575</v>
      </c>
      <c r="E87" s="6" t="s">
        <v>24</v>
      </c>
      <c r="F87" s="6">
        <v>0.5</v>
      </c>
      <c r="G87" s="6" t="s">
        <v>26</v>
      </c>
      <c r="H87" s="6">
        <v>0.5</v>
      </c>
      <c r="I87" t="s">
        <v>583</v>
      </c>
      <c r="J87" t="s">
        <v>584</v>
      </c>
      <c r="L87" t="s">
        <v>52</v>
      </c>
      <c r="M87">
        <v>1</v>
      </c>
      <c r="P87" t="s">
        <v>3142</v>
      </c>
      <c r="Q87">
        <v>0</v>
      </c>
      <c r="R87" t="s">
        <v>3154</v>
      </c>
      <c r="S87">
        <v>0</v>
      </c>
      <c r="T87" t="s">
        <v>3155</v>
      </c>
      <c r="U87" t="s">
        <v>3156</v>
      </c>
      <c r="V87" t="s">
        <v>3157</v>
      </c>
      <c r="W87" t="b">
        <v>0</v>
      </c>
      <c r="X87" t="s">
        <v>3158</v>
      </c>
      <c r="Y87">
        <f t="shared" si="18"/>
        <v>0</v>
      </c>
      <c r="Z87">
        <f t="shared" si="19"/>
        <v>0</v>
      </c>
      <c r="AA87">
        <f t="shared" si="20"/>
        <v>0</v>
      </c>
      <c r="AB87">
        <f t="shared" si="21"/>
        <v>0</v>
      </c>
      <c r="AC87">
        <f t="shared" si="22"/>
        <v>0</v>
      </c>
      <c r="AD87">
        <f t="shared" si="23"/>
        <v>0</v>
      </c>
      <c r="AE87">
        <f t="shared" si="24"/>
        <v>0</v>
      </c>
      <c r="AF87">
        <f t="shared" si="25"/>
        <v>0</v>
      </c>
      <c r="AG87">
        <f t="shared" si="26"/>
        <v>0</v>
      </c>
      <c r="AH87" t="s">
        <v>530</v>
      </c>
      <c r="AI87" t="s">
        <v>531</v>
      </c>
      <c r="AJ87" t="s">
        <v>532</v>
      </c>
    </row>
    <row r="88" spans="1:36" x14ac:dyDescent="0.2">
      <c r="A88" t="s">
        <v>217</v>
      </c>
      <c r="B88" t="s">
        <v>355</v>
      </c>
      <c r="C88" t="s">
        <v>39</v>
      </c>
      <c r="D88" t="s">
        <v>575</v>
      </c>
      <c r="E88" s="6" t="s">
        <v>24</v>
      </c>
      <c r="F88" s="6">
        <v>0.5</v>
      </c>
      <c r="G88" s="6" t="s">
        <v>26</v>
      </c>
      <c r="H88" s="6">
        <v>0.5</v>
      </c>
      <c r="I88" t="s">
        <v>583</v>
      </c>
      <c r="J88" t="s">
        <v>584</v>
      </c>
      <c r="L88" t="s">
        <v>52</v>
      </c>
      <c r="M88">
        <v>1</v>
      </c>
      <c r="P88" t="s">
        <v>1195</v>
      </c>
      <c r="Q88">
        <v>1</v>
      </c>
      <c r="R88" t="s">
        <v>1196</v>
      </c>
      <c r="S88">
        <v>1</v>
      </c>
      <c r="T88" t="s">
        <v>172</v>
      </c>
      <c r="U88" t="s">
        <v>61</v>
      </c>
      <c r="V88" t="s">
        <v>134</v>
      </c>
      <c r="W88" t="s">
        <v>222</v>
      </c>
      <c r="Y88">
        <f t="shared" ref="Y88:Y151" si="27">(S87*IF(E87="G",F87,0))+(S87*IF(G87="G",H87,0))</f>
        <v>0</v>
      </c>
      <c r="Z88">
        <f t="shared" ref="Z88:Z151" si="28">(S87*IF(E87="E",F87,0))+(S87*IF(G87="E",H87,0))</f>
        <v>0</v>
      </c>
      <c r="AA88">
        <f t="shared" ref="AA88:AA151" si="29">(S87*IF(E87="T",F87,0))+(S87*IF(G87="T",H87,0))</f>
        <v>0</v>
      </c>
      <c r="AB88">
        <f t="shared" ref="AB88:AB151" si="30">(S87*IF(E87="L",F87,0))+(S87*IF(G87="L",H87,0))</f>
        <v>0</v>
      </c>
      <c r="AC88">
        <f t="shared" ref="AC88:AC151" si="31">(S87*IF(E87="H",F87,0))+(S87*IF(G87="H",H87,0))</f>
        <v>0</v>
      </c>
      <c r="AD88">
        <f t="shared" ref="AD88:AD151" si="32">(S87*IF(E87="V",F87,0))+(S87*IF(G87="V",H87,0))</f>
        <v>0</v>
      </c>
      <c r="AE88">
        <f t="shared" ref="AE88:AE151" si="33">(S87*IF(E87="R",F87,0))+(S87*IF(G87="R",H87,0))</f>
        <v>0</v>
      </c>
      <c r="AF88">
        <f t="shared" ref="AF88:AF151" si="34">(S87*IF(E87="F",F87,0))+(S87*IF(G87="F",H87,0))</f>
        <v>0</v>
      </c>
      <c r="AG88">
        <f t="shared" ref="AG88:AG151" si="35">(S87*IF(E87="W",F87,0))+(S87*IF(G87="W",H87,0))</f>
        <v>0</v>
      </c>
      <c r="AH88" t="s">
        <v>530</v>
      </c>
      <c r="AI88" t="s">
        <v>531</v>
      </c>
      <c r="AJ88" t="s">
        <v>532</v>
      </c>
    </row>
    <row r="89" spans="1:36" x14ac:dyDescent="0.2">
      <c r="A89" t="s">
        <v>217</v>
      </c>
      <c r="B89" t="s">
        <v>355</v>
      </c>
      <c r="C89" t="s">
        <v>39</v>
      </c>
      <c r="D89" t="s">
        <v>575</v>
      </c>
      <c r="E89" s="6" t="s">
        <v>24</v>
      </c>
      <c r="F89" s="6">
        <v>0.5</v>
      </c>
      <c r="G89" s="6" t="s">
        <v>26</v>
      </c>
      <c r="H89" s="6">
        <v>0.5</v>
      </c>
      <c r="I89" t="s">
        <v>583</v>
      </c>
      <c r="J89" t="s">
        <v>584</v>
      </c>
      <c r="L89" t="s">
        <v>52</v>
      </c>
      <c r="M89">
        <v>1</v>
      </c>
      <c r="P89" t="s">
        <v>1197</v>
      </c>
      <c r="Q89">
        <v>2</v>
      </c>
      <c r="R89" t="s">
        <v>1198</v>
      </c>
      <c r="S89">
        <v>2</v>
      </c>
      <c r="T89" t="s">
        <v>259</v>
      </c>
      <c r="U89" t="s">
        <v>61</v>
      </c>
      <c r="V89" t="s">
        <v>134</v>
      </c>
      <c r="W89" t="s">
        <v>222</v>
      </c>
      <c r="Y89">
        <f t="shared" si="27"/>
        <v>0</v>
      </c>
      <c r="Z89">
        <f t="shared" si="28"/>
        <v>0</v>
      </c>
      <c r="AA89">
        <f t="shared" si="29"/>
        <v>0</v>
      </c>
      <c r="AB89">
        <f t="shared" si="30"/>
        <v>0.5</v>
      </c>
      <c r="AC89">
        <f t="shared" si="31"/>
        <v>0.5</v>
      </c>
      <c r="AD89">
        <f t="shared" si="32"/>
        <v>0</v>
      </c>
      <c r="AE89">
        <f t="shared" si="33"/>
        <v>0</v>
      </c>
      <c r="AF89">
        <f t="shared" si="34"/>
        <v>0</v>
      </c>
      <c r="AG89">
        <f t="shared" si="35"/>
        <v>0</v>
      </c>
      <c r="AH89" t="s">
        <v>530</v>
      </c>
      <c r="AI89" t="s">
        <v>531</v>
      </c>
      <c r="AJ89" t="s">
        <v>532</v>
      </c>
    </row>
    <row r="90" spans="1:36" x14ac:dyDescent="0.2">
      <c r="A90" t="s">
        <v>217</v>
      </c>
      <c r="B90" t="s">
        <v>355</v>
      </c>
      <c r="C90" t="s">
        <v>39</v>
      </c>
      <c r="D90" t="s">
        <v>575</v>
      </c>
      <c r="E90" s="6" t="s">
        <v>24</v>
      </c>
      <c r="F90" s="6">
        <v>0.5</v>
      </c>
      <c r="G90" s="6" t="s">
        <v>26</v>
      </c>
      <c r="H90" s="6">
        <v>0.5</v>
      </c>
      <c r="I90" t="s">
        <v>583</v>
      </c>
      <c r="J90" t="s">
        <v>584</v>
      </c>
      <c r="L90" t="s">
        <v>52</v>
      </c>
      <c r="M90">
        <v>1</v>
      </c>
      <c r="P90" t="s">
        <v>1199</v>
      </c>
      <c r="Q90">
        <v>3</v>
      </c>
      <c r="R90" t="s">
        <v>1200</v>
      </c>
      <c r="S90">
        <v>3</v>
      </c>
      <c r="T90" t="s">
        <v>243</v>
      </c>
      <c r="V90" t="s">
        <v>148</v>
      </c>
      <c r="W90" t="s">
        <v>218</v>
      </c>
      <c r="Y90">
        <f t="shared" si="27"/>
        <v>0</v>
      </c>
      <c r="Z90">
        <f t="shared" si="28"/>
        <v>0</v>
      </c>
      <c r="AA90">
        <f t="shared" si="29"/>
        <v>0</v>
      </c>
      <c r="AB90">
        <f t="shared" si="30"/>
        <v>1</v>
      </c>
      <c r="AC90">
        <f t="shared" si="31"/>
        <v>1</v>
      </c>
      <c r="AD90">
        <f t="shared" si="32"/>
        <v>0</v>
      </c>
      <c r="AE90">
        <f t="shared" si="33"/>
        <v>0</v>
      </c>
      <c r="AF90">
        <f t="shared" si="34"/>
        <v>0</v>
      </c>
      <c r="AG90">
        <f t="shared" si="35"/>
        <v>0</v>
      </c>
      <c r="AH90" t="s">
        <v>530</v>
      </c>
      <c r="AI90" t="s">
        <v>531</v>
      </c>
      <c r="AJ90" t="s">
        <v>532</v>
      </c>
    </row>
    <row r="91" spans="1:36" x14ac:dyDescent="0.2">
      <c r="A91" t="s">
        <v>217</v>
      </c>
      <c r="B91" t="s">
        <v>355</v>
      </c>
      <c r="C91" t="s">
        <v>39</v>
      </c>
      <c r="D91" t="s">
        <v>575</v>
      </c>
      <c r="E91" s="6" t="s">
        <v>24</v>
      </c>
      <c r="F91" s="6">
        <v>0.5</v>
      </c>
      <c r="G91" s="6" t="s">
        <v>26</v>
      </c>
      <c r="H91" s="6">
        <v>0.5</v>
      </c>
      <c r="I91" t="s">
        <v>583</v>
      </c>
      <c r="J91" t="s">
        <v>584</v>
      </c>
      <c r="L91" t="s">
        <v>52</v>
      </c>
      <c r="M91">
        <v>1</v>
      </c>
      <c r="P91" t="s">
        <v>1201</v>
      </c>
      <c r="Q91">
        <v>4</v>
      </c>
      <c r="R91" t="s">
        <v>1202</v>
      </c>
      <c r="S91">
        <v>4</v>
      </c>
      <c r="T91" t="s">
        <v>256</v>
      </c>
      <c r="V91" t="s">
        <v>148</v>
      </c>
      <c r="W91" t="s">
        <v>218</v>
      </c>
      <c r="Y91">
        <f t="shared" si="27"/>
        <v>0</v>
      </c>
      <c r="Z91">
        <f t="shared" si="28"/>
        <v>0</v>
      </c>
      <c r="AA91">
        <f t="shared" si="29"/>
        <v>0</v>
      </c>
      <c r="AB91">
        <f t="shared" si="30"/>
        <v>1.5</v>
      </c>
      <c r="AC91">
        <f t="shared" si="31"/>
        <v>1.5</v>
      </c>
      <c r="AD91">
        <f t="shared" si="32"/>
        <v>0</v>
      </c>
      <c r="AE91">
        <f t="shared" si="33"/>
        <v>0</v>
      </c>
      <c r="AF91">
        <f t="shared" si="34"/>
        <v>0</v>
      </c>
      <c r="AG91">
        <f t="shared" si="35"/>
        <v>0</v>
      </c>
      <c r="AH91" t="s">
        <v>530</v>
      </c>
      <c r="AI91" t="s">
        <v>531</v>
      </c>
      <c r="AJ91" t="s">
        <v>532</v>
      </c>
    </row>
    <row r="92" spans="1:36" x14ac:dyDescent="0.2">
      <c r="A92" t="s">
        <v>217</v>
      </c>
      <c r="B92" t="s">
        <v>356</v>
      </c>
      <c r="C92" t="s">
        <v>39</v>
      </c>
      <c r="D92" t="s">
        <v>575</v>
      </c>
      <c r="E92" s="6" t="s">
        <v>24</v>
      </c>
      <c r="F92" s="6">
        <v>0.7</v>
      </c>
      <c r="G92" s="6" t="s">
        <v>26</v>
      </c>
      <c r="H92" s="6">
        <v>0.3</v>
      </c>
      <c r="I92" t="s">
        <v>585</v>
      </c>
      <c r="J92" t="s">
        <v>586</v>
      </c>
      <c r="L92" t="s">
        <v>52</v>
      </c>
      <c r="M92">
        <v>1</v>
      </c>
      <c r="P92" t="s">
        <v>1203</v>
      </c>
      <c r="Q92">
        <v>1</v>
      </c>
      <c r="R92" t="s">
        <v>1204</v>
      </c>
      <c r="S92">
        <v>0</v>
      </c>
      <c r="T92" t="s">
        <v>1205</v>
      </c>
      <c r="V92" t="s">
        <v>109</v>
      </c>
      <c r="W92" t="s">
        <v>222</v>
      </c>
      <c r="Y92">
        <f t="shared" si="27"/>
        <v>0</v>
      </c>
      <c r="Z92">
        <f t="shared" si="28"/>
        <v>0</v>
      </c>
      <c r="AA92">
        <f t="shared" si="29"/>
        <v>0</v>
      </c>
      <c r="AB92">
        <f t="shared" si="30"/>
        <v>2</v>
      </c>
      <c r="AC92">
        <f t="shared" si="31"/>
        <v>2</v>
      </c>
      <c r="AD92">
        <f t="shared" si="32"/>
        <v>0</v>
      </c>
      <c r="AE92">
        <f t="shared" si="33"/>
        <v>0</v>
      </c>
      <c r="AF92">
        <f t="shared" si="34"/>
        <v>0</v>
      </c>
      <c r="AG92">
        <f t="shared" si="35"/>
        <v>0</v>
      </c>
      <c r="AH92" t="s">
        <v>561</v>
      </c>
      <c r="AI92" t="s">
        <v>587</v>
      </c>
      <c r="AJ92" t="s">
        <v>588</v>
      </c>
    </row>
    <row r="93" spans="1:36" x14ac:dyDescent="0.2">
      <c r="A93" t="s">
        <v>217</v>
      </c>
      <c r="B93" t="s">
        <v>356</v>
      </c>
      <c r="C93" t="s">
        <v>39</v>
      </c>
      <c r="D93" t="s">
        <v>575</v>
      </c>
      <c r="E93" s="6" t="s">
        <v>24</v>
      </c>
      <c r="F93" s="6">
        <v>0.7</v>
      </c>
      <c r="G93" s="6" t="s">
        <v>26</v>
      </c>
      <c r="H93" s="6">
        <v>0.3</v>
      </c>
      <c r="I93" t="s">
        <v>585</v>
      </c>
      <c r="J93" t="s">
        <v>586</v>
      </c>
      <c r="L93" t="s">
        <v>52</v>
      </c>
      <c r="M93">
        <v>1</v>
      </c>
      <c r="P93" t="s">
        <v>1206</v>
      </c>
      <c r="Q93">
        <v>2</v>
      </c>
      <c r="R93" t="s">
        <v>1207</v>
      </c>
      <c r="S93">
        <v>0</v>
      </c>
      <c r="T93" t="s">
        <v>249</v>
      </c>
      <c r="U93" t="s">
        <v>59</v>
      </c>
      <c r="V93" t="s">
        <v>160</v>
      </c>
      <c r="W93" t="s">
        <v>222</v>
      </c>
      <c r="Y93">
        <f t="shared" si="27"/>
        <v>0</v>
      </c>
      <c r="Z93">
        <f t="shared" si="28"/>
        <v>0</v>
      </c>
      <c r="AA93">
        <f t="shared" si="29"/>
        <v>0</v>
      </c>
      <c r="AB93">
        <f t="shared" si="30"/>
        <v>0</v>
      </c>
      <c r="AC93">
        <f t="shared" si="31"/>
        <v>0</v>
      </c>
      <c r="AD93">
        <f t="shared" si="32"/>
        <v>0</v>
      </c>
      <c r="AE93">
        <f t="shared" si="33"/>
        <v>0</v>
      </c>
      <c r="AF93">
        <f t="shared" si="34"/>
        <v>0</v>
      </c>
      <c r="AG93">
        <f t="shared" si="35"/>
        <v>0</v>
      </c>
      <c r="AH93" t="s">
        <v>561</v>
      </c>
      <c r="AI93" t="s">
        <v>587</v>
      </c>
      <c r="AJ93" t="s">
        <v>588</v>
      </c>
    </row>
    <row r="94" spans="1:36" x14ac:dyDescent="0.2">
      <c r="A94" t="s">
        <v>217</v>
      </c>
      <c r="B94" t="s">
        <v>356</v>
      </c>
      <c r="C94" t="s">
        <v>39</v>
      </c>
      <c r="D94" t="s">
        <v>575</v>
      </c>
      <c r="E94" s="6" t="s">
        <v>24</v>
      </c>
      <c r="F94" s="6">
        <v>0.7</v>
      </c>
      <c r="G94" s="6" t="s">
        <v>26</v>
      </c>
      <c r="H94" s="6">
        <v>0.3</v>
      </c>
      <c r="I94" t="s">
        <v>585</v>
      </c>
      <c r="J94" t="s">
        <v>586</v>
      </c>
      <c r="L94" t="s">
        <v>52</v>
      </c>
      <c r="M94">
        <v>1</v>
      </c>
      <c r="P94" t="s">
        <v>1208</v>
      </c>
      <c r="Q94">
        <v>3</v>
      </c>
      <c r="R94" t="s">
        <v>1209</v>
      </c>
      <c r="S94">
        <v>1</v>
      </c>
      <c r="T94" t="s">
        <v>249</v>
      </c>
      <c r="U94" t="s">
        <v>59</v>
      </c>
      <c r="V94" t="s">
        <v>160</v>
      </c>
      <c r="W94" t="s">
        <v>222</v>
      </c>
      <c r="Y94">
        <f t="shared" si="27"/>
        <v>0</v>
      </c>
      <c r="Z94">
        <f t="shared" si="28"/>
        <v>0</v>
      </c>
      <c r="AA94">
        <f t="shared" si="29"/>
        <v>0</v>
      </c>
      <c r="AB94">
        <f t="shared" si="30"/>
        <v>0</v>
      </c>
      <c r="AC94">
        <f t="shared" si="31"/>
        <v>0</v>
      </c>
      <c r="AD94">
        <f t="shared" si="32"/>
        <v>0</v>
      </c>
      <c r="AE94">
        <f t="shared" si="33"/>
        <v>0</v>
      </c>
      <c r="AF94">
        <f t="shared" si="34"/>
        <v>0</v>
      </c>
      <c r="AG94">
        <f t="shared" si="35"/>
        <v>0</v>
      </c>
      <c r="AH94" t="s">
        <v>561</v>
      </c>
      <c r="AI94" t="s">
        <v>587</v>
      </c>
      <c r="AJ94" t="s">
        <v>588</v>
      </c>
    </row>
    <row r="95" spans="1:36" x14ac:dyDescent="0.2">
      <c r="A95" t="s">
        <v>217</v>
      </c>
      <c r="B95" t="s">
        <v>356</v>
      </c>
      <c r="C95" t="s">
        <v>39</v>
      </c>
      <c r="D95" t="s">
        <v>575</v>
      </c>
      <c r="E95" s="6" t="s">
        <v>24</v>
      </c>
      <c r="F95" s="6">
        <v>0.7</v>
      </c>
      <c r="G95" s="6" t="s">
        <v>26</v>
      </c>
      <c r="H95" s="6">
        <v>0.3</v>
      </c>
      <c r="I95" t="s">
        <v>585</v>
      </c>
      <c r="J95" t="s">
        <v>586</v>
      </c>
      <c r="L95" t="s">
        <v>52</v>
      </c>
      <c r="M95">
        <v>1</v>
      </c>
      <c r="P95" t="s">
        <v>1210</v>
      </c>
      <c r="Q95">
        <v>4</v>
      </c>
      <c r="R95" t="s">
        <v>1211</v>
      </c>
      <c r="S95">
        <v>3</v>
      </c>
      <c r="T95" t="s">
        <v>243</v>
      </c>
      <c r="V95" t="s">
        <v>148</v>
      </c>
      <c r="W95" t="s">
        <v>218</v>
      </c>
      <c r="Y95">
        <f t="shared" si="27"/>
        <v>0</v>
      </c>
      <c r="Z95">
        <f t="shared" si="28"/>
        <v>0</v>
      </c>
      <c r="AA95">
        <f t="shared" si="29"/>
        <v>0</v>
      </c>
      <c r="AB95">
        <f t="shared" si="30"/>
        <v>0.7</v>
      </c>
      <c r="AC95">
        <f t="shared" si="31"/>
        <v>0.3</v>
      </c>
      <c r="AD95">
        <f t="shared" si="32"/>
        <v>0</v>
      </c>
      <c r="AE95">
        <f t="shared" si="33"/>
        <v>0</v>
      </c>
      <c r="AF95">
        <f t="shared" si="34"/>
        <v>0</v>
      </c>
      <c r="AG95">
        <f t="shared" si="35"/>
        <v>0</v>
      </c>
      <c r="AH95" t="s">
        <v>561</v>
      </c>
      <c r="AI95" t="s">
        <v>587</v>
      </c>
      <c r="AJ95" t="s">
        <v>588</v>
      </c>
    </row>
    <row r="96" spans="1:36" x14ac:dyDescent="0.2">
      <c r="A96" t="s">
        <v>217</v>
      </c>
      <c r="B96" t="s">
        <v>356</v>
      </c>
      <c r="C96" t="s">
        <v>39</v>
      </c>
      <c r="D96" t="s">
        <v>575</v>
      </c>
      <c r="E96" s="6" t="s">
        <v>24</v>
      </c>
      <c r="F96" s="6">
        <v>0.7</v>
      </c>
      <c r="G96" s="6" t="s">
        <v>26</v>
      </c>
      <c r="H96" s="6">
        <v>0.3</v>
      </c>
      <c r="I96" t="s">
        <v>585</v>
      </c>
      <c r="J96" t="s">
        <v>586</v>
      </c>
      <c r="L96" t="s">
        <v>52</v>
      </c>
      <c r="M96">
        <v>1</v>
      </c>
      <c r="P96" t="s">
        <v>1212</v>
      </c>
      <c r="Q96">
        <v>5</v>
      </c>
      <c r="R96" t="s">
        <v>1213</v>
      </c>
      <c r="S96">
        <v>4</v>
      </c>
      <c r="T96" t="s">
        <v>256</v>
      </c>
      <c r="V96" t="s">
        <v>148</v>
      </c>
      <c r="W96" t="s">
        <v>218</v>
      </c>
      <c r="Y96">
        <f t="shared" si="27"/>
        <v>0</v>
      </c>
      <c r="Z96">
        <f t="shared" si="28"/>
        <v>0</v>
      </c>
      <c r="AA96">
        <f t="shared" si="29"/>
        <v>0</v>
      </c>
      <c r="AB96">
        <f t="shared" si="30"/>
        <v>2.0999999999999996</v>
      </c>
      <c r="AC96">
        <f t="shared" si="31"/>
        <v>0.89999999999999991</v>
      </c>
      <c r="AD96">
        <f t="shared" si="32"/>
        <v>0</v>
      </c>
      <c r="AE96">
        <f t="shared" si="33"/>
        <v>0</v>
      </c>
      <c r="AF96">
        <f t="shared" si="34"/>
        <v>0</v>
      </c>
      <c r="AG96">
        <f t="shared" si="35"/>
        <v>0</v>
      </c>
      <c r="AH96" t="s">
        <v>561</v>
      </c>
      <c r="AI96" t="s">
        <v>587</v>
      </c>
      <c r="AJ96" t="s">
        <v>588</v>
      </c>
    </row>
    <row r="97" spans="1:36" x14ac:dyDescent="0.2">
      <c r="A97" t="s">
        <v>217</v>
      </c>
      <c r="B97" t="s">
        <v>357</v>
      </c>
      <c r="C97" t="s">
        <v>41</v>
      </c>
      <c r="D97" t="s">
        <v>575</v>
      </c>
      <c r="E97" s="6" t="s">
        <v>24</v>
      </c>
      <c r="F97" s="6">
        <v>0.5</v>
      </c>
      <c r="G97" s="6" t="s">
        <v>30</v>
      </c>
      <c r="H97" s="6">
        <v>0.5</v>
      </c>
      <c r="I97" t="s">
        <v>589</v>
      </c>
      <c r="J97" t="s">
        <v>590</v>
      </c>
      <c r="L97" t="s">
        <v>52</v>
      </c>
      <c r="M97">
        <v>1</v>
      </c>
      <c r="P97" t="s">
        <v>1214</v>
      </c>
      <c r="Q97">
        <v>1</v>
      </c>
      <c r="R97" t="s">
        <v>1017</v>
      </c>
      <c r="S97">
        <v>0</v>
      </c>
      <c r="T97" t="s">
        <v>273</v>
      </c>
      <c r="U97" t="s">
        <v>65</v>
      </c>
      <c r="V97" t="s">
        <v>78</v>
      </c>
      <c r="W97" t="s">
        <v>222</v>
      </c>
      <c r="Y97">
        <f t="shared" si="27"/>
        <v>0</v>
      </c>
      <c r="Z97">
        <f t="shared" si="28"/>
        <v>0</v>
      </c>
      <c r="AA97">
        <f t="shared" si="29"/>
        <v>0</v>
      </c>
      <c r="AB97">
        <f t="shared" si="30"/>
        <v>2.8</v>
      </c>
      <c r="AC97">
        <f t="shared" si="31"/>
        <v>1.2</v>
      </c>
      <c r="AD97">
        <f t="shared" si="32"/>
        <v>0</v>
      </c>
      <c r="AE97">
        <f t="shared" si="33"/>
        <v>0</v>
      </c>
      <c r="AF97">
        <f t="shared" si="34"/>
        <v>0</v>
      </c>
      <c r="AG97">
        <f t="shared" si="35"/>
        <v>0</v>
      </c>
      <c r="AH97" t="s">
        <v>561</v>
      </c>
      <c r="AI97" t="s">
        <v>587</v>
      </c>
      <c r="AJ97" t="s">
        <v>591</v>
      </c>
    </row>
    <row r="98" spans="1:36" x14ac:dyDescent="0.2">
      <c r="A98" t="s">
        <v>217</v>
      </c>
      <c r="B98" t="s">
        <v>357</v>
      </c>
      <c r="C98" t="s">
        <v>41</v>
      </c>
      <c r="D98" t="s">
        <v>575</v>
      </c>
      <c r="E98" s="6" t="s">
        <v>24</v>
      </c>
      <c r="F98" s="6">
        <v>0.5</v>
      </c>
      <c r="G98" s="6" t="s">
        <v>30</v>
      </c>
      <c r="H98" s="6">
        <v>0.5</v>
      </c>
      <c r="I98" t="s">
        <v>589</v>
      </c>
      <c r="J98" t="s">
        <v>590</v>
      </c>
      <c r="L98" t="s">
        <v>52</v>
      </c>
      <c r="M98">
        <v>1</v>
      </c>
      <c r="P98" t="s">
        <v>1215</v>
      </c>
      <c r="Q98">
        <v>2</v>
      </c>
      <c r="R98" t="s">
        <v>1216</v>
      </c>
      <c r="S98">
        <v>0</v>
      </c>
      <c r="T98" t="s">
        <v>240</v>
      </c>
      <c r="U98" t="s">
        <v>59</v>
      </c>
      <c r="V98" t="s">
        <v>112</v>
      </c>
      <c r="W98" t="s">
        <v>222</v>
      </c>
      <c r="Y98">
        <f t="shared" si="27"/>
        <v>0</v>
      </c>
      <c r="Z98">
        <f t="shared" si="28"/>
        <v>0</v>
      </c>
      <c r="AA98">
        <f t="shared" si="29"/>
        <v>0</v>
      </c>
      <c r="AB98">
        <f t="shared" si="30"/>
        <v>0</v>
      </c>
      <c r="AC98">
        <f t="shared" si="31"/>
        <v>0</v>
      </c>
      <c r="AD98">
        <f t="shared" si="32"/>
        <v>0</v>
      </c>
      <c r="AE98">
        <f t="shared" si="33"/>
        <v>0</v>
      </c>
      <c r="AF98">
        <f t="shared" si="34"/>
        <v>0</v>
      </c>
      <c r="AG98">
        <f t="shared" si="35"/>
        <v>0</v>
      </c>
      <c r="AH98" t="s">
        <v>561</v>
      </c>
      <c r="AI98" t="s">
        <v>587</v>
      </c>
      <c r="AJ98" t="s">
        <v>591</v>
      </c>
    </row>
    <row r="99" spans="1:36" x14ac:dyDescent="0.2">
      <c r="A99" t="s">
        <v>217</v>
      </c>
      <c r="B99" t="s">
        <v>357</v>
      </c>
      <c r="C99" t="s">
        <v>41</v>
      </c>
      <c r="D99" t="s">
        <v>575</v>
      </c>
      <c r="E99" s="6" t="s">
        <v>24</v>
      </c>
      <c r="F99" s="6">
        <v>0.5</v>
      </c>
      <c r="G99" s="6" t="s">
        <v>30</v>
      </c>
      <c r="H99" s="6">
        <v>0.5</v>
      </c>
      <c r="I99" t="s">
        <v>589</v>
      </c>
      <c r="J99" t="s">
        <v>590</v>
      </c>
      <c r="L99" t="s">
        <v>52</v>
      </c>
      <c r="M99">
        <v>1</v>
      </c>
      <c r="P99" t="s">
        <v>1217</v>
      </c>
      <c r="Q99">
        <v>3</v>
      </c>
      <c r="R99" t="s">
        <v>1218</v>
      </c>
      <c r="S99">
        <v>1</v>
      </c>
      <c r="T99" t="s">
        <v>240</v>
      </c>
      <c r="U99" t="s">
        <v>62</v>
      </c>
      <c r="V99" t="s">
        <v>112</v>
      </c>
      <c r="W99" t="s">
        <v>222</v>
      </c>
      <c r="Y99">
        <f t="shared" si="27"/>
        <v>0</v>
      </c>
      <c r="Z99">
        <f t="shared" si="28"/>
        <v>0</v>
      </c>
      <c r="AA99">
        <f t="shared" si="29"/>
        <v>0</v>
      </c>
      <c r="AB99">
        <f t="shared" si="30"/>
        <v>0</v>
      </c>
      <c r="AC99">
        <f t="shared" si="31"/>
        <v>0</v>
      </c>
      <c r="AD99">
        <f t="shared" si="32"/>
        <v>0</v>
      </c>
      <c r="AE99">
        <f t="shared" si="33"/>
        <v>0</v>
      </c>
      <c r="AF99">
        <f t="shared" si="34"/>
        <v>0</v>
      </c>
      <c r="AG99">
        <f t="shared" si="35"/>
        <v>0</v>
      </c>
      <c r="AH99" t="s">
        <v>561</v>
      </c>
      <c r="AI99" t="s">
        <v>587</v>
      </c>
      <c r="AJ99" t="s">
        <v>591</v>
      </c>
    </row>
    <row r="100" spans="1:36" x14ac:dyDescent="0.2">
      <c r="A100" t="s">
        <v>217</v>
      </c>
      <c r="B100" t="s">
        <v>357</v>
      </c>
      <c r="C100" t="s">
        <v>41</v>
      </c>
      <c r="D100" t="s">
        <v>575</v>
      </c>
      <c r="E100" s="6" t="s">
        <v>24</v>
      </c>
      <c r="F100" s="6">
        <v>0.5</v>
      </c>
      <c r="G100" s="6" t="s">
        <v>30</v>
      </c>
      <c r="H100" s="6">
        <v>0.5</v>
      </c>
      <c r="I100" t="s">
        <v>589</v>
      </c>
      <c r="J100" t="s">
        <v>590</v>
      </c>
      <c r="L100" t="s">
        <v>52</v>
      </c>
      <c r="M100">
        <v>1</v>
      </c>
      <c r="P100" t="s">
        <v>1219</v>
      </c>
      <c r="Q100">
        <v>4</v>
      </c>
      <c r="R100" t="s">
        <v>1220</v>
      </c>
      <c r="S100">
        <v>2</v>
      </c>
      <c r="T100" t="s">
        <v>172</v>
      </c>
      <c r="U100" t="s">
        <v>61</v>
      </c>
      <c r="V100" t="s">
        <v>111</v>
      </c>
      <c r="W100" t="s">
        <v>222</v>
      </c>
      <c r="Y100">
        <f t="shared" si="27"/>
        <v>0</v>
      </c>
      <c r="Z100">
        <f t="shared" si="28"/>
        <v>0</v>
      </c>
      <c r="AA100">
        <f t="shared" si="29"/>
        <v>0</v>
      </c>
      <c r="AB100">
        <f t="shared" si="30"/>
        <v>0.5</v>
      </c>
      <c r="AC100">
        <f t="shared" si="31"/>
        <v>0</v>
      </c>
      <c r="AD100">
        <f t="shared" si="32"/>
        <v>0</v>
      </c>
      <c r="AE100">
        <f t="shared" si="33"/>
        <v>0.5</v>
      </c>
      <c r="AF100">
        <f t="shared" si="34"/>
        <v>0</v>
      </c>
      <c r="AG100">
        <f t="shared" si="35"/>
        <v>0</v>
      </c>
      <c r="AH100" t="s">
        <v>561</v>
      </c>
      <c r="AI100" t="s">
        <v>587</v>
      </c>
      <c r="AJ100" t="s">
        <v>591</v>
      </c>
    </row>
    <row r="101" spans="1:36" x14ac:dyDescent="0.2">
      <c r="A101" t="s">
        <v>217</v>
      </c>
      <c r="B101" t="s">
        <v>357</v>
      </c>
      <c r="C101" t="s">
        <v>41</v>
      </c>
      <c r="D101" t="s">
        <v>575</v>
      </c>
      <c r="E101" s="6" t="s">
        <v>24</v>
      </c>
      <c r="F101" s="6">
        <v>0.5</v>
      </c>
      <c r="G101" s="6" t="s">
        <v>30</v>
      </c>
      <c r="H101" s="6">
        <v>0.5</v>
      </c>
      <c r="I101" t="s">
        <v>589</v>
      </c>
      <c r="J101" t="s">
        <v>590</v>
      </c>
      <c r="L101" t="s">
        <v>52</v>
      </c>
      <c r="M101">
        <v>1</v>
      </c>
      <c r="P101" t="s">
        <v>1221</v>
      </c>
      <c r="Q101">
        <v>5</v>
      </c>
      <c r="R101" t="s">
        <v>1222</v>
      </c>
      <c r="S101">
        <v>3</v>
      </c>
      <c r="T101" t="s">
        <v>243</v>
      </c>
      <c r="V101" t="s">
        <v>148</v>
      </c>
      <c r="W101" t="s">
        <v>218</v>
      </c>
      <c r="Y101">
        <f t="shared" si="27"/>
        <v>0</v>
      </c>
      <c r="Z101">
        <f t="shared" si="28"/>
        <v>0</v>
      </c>
      <c r="AA101">
        <f t="shared" si="29"/>
        <v>0</v>
      </c>
      <c r="AB101">
        <f t="shared" si="30"/>
        <v>1</v>
      </c>
      <c r="AC101">
        <f t="shared" si="31"/>
        <v>0</v>
      </c>
      <c r="AD101">
        <f t="shared" si="32"/>
        <v>0</v>
      </c>
      <c r="AE101">
        <f t="shared" si="33"/>
        <v>1</v>
      </c>
      <c r="AF101">
        <f t="shared" si="34"/>
        <v>0</v>
      </c>
      <c r="AG101">
        <f t="shared" si="35"/>
        <v>0</v>
      </c>
      <c r="AH101" t="s">
        <v>561</v>
      </c>
      <c r="AI101" t="s">
        <v>587</v>
      </c>
      <c r="AJ101" t="s">
        <v>591</v>
      </c>
    </row>
    <row r="102" spans="1:36" x14ac:dyDescent="0.2">
      <c r="A102" t="s">
        <v>217</v>
      </c>
      <c r="B102" t="s">
        <v>357</v>
      </c>
      <c r="C102" t="s">
        <v>41</v>
      </c>
      <c r="D102" t="s">
        <v>575</v>
      </c>
      <c r="E102" s="6" t="s">
        <v>24</v>
      </c>
      <c r="F102" s="6">
        <v>0.5</v>
      </c>
      <c r="G102" s="6" t="s">
        <v>30</v>
      </c>
      <c r="H102" s="6">
        <v>0.5</v>
      </c>
      <c r="I102" t="s">
        <v>589</v>
      </c>
      <c r="J102" t="s">
        <v>590</v>
      </c>
      <c r="L102" t="s">
        <v>52</v>
      </c>
      <c r="M102">
        <v>1</v>
      </c>
      <c r="P102" t="s">
        <v>1223</v>
      </c>
      <c r="Q102">
        <v>6</v>
      </c>
      <c r="R102" t="s">
        <v>1224</v>
      </c>
      <c r="S102">
        <v>4</v>
      </c>
      <c r="T102" t="s">
        <v>256</v>
      </c>
      <c r="V102" t="s">
        <v>148</v>
      </c>
      <c r="W102" t="s">
        <v>218</v>
      </c>
      <c r="Y102">
        <f t="shared" si="27"/>
        <v>0</v>
      </c>
      <c r="Z102">
        <f t="shared" si="28"/>
        <v>0</v>
      </c>
      <c r="AA102">
        <f t="shared" si="29"/>
        <v>0</v>
      </c>
      <c r="AB102">
        <f t="shared" si="30"/>
        <v>1.5</v>
      </c>
      <c r="AC102">
        <f t="shared" si="31"/>
        <v>0</v>
      </c>
      <c r="AD102">
        <f t="shared" si="32"/>
        <v>0</v>
      </c>
      <c r="AE102">
        <f t="shared" si="33"/>
        <v>1.5</v>
      </c>
      <c r="AF102">
        <f t="shared" si="34"/>
        <v>0</v>
      </c>
      <c r="AG102">
        <f t="shared" si="35"/>
        <v>0</v>
      </c>
      <c r="AH102" t="s">
        <v>561</v>
      </c>
      <c r="AI102" t="s">
        <v>587</v>
      </c>
      <c r="AJ102" t="s">
        <v>591</v>
      </c>
    </row>
    <row r="103" spans="1:36" x14ac:dyDescent="0.2">
      <c r="A103" t="s">
        <v>217</v>
      </c>
      <c r="B103" t="s">
        <v>358</v>
      </c>
      <c r="C103" t="s">
        <v>39</v>
      </c>
      <c r="D103" t="s">
        <v>575</v>
      </c>
      <c r="E103" s="6" t="s">
        <v>24</v>
      </c>
      <c r="F103" s="6">
        <v>1</v>
      </c>
      <c r="G103" s="6" t="s">
        <v>522</v>
      </c>
      <c r="I103" t="s">
        <v>592</v>
      </c>
      <c r="J103" t="s">
        <v>593</v>
      </c>
      <c r="L103" t="s">
        <v>52</v>
      </c>
      <c r="M103">
        <v>1</v>
      </c>
      <c r="P103" t="s">
        <v>1225</v>
      </c>
      <c r="Q103">
        <v>1</v>
      </c>
      <c r="R103" t="s">
        <v>1017</v>
      </c>
      <c r="S103">
        <v>0</v>
      </c>
      <c r="T103" t="s">
        <v>273</v>
      </c>
      <c r="U103" t="s">
        <v>65</v>
      </c>
      <c r="V103" t="s">
        <v>76</v>
      </c>
      <c r="W103" t="s">
        <v>222</v>
      </c>
      <c r="Y103">
        <f t="shared" si="27"/>
        <v>0</v>
      </c>
      <c r="Z103">
        <f t="shared" si="28"/>
        <v>0</v>
      </c>
      <c r="AA103">
        <f t="shared" si="29"/>
        <v>0</v>
      </c>
      <c r="AB103">
        <f t="shared" si="30"/>
        <v>2</v>
      </c>
      <c r="AC103">
        <f t="shared" si="31"/>
        <v>0</v>
      </c>
      <c r="AD103">
        <f t="shared" si="32"/>
        <v>0</v>
      </c>
      <c r="AE103">
        <f t="shared" si="33"/>
        <v>2</v>
      </c>
      <c r="AF103">
        <f t="shared" si="34"/>
        <v>0</v>
      </c>
      <c r="AG103">
        <f t="shared" si="35"/>
        <v>0</v>
      </c>
      <c r="AH103" t="s">
        <v>570</v>
      </c>
      <c r="AI103" t="s">
        <v>594</v>
      </c>
      <c r="AJ103" t="s">
        <v>595</v>
      </c>
    </row>
    <row r="104" spans="1:36" x14ac:dyDescent="0.2">
      <c r="A104" t="s">
        <v>217</v>
      </c>
      <c r="B104" t="s">
        <v>358</v>
      </c>
      <c r="C104" t="s">
        <v>39</v>
      </c>
      <c r="D104" t="s">
        <v>575</v>
      </c>
      <c r="E104" s="6" t="s">
        <v>24</v>
      </c>
      <c r="F104" s="6">
        <v>1</v>
      </c>
      <c r="G104" s="6" t="s">
        <v>522</v>
      </c>
      <c r="I104" t="s">
        <v>592</v>
      </c>
      <c r="J104" t="s">
        <v>593</v>
      </c>
      <c r="L104" t="s">
        <v>52</v>
      </c>
      <c r="M104">
        <v>1</v>
      </c>
      <c r="P104" t="s">
        <v>1226</v>
      </c>
      <c r="Q104">
        <v>2</v>
      </c>
      <c r="R104" t="s">
        <v>1227</v>
      </c>
      <c r="S104">
        <v>0</v>
      </c>
      <c r="T104" t="s">
        <v>249</v>
      </c>
      <c r="U104" t="s">
        <v>59</v>
      </c>
      <c r="V104" t="s">
        <v>149</v>
      </c>
      <c r="W104" t="s">
        <v>222</v>
      </c>
      <c r="Y104">
        <f t="shared" si="27"/>
        <v>0</v>
      </c>
      <c r="Z104">
        <f t="shared" si="28"/>
        <v>0</v>
      </c>
      <c r="AA104">
        <f t="shared" si="29"/>
        <v>0</v>
      </c>
      <c r="AB104">
        <f t="shared" si="30"/>
        <v>0</v>
      </c>
      <c r="AC104">
        <f t="shared" si="31"/>
        <v>0</v>
      </c>
      <c r="AD104">
        <f t="shared" si="32"/>
        <v>0</v>
      </c>
      <c r="AE104">
        <f t="shared" si="33"/>
        <v>0</v>
      </c>
      <c r="AF104">
        <f t="shared" si="34"/>
        <v>0</v>
      </c>
      <c r="AG104">
        <f t="shared" si="35"/>
        <v>0</v>
      </c>
      <c r="AH104" t="s">
        <v>570</v>
      </c>
      <c r="AI104" t="s">
        <v>594</v>
      </c>
      <c r="AJ104" t="s">
        <v>595</v>
      </c>
    </row>
    <row r="105" spans="1:36" x14ac:dyDescent="0.2">
      <c r="A105" t="s">
        <v>217</v>
      </c>
      <c r="B105" t="s">
        <v>358</v>
      </c>
      <c r="C105" t="s">
        <v>39</v>
      </c>
      <c r="D105" t="s">
        <v>575</v>
      </c>
      <c r="E105" s="6" t="s">
        <v>24</v>
      </c>
      <c r="F105" s="6">
        <v>1</v>
      </c>
      <c r="G105" s="6" t="s">
        <v>522</v>
      </c>
      <c r="I105" t="s">
        <v>592</v>
      </c>
      <c r="J105" t="s">
        <v>593</v>
      </c>
      <c r="L105" t="s">
        <v>52</v>
      </c>
      <c r="M105">
        <v>1</v>
      </c>
      <c r="P105" t="s">
        <v>1228</v>
      </c>
      <c r="Q105">
        <v>3</v>
      </c>
      <c r="R105" t="s">
        <v>1229</v>
      </c>
      <c r="S105">
        <v>1</v>
      </c>
      <c r="T105" t="s">
        <v>172</v>
      </c>
      <c r="U105" t="s">
        <v>61</v>
      </c>
      <c r="V105" t="s">
        <v>169</v>
      </c>
      <c r="W105" t="s">
        <v>222</v>
      </c>
      <c r="Y105">
        <f t="shared" si="27"/>
        <v>0</v>
      </c>
      <c r="Z105">
        <f t="shared" si="28"/>
        <v>0</v>
      </c>
      <c r="AA105">
        <f t="shared" si="29"/>
        <v>0</v>
      </c>
      <c r="AB105">
        <f t="shared" si="30"/>
        <v>0</v>
      </c>
      <c r="AC105">
        <f t="shared" si="31"/>
        <v>0</v>
      </c>
      <c r="AD105">
        <f t="shared" si="32"/>
        <v>0</v>
      </c>
      <c r="AE105">
        <f t="shared" si="33"/>
        <v>0</v>
      </c>
      <c r="AF105">
        <f t="shared" si="34"/>
        <v>0</v>
      </c>
      <c r="AG105">
        <f t="shared" si="35"/>
        <v>0</v>
      </c>
      <c r="AH105" t="s">
        <v>570</v>
      </c>
      <c r="AI105" t="s">
        <v>594</v>
      </c>
      <c r="AJ105" t="s">
        <v>595</v>
      </c>
    </row>
    <row r="106" spans="1:36" x14ac:dyDescent="0.2">
      <c r="A106" t="s">
        <v>217</v>
      </c>
      <c r="B106" t="s">
        <v>358</v>
      </c>
      <c r="C106" t="s">
        <v>39</v>
      </c>
      <c r="D106" t="s">
        <v>575</v>
      </c>
      <c r="E106" s="6" t="s">
        <v>24</v>
      </c>
      <c r="F106" s="6">
        <v>1</v>
      </c>
      <c r="G106" s="6" t="s">
        <v>522</v>
      </c>
      <c r="I106" t="s">
        <v>592</v>
      </c>
      <c r="J106" t="s">
        <v>593</v>
      </c>
      <c r="L106" t="s">
        <v>52</v>
      </c>
      <c r="M106">
        <v>1</v>
      </c>
      <c r="P106" t="s">
        <v>1230</v>
      </c>
      <c r="Q106">
        <v>4</v>
      </c>
      <c r="R106" t="s">
        <v>1231</v>
      </c>
      <c r="S106">
        <v>2</v>
      </c>
      <c r="T106" t="s">
        <v>261</v>
      </c>
      <c r="V106" t="s">
        <v>129</v>
      </c>
      <c r="W106" t="s">
        <v>222</v>
      </c>
      <c r="Y106">
        <f t="shared" si="27"/>
        <v>0</v>
      </c>
      <c r="Z106">
        <f t="shared" si="28"/>
        <v>0</v>
      </c>
      <c r="AA106">
        <f t="shared" si="29"/>
        <v>0</v>
      </c>
      <c r="AB106">
        <f t="shared" si="30"/>
        <v>1</v>
      </c>
      <c r="AC106">
        <f t="shared" si="31"/>
        <v>0</v>
      </c>
      <c r="AD106">
        <f t="shared" si="32"/>
        <v>0</v>
      </c>
      <c r="AE106">
        <f t="shared" si="33"/>
        <v>0</v>
      </c>
      <c r="AF106">
        <f t="shared" si="34"/>
        <v>0</v>
      </c>
      <c r="AG106">
        <f t="shared" si="35"/>
        <v>0</v>
      </c>
      <c r="AH106" t="s">
        <v>570</v>
      </c>
      <c r="AI106" t="s">
        <v>594</v>
      </c>
      <c r="AJ106" t="s">
        <v>595</v>
      </c>
    </row>
    <row r="107" spans="1:36" x14ac:dyDescent="0.2">
      <c r="A107" t="s">
        <v>217</v>
      </c>
      <c r="B107" t="s">
        <v>358</v>
      </c>
      <c r="C107" t="s">
        <v>39</v>
      </c>
      <c r="D107" t="s">
        <v>575</v>
      </c>
      <c r="E107" s="6" t="s">
        <v>24</v>
      </c>
      <c r="F107" s="6">
        <v>1</v>
      </c>
      <c r="G107" s="6" t="s">
        <v>522</v>
      </c>
      <c r="I107" t="s">
        <v>592</v>
      </c>
      <c r="J107" t="s">
        <v>593</v>
      </c>
      <c r="L107" t="s">
        <v>52</v>
      </c>
      <c r="M107">
        <v>1</v>
      </c>
      <c r="P107" t="s">
        <v>1232</v>
      </c>
      <c r="Q107">
        <v>5</v>
      </c>
      <c r="R107" t="s">
        <v>1233</v>
      </c>
      <c r="S107">
        <v>3</v>
      </c>
      <c r="T107" t="s">
        <v>243</v>
      </c>
      <c r="V107" t="s">
        <v>148</v>
      </c>
      <c r="W107" t="s">
        <v>218</v>
      </c>
      <c r="Y107">
        <f t="shared" si="27"/>
        <v>0</v>
      </c>
      <c r="Z107">
        <f t="shared" si="28"/>
        <v>0</v>
      </c>
      <c r="AA107">
        <f t="shared" si="29"/>
        <v>0</v>
      </c>
      <c r="AB107">
        <f t="shared" si="30"/>
        <v>2</v>
      </c>
      <c r="AC107">
        <f t="shared" si="31"/>
        <v>0</v>
      </c>
      <c r="AD107">
        <f t="shared" si="32"/>
        <v>0</v>
      </c>
      <c r="AE107">
        <f t="shared" si="33"/>
        <v>0</v>
      </c>
      <c r="AF107">
        <f t="shared" si="34"/>
        <v>0</v>
      </c>
      <c r="AG107">
        <f t="shared" si="35"/>
        <v>0</v>
      </c>
      <c r="AH107" t="s">
        <v>570</v>
      </c>
      <c r="AI107" t="s">
        <v>594</v>
      </c>
      <c r="AJ107" t="s">
        <v>595</v>
      </c>
    </row>
    <row r="108" spans="1:36" x14ac:dyDescent="0.2">
      <c r="A108" t="s">
        <v>217</v>
      </c>
      <c r="B108" t="s">
        <v>358</v>
      </c>
      <c r="C108" t="s">
        <v>39</v>
      </c>
      <c r="D108" t="s">
        <v>575</v>
      </c>
      <c r="E108" s="6" t="s">
        <v>24</v>
      </c>
      <c r="F108" s="6">
        <v>1</v>
      </c>
      <c r="G108" s="6" t="s">
        <v>522</v>
      </c>
      <c r="I108" t="s">
        <v>592</v>
      </c>
      <c r="J108" t="s">
        <v>593</v>
      </c>
      <c r="L108" t="s">
        <v>52</v>
      </c>
      <c r="M108">
        <v>1</v>
      </c>
      <c r="P108" t="s">
        <v>1234</v>
      </c>
      <c r="Q108">
        <v>6</v>
      </c>
      <c r="R108" t="s">
        <v>1235</v>
      </c>
      <c r="S108">
        <v>4</v>
      </c>
      <c r="T108" t="s">
        <v>256</v>
      </c>
      <c r="V108" t="s">
        <v>148</v>
      </c>
      <c r="W108" t="s">
        <v>218</v>
      </c>
      <c r="Y108">
        <f t="shared" si="27"/>
        <v>0</v>
      </c>
      <c r="Z108">
        <f t="shared" si="28"/>
        <v>0</v>
      </c>
      <c r="AA108">
        <f t="shared" si="29"/>
        <v>0</v>
      </c>
      <c r="AB108">
        <f t="shared" si="30"/>
        <v>3</v>
      </c>
      <c r="AC108">
        <f t="shared" si="31"/>
        <v>0</v>
      </c>
      <c r="AD108">
        <f t="shared" si="32"/>
        <v>0</v>
      </c>
      <c r="AE108">
        <f t="shared" si="33"/>
        <v>0</v>
      </c>
      <c r="AF108">
        <f t="shared" si="34"/>
        <v>0</v>
      </c>
      <c r="AG108">
        <f t="shared" si="35"/>
        <v>0</v>
      </c>
      <c r="AH108" t="s">
        <v>570</v>
      </c>
      <c r="AI108" t="s">
        <v>594</v>
      </c>
      <c r="AJ108" t="s">
        <v>595</v>
      </c>
    </row>
    <row r="109" spans="1:36" x14ac:dyDescent="0.2">
      <c r="A109" t="s">
        <v>217</v>
      </c>
      <c r="B109" t="s">
        <v>359</v>
      </c>
      <c r="C109" t="s">
        <v>37</v>
      </c>
      <c r="D109" t="s">
        <v>596</v>
      </c>
      <c r="E109" s="6" t="s">
        <v>26</v>
      </c>
      <c r="F109" s="6">
        <v>1</v>
      </c>
      <c r="G109" s="6" t="s">
        <v>522</v>
      </c>
      <c r="I109" t="s">
        <v>597</v>
      </c>
      <c r="J109" t="s">
        <v>598</v>
      </c>
      <c r="L109" t="s">
        <v>50</v>
      </c>
      <c r="M109">
        <v>1</v>
      </c>
      <c r="P109" t="s">
        <v>1236</v>
      </c>
      <c r="Q109">
        <v>1</v>
      </c>
      <c r="R109" t="s">
        <v>1017</v>
      </c>
      <c r="S109">
        <v>0</v>
      </c>
      <c r="T109" t="s">
        <v>273</v>
      </c>
      <c r="U109" t="s">
        <v>65</v>
      </c>
      <c r="V109" t="s">
        <v>97</v>
      </c>
      <c r="W109" t="s">
        <v>222</v>
      </c>
      <c r="Y109">
        <f t="shared" si="27"/>
        <v>0</v>
      </c>
      <c r="Z109">
        <f t="shared" si="28"/>
        <v>0</v>
      </c>
      <c r="AA109">
        <f t="shared" si="29"/>
        <v>0</v>
      </c>
      <c r="AB109">
        <f t="shared" si="30"/>
        <v>4</v>
      </c>
      <c r="AC109">
        <f t="shared" si="31"/>
        <v>0</v>
      </c>
      <c r="AD109">
        <f t="shared" si="32"/>
        <v>0</v>
      </c>
      <c r="AE109">
        <f t="shared" si="33"/>
        <v>0</v>
      </c>
      <c r="AF109">
        <f t="shared" si="34"/>
        <v>0</v>
      </c>
      <c r="AG109">
        <f t="shared" si="35"/>
        <v>0</v>
      </c>
      <c r="AH109" t="s">
        <v>599</v>
      </c>
      <c r="AI109" t="s">
        <v>600</v>
      </c>
      <c r="AJ109" t="s">
        <v>601</v>
      </c>
    </row>
    <row r="110" spans="1:36" x14ac:dyDescent="0.2">
      <c r="A110" t="s">
        <v>217</v>
      </c>
      <c r="B110" t="s">
        <v>359</v>
      </c>
      <c r="C110" t="s">
        <v>37</v>
      </c>
      <c r="D110" t="s">
        <v>596</v>
      </c>
      <c r="E110" s="6" t="s">
        <v>26</v>
      </c>
      <c r="F110" s="6">
        <v>1</v>
      </c>
      <c r="G110" s="6" t="s">
        <v>522</v>
      </c>
      <c r="I110" t="s">
        <v>597</v>
      </c>
      <c r="J110" t="s">
        <v>598</v>
      </c>
      <c r="L110" t="s">
        <v>50</v>
      </c>
      <c r="M110">
        <v>1</v>
      </c>
      <c r="P110" t="s">
        <v>1237</v>
      </c>
      <c r="Q110">
        <v>2</v>
      </c>
      <c r="R110" t="s">
        <v>1238</v>
      </c>
      <c r="S110">
        <v>0</v>
      </c>
      <c r="T110" t="s">
        <v>1239</v>
      </c>
      <c r="U110" t="s">
        <v>58</v>
      </c>
      <c r="V110" t="s">
        <v>98</v>
      </c>
      <c r="W110" t="s">
        <v>222</v>
      </c>
      <c r="Y110">
        <f t="shared" si="27"/>
        <v>0</v>
      </c>
      <c r="Z110">
        <f t="shared" si="28"/>
        <v>0</v>
      </c>
      <c r="AA110">
        <f t="shared" si="29"/>
        <v>0</v>
      </c>
      <c r="AB110">
        <f t="shared" si="30"/>
        <v>0</v>
      </c>
      <c r="AC110">
        <f t="shared" si="31"/>
        <v>0</v>
      </c>
      <c r="AD110">
        <f t="shared" si="32"/>
        <v>0</v>
      </c>
      <c r="AE110">
        <f t="shared" si="33"/>
        <v>0</v>
      </c>
      <c r="AF110">
        <f t="shared" si="34"/>
        <v>0</v>
      </c>
      <c r="AG110">
        <f t="shared" si="35"/>
        <v>0</v>
      </c>
      <c r="AH110" t="s">
        <v>599</v>
      </c>
      <c r="AI110" t="s">
        <v>600</v>
      </c>
      <c r="AJ110" t="s">
        <v>601</v>
      </c>
    </row>
    <row r="111" spans="1:36" x14ac:dyDescent="0.2">
      <c r="A111" t="s">
        <v>217</v>
      </c>
      <c r="B111" t="s">
        <v>359</v>
      </c>
      <c r="C111" t="s">
        <v>37</v>
      </c>
      <c r="D111" t="s">
        <v>596</v>
      </c>
      <c r="E111" s="6" t="s">
        <v>26</v>
      </c>
      <c r="F111" s="6">
        <v>1</v>
      </c>
      <c r="G111" s="6" t="s">
        <v>522</v>
      </c>
      <c r="I111" t="s">
        <v>597</v>
      </c>
      <c r="J111" t="s">
        <v>598</v>
      </c>
      <c r="L111" t="s">
        <v>50</v>
      </c>
      <c r="M111">
        <v>1</v>
      </c>
      <c r="P111" t="s">
        <v>1240</v>
      </c>
      <c r="Q111">
        <v>3</v>
      </c>
      <c r="R111" t="s">
        <v>1241</v>
      </c>
      <c r="S111">
        <v>1</v>
      </c>
      <c r="T111" t="s">
        <v>246</v>
      </c>
      <c r="U111" t="s">
        <v>60</v>
      </c>
      <c r="V111" t="s">
        <v>165</v>
      </c>
      <c r="W111" t="s">
        <v>222</v>
      </c>
      <c r="Y111">
        <f t="shared" si="27"/>
        <v>0</v>
      </c>
      <c r="Z111">
        <f t="shared" si="28"/>
        <v>0</v>
      </c>
      <c r="AA111">
        <f t="shared" si="29"/>
        <v>0</v>
      </c>
      <c r="AB111">
        <f t="shared" si="30"/>
        <v>0</v>
      </c>
      <c r="AC111">
        <f t="shared" si="31"/>
        <v>0</v>
      </c>
      <c r="AD111">
        <f t="shared" si="32"/>
        <v>0</v>
      </c>
      <c r="AE111">
        <f t="shared" si="33"/>
        <v>0</v>
      </c>
      <c r="AF111">
        <f t="shared" si="34"/>
        <v>0</v>
      </c>
      <c r="AG111">
        <f t="shared" si="35"/>
        <v>0</v>
      </c>
      <c r="AH111" t="s">
        <v>599</v>
      </c>
      <c r="AI111" t="s">
        <v>600</v>
      </c>
      <c r="AJ111" t="s">
        <v>601</v>
      </c>
    </row>
    <row r="112" spans="1:36" x14ac:dyDescent="0.2">
      <c r="A112" t="s">
        <v>217</v>
      </c>
      <c r="B112" t="s">
        <v>359</v>
      </c>
      <c r="C112" t="s">
        <v>37</v>
      </c>
      <c r="D112" t="s">
        <v>596</v>
      </c>
      <c r="E112" s="6" t="s">
        <v>26</v>
      </c>
      <c r="F112" s="6">
        <v>1</v>
      </c>
      <c r="G112" s="6" t="s">
        <v>522</v>
      </c>
      <c r="I112" t="s">
        <v>597</v>
      </c>
      <c r="J112" t="s">
        <v>598</v>
      </c>
      <c r="L112" t="s">
        <v>50</v>
      </c>
      <c r="M112">
        <v>1</v>
      </c>
      <c r="P112" t="s">
        <v>1242</v>
      </c>
      <c r="Q112">
        <v>4</v>
      </c>
      <c r="R112" t="s">
        <v>1243</v>
      </c>
      <c r="S112">
        <v>2</v>
      </c>
      <c r="T112" t="s">
        <v>259</v>
      </c>
      <c r="U112" t="s">
        <v>61</v>
      </c>
      <c r="V112" t="s">
        <v>133</v>
      </c>
      <c r="W112" t="s">
        <v>222</v>
      </c>
      <c r="Y112">
        <f t="shared" si="27"/>
        <v>0</v>
      </c>
      <c r="Z112">
        <f t="shared" si="28"/>
        <v>0</v>
      </c>
      <c r="AA112">
        <f t="shared" si="29"/>
        <v>0</v>
      </c>
      <c r="AB112">
        <f t="shared" si="30"/>
        <v>0</v>
      </c>
      <c r="AC112">
        <f t="shared" si="31"/>
        <v>1</v>
      </c>
      <c r="AD112">
        <f t="shared" si="32"/>
        <v>0</v>
      </c>
      <c r="AE112">
        <f t="shared" si="33"/>
        <v>0</v>
      </c>
      <c r="AF112">
        <f t="shared" si="34"/>
        <v>0</v>
      </c>
      <c r="AG112">
        <f t="shared" si="35"/>
        <v>0</v>
      </c>
      <c r="AH112" t="s">
        <v>599</v>
      </c>
      <c r="AI112" t="s">
        <v>600</v>
      </c>
      <c r="AJ112" t="s">
        <v>601</v>
      </c>
    </row>
    <row r="113" spans="1:36" x14ac:dyDescent="0.2">
      <c r="A113" t="s">
        <v>217</v>
      </c>
      <c r="B113" t="s">
        <v>359</v>
      </c>
      <c r="C113" t="s">
        <v>37</v>
      </c>
      <c r="D113" t="s">
        <v>596</v>
      </c>
      <c r="E113" s="6" t="s">
        <v>26</v>
      </c>
      <c r="F113" s="6">
        <v>1</v>
      </c>
      <c r="G113" s="6" t="s">
        <v>522</v>
      </c>
      <c r="I113" t="s">
        <v>597</v>
      </c>
      <c r="J113" t="s">
        <v>598</v>
      </c>
      <c r="L113" t="s">
        <v>50</v>
      </c>
      <c r="M113">
        <v>1</v>
      </c>
      <c r="P113" t="s">
        <v>1244</v>
      </c>
      <c r="Q113">
        <v>5</v>
      </c>
      <c r="R113" t="s">
        <v>1245</v>
      </c>
      <c r="S113">
        <v>3</v>
      </c>
      <c r="T113" t="s">
        <v>243</v>
      </c>
      <c r="V113" t="s">
        <v>148</v>
      </c>
      <c r="W113" t="s">
        <v>218</v>
      </c>
      <c r="X113" t="s">
        <v>1246</v>
      </c>
      <c r="Y113">
        <f t="shared" si="27"/>
        <v>0</v>
      </c>
      <c r="Z113">
        <f t="shared" si="28"/>
        <v>0</v>
      </c>
      <c r="AA113">
        <f t="shared" si="29"/>
        <v>0</v>
      </c>
      <c r="AB113">
        <f t="shared" si="30"/>
        <v>0</v>
      </c>
      <c r="AC113">
        <f t="shared" si="31"/>
        <v>2</v>
      </c>
      <c r="AD113">
        <f t="shared" si="32"/>
        <v>0</v>
      </c>
      <c r="AE113">
        <f t="shared" si="33"/>
        <v>0</v>
      </c>
      <c r="AF113">
        <f t="shared" si="34"/>
        <v>0</v>
      </c>
      <c r="AG113">
        <f t="shared" si="35"/>
        <v>0</v>
      </c>
      <c r="AH113" t="s">
        <v>599</v>
      </c>
      <c r="AI113" t="s">
        <v>600</v>
      </c>
      <c r="AJ113" t="s">
        <v>601</v>
      </c>
    </row>
    <row r="114" spans="1:36" x14ac:dyDescent="0.2">
      <c r="A114" t="s">
        <v>217</v>
      </c>
      <c r="B114" t="s">
        <v>359</v>
      </c>
      <c r="C114" t="s">
        <v>37</v>
      </c>
      <c r="D114" t="s">
        <v>596</v>
      </c>
      <c r="E114" s="6" t="s">
        <v>26</v>
      </c>
      <c r="F114" s="6">
        <v>1</v>
      </c>
      <c r="G114" s="6" t="s">
        <v>522</v>
      </c>
      <c r="I114" t="s">
        <v>597</v>
      </c>
      <c r="J114" t="s">
        <v>598</v>
      </c>
      <c r="L114" t="s">
        <v>50</v>
      </c>
      <c r="M114">
        <v>1</v>
      </c>
      <c r="P114" t="s">
        <v>1247</v>
      </c>
      <c r="Q114">
        <v>6</v>
      </c>
      <c r="R114" t="s">
        <v>1248</v>
      </c>
      <c r="S114">
        <v>4</v>
      </c>
      <c r="T114" t="s">
        <v>256</v>
      </c>
      <c r="V114" t="s">
        <v>148</v>
      </c>
      <c r="W114" t="s">
        <v>218</v>
      </c>
      <c r="Y114">
        <f t="shared" si="27"/>
        <v>0</v>
      </c>
      <c r="Z114">
        <f t="shared" si="28"/>
        <v>0</v>
      </c>
      <c r="AA114">
        <f t="shared" si="29"/>
        <v>0</v>
      </c>
      <c r="AB114">
        <f t="shared" si="30"/>
        <v>0</v>
      </c>
      <c r="AC114">
        <f t="shared" si="31"/>
        <v>3</v>
      </c>
      <c r="AD114">
        <f t="shared" si="32"/>
        <v>0</v>
      </c>
      <c r="AE114">
        <f t="shared" si="33"/>
        <v>0</v>
      </c>
      <c r="AF114">
        <f t="shared" si="34"/>
        <v>0</v>
      </c>
      <c r="AG114">
        <f t="shared" si="35"/>
        <v>0</v>
      </c>
      <c r="AH114" t="s">
        <v>599</v>
      </c>
      <c r="AI114" t="s">
        <v>600</v>
      </c>
      <c r="AJ114" t="s">
        <v>601</v>
      </c>
    </row>
    <row r="115" spans="1:36" x14ac:dyDescent="0.2">
      <c r="A115" t="s">
        <v>217</v>
      </c>
      <c r="B115" t="s">
        <v>360</v>
      </c>
      <c r="C115" t="s">
        <v>39</v>
      </c>
      <c r="D115" t="s">
        <v>596</v>
      </c>
      <c r="E115" s="6" t="s">
        <v>26</v>
      </c>
      <c r="F115" s="6">
        <v>0.5</v>
      </c>
      <c r="G115" s="6" t="s">
        <v>24</v>
      </c>
      <c r="H115" s="6">
        <v>0.5</v>
      </c>
      <c r="I115" t="s">
        <v>602</v>
      </c>
      <c r="J115" t="s">
        <v>603</v>
      </c>
      <c r="L115" t="s">
        <v>50</v>
      </c>
      <c r="M115">
        <v>1</v>
      </c>
      <c r="P115" t="s">
        <v>1249</v>
      </c>
      <c r="Q115">
        <v>1</v>
      </c>
      <c r="R115" t="s">
        <v>1250</v>
      </c>
      <c r="S115">
        <v>0</v>
      </c>
      <c r="T115" t="s">
        <v>1188</v>
      </c>
      <c r="U115" t="s">
        <v>64</v>
      </c>
      <c r="V115" t="s">
        <v>68</v>
      </c>
      <c r="W115" t="s">
        <v>222</v>
      </c>
      <c r="Y115">
        <f t="shared" si="27"/>
        <v>0</v>
      </c>
      <c r="Z115">
        <f t="shared" si="28"/>
        <v>0</v>
      </c>
      <c r="AA115">
        <f t="shared" si="29"/>
        <v>0</v>
      </c>
      <c r="AB115">
        <f t="shared" si="30"/>
        <v>0</v>
      </c>
      <c r="AC115">
        <f t="shared" si="31"/>
        <v>4</v>
      </c>
      <c r="AD115">
        <f t="shared" si="32"/>
        <v>0</v>
      </c>
      <c r="AE115">
        <f t="shared" si="33"/>
        <v>0</v>
      </c>
      <c r="AF115">
        <f t="shared" si="34"/>
        <v>0</v>
      </c>
      <c r="AG115">
        <f t="shared" si="35"/>
        <v>0</v>
      </c>
      <c r="AH115" t="s">
        <v>570</v>
      </c>
      <c r="AI115" t="s">
        <v>571</v>
      </c>
      <c r="AJ115" t="s">
        <v>604</v>
      </c>
    </row>
    <row r="116" spans="1:36" x14ac:dyDescent="0.2">
      <c r="A116" t="s">
        <v>217</v>
      </c>
      <c r="B116" t="s">
        <v>360</v>
      </c>
      <c r="C116" t="s">
        <v>39</v>
      </c>
      <c r="D116" t="s">
        <v>596</v>
      </c>
      <c r="E116" s="6" t="s">
        <v>26</v>
      </c>
      <c r="F116" s="6">
        <v>0.5</v>
      </c>
      <c r="G116" s="6" t="s">
        <v>24</v>
      </c>
      <c r="H116" s="6">
        <v>0.5</v>
      </c>
      <c r="I116" t="s">
        <v>602</v>
      </c>
      <c r="J116" t="s">
        <v>603</v>
      </c>
      <c r="L116" t="s">
        <v>50</v>
      </c>
      <c r="M116">
        <v>1</v>
      </c>
      <c r="P116" t="s">
        <v>1251</v>
      </c>
      <c r="Q116">
        <v>2</v>
      </c>
      <c r="R116" t="s">
        <v>1252</v>
      </c>
      <c r="S116">
        <v>1</v>
      </c>
      <c r="T116" t="s">
        <v>245</v>
      </c>
      <c r="U116" t="s">
        <v>58</v>
      </c>
      <c r="V116" t="s">
        <v>68</v>
      </c>
      <c r="W116" t="s">
        <v>222</v>
      </c>
      <c r="Y116">
        <f t="shared" si="27"/>
        <v>0</v>
      </c>
      <c r="Z116">
        <f t="shared" si="28"/>
        <v>0</v>
      </c>
      <c r="AA116">
        <f t="shared" si="29"/>
        <v>0</v>
      </c>
      <c r="AB116">
        <f t="shared" si="30"/>
        <v>0</v>
      </c>
      <c r="AC116">
        <f t="shared" si="31"/>
        <v>0</v>
      </c>
      <c r="AD116">
        <f t="shared" si="32"/>
        <v>0</v>
      </c>
      <c r="AE116">
        <f t="shared" si="33"/>
        <v>0</v>
      </c>
      <c r="AF116">
        <f t="shared" si="34"/>
        <v>0</v>
      </c>
      <c r="AG116">
        <f t="shared" si="35"/>
        <v>0</v>
      </c>
      <c r="AH116" t="s">
        <v>570</v>
      </c>
      <c r="AI116" t="s">
        <v>571</v>
      </c>
      <c r="AJ116" t="s">
        <v>604</v>
      </c>
    </row>
    <row r="117" spans="1:36" x14ac:dyDescent="0.2">
      <c r="A117" t="s">
        <v>217</v>
      </c>
      <c r="B117" t="s">
        <v>360</v>
      </c>
      <c r="C117" t="s">
        <v>39</v>
      </c>
      <c r="D117" t="s">
        <v>596</v>
      </c>
      <c r="E117" s="6" t="s">
        <v>26</v>
      </c>
      <c r="F117" s="6">
        <v>0.5</v>
      </c>
      <c r="G117" s="6" t="s">
        <v>24</v>
      </c>
      <c r="H117" s="6">
        <v>0.5</v>
      </c>
      <c r="I117" t="s">
        <v>602</v>
      </c>
      <c r="J117" t="s">
        <v>603</v>
      </c>
      <c r="L117" t="s">
        <v>50</v>
      </c>
      <c r="M117">
        <v>1</v>
      </c>
      <c r="P117" t="s">
        <v>1253</v>
      </c>
      <c r="Q117">
        <v>3</v>
      </c>
      <c r="R117" t="s">
        <v>1254</v>
      </c>
      <c r="S117">
        <v>2</v>
      </c>
      <c r="T117" t="s">
        <v>259</v>
      </c>
      <c r="U117" t="s">
        <v>61</v>
      </c>
      <c r="V117" t="s">
        <v>106</v>
      </c>
      <c r="W117" t="s">
        <v>222</v>
      </c>
      <c r="Y117">
        <f t="shared" si="27"/>
        <v>0</v>
      </c>
      <c r="Z117">
        <f t="shared" si="28"/>
        <v>0</v>
      </c>
      <c r="AA117">
        <f t="shared" si="29"/>
        <v>0</v>
      </c>
      <c r="AB117">
        <f t="shared" si="30"/>
        <v>0.5</v>
      </c>
      <c r="AC117">
        <f t="shared" si="31"/>
        <v>0.5</v>
      </c>
      <c r="AD117">
        <f t="shared" si="32"/>
        <v>0</v>
      </c>
      <c r="AE117">
        <f t="shared" si="33"/>
        <v>0</v>
      </c>
      <c r="AF117">
        <f t="shared" si="34"/>
        <v>0</v>
      </c>
      <c r="AG117">
        <f t="shared" si="35"/>
        <v>0</v>
      </c>
      <c r="AH117" t="s">
        <v>570</v>
      </c>
      <c r="AI117" t="s">
        <v>571</v>
      </c>
      <c r="AJ117" t="s">
        <v>604</v>
      </c>
    </row>
    <row r="118" spans="1:36" x14ac:dyDescent="0.2">
      <c r="A118" t="s">
        <v>217</v>
      </c>
      <c r="B118" t="s">
        <v>360</v>
      </c>
      <c r="C118" t="s">
        <v>39</v>
      </c>
      <c r="D118" t="s">
        <v>596</v>
      </c>
      <c r="E118" s="6" t="s">
        <v>26</v>
      </c>
      <c r="F118" s="6">
        <v>0.5</v>
      </c>
      <c r="G118" s="6" t="s">
        <v>24</v>
      </c>
      <c r="H118" s="6">
        <v>0.5</v>
      </c>
      <c r="I118" t="s">
        <v>602</v>
      </c>
      <c r="J118" t="s">
        <v>603</v>
      </c>
      <c r="L118" t="s">
        <v>50</v>
      </c>
      <c r="M118">
        <v>1</v>
      </c>
      <c r="P118" t="s">
        <v>1255</v>
      </c>
      <c r="Q118">
        <v>4</v>
      </c>
      <c r="R118" t="s">
        <v>1256</v>
      </c>
      <c r="S118">
        <v>3</v>
      </c>
      <c r="T118" t="s">
        <v>243</v>
      </c>
      <c r="V118" t="s">
        <v>148</v>
      </c>
      <c r="W118" t="s">
        <v>218</v>
      </c>
      <c r="Y118">
        <f t="shared" si="27"/>
        <v>0</v>
      </c>
      <c r="Z118">
        <f t="shared" si="28"/>
        <v>0</v>
      </c>
      <c r="AA118">
        <f t="shared" si="29"/>
        <v>0</v>
      </c>
      <c r="AB118">
        <f t="shared" si="30"/>
        <v>1</v>
      </c>
      <c r="AC118">
        <f t="shared" si="31"/>
        <v>1</v>
      </c>
      <c r="AD118">
        <f t="shared" si="32"/>
        <v>0</v>
      </c>
      <c r="AE118">
        <f t="shared" si="33"/>
        <v>0</v>
      </c>
      <c r="AF118">
        <f t="shared" si="34"/>
        <v>0</v>
      </c>
      <c r="AG118">
        <f t="shared" si="35"/>
        <v>0</v>
      </c>
      <c r="AH118" t="s">
        <v>570</v>
      </c>
      <c r="AI118" t="s">
        <v>571</v>
      </c>
      <c r="AJ118" t="s">
        <v>604</v>
      </c>
    </row>
    <row r="119" spans="1:36" x14ac:dyDescent="0.2">
      <c r="A119" t="s">
        <v>217</v>
      </c>
      <c r="B119" t="s">
        <v>360</v>
      </c>
      <c r="C119" t="s">
        <v>39</v>
      </c>
      <c r="D119" t="s">
        <v>596</v>
      </c>
      <c r="E119" s="6" t="s">
        <v>26</v>
      </c>
      <c r="F119" s="6">
        <v>0.5</v>
      </c>
      <c r="G119" s="6" t="s">
        <v>24</v>
      </c>
      <c r="H119" s="6">
        <v>0.5</v>
      </c>
      <c r="I119" t="s">
        <v>602</v>
      </c>
      <c r="J119" t="s">
        <v>603</v>
      </c>
      <c r="L119" t="s">
        <v>50</v>
      </c>
      <c r="M119">
        <v>1</v>
      </c>
      <c r="P119" t="s">
        <v>1257</v>
      </c>
      <c r="Q119">
        <v>5</v>
      </c>
      <c r="R119" t="s">
        <v>1258</v>
      </c>
      <c r="S119">
        <v>4</v>
      </c>
      <c r="T119" t="s">
        <v>256</v>
      </c>
      <c r="V119" t="s">
        <v>148</v>
      </c>
      <c r="W119" t="s">
        <v>218</v>
      </c>
      <c r="Y119">
        <f t="shared" si="27"/>
        <v>0</v>
      </c>
      <c r="Z119">
        <f t="shared" si="28"/>
        <v>0</v>
      </c>
      <c r="AA119">
        <f t="shared" si="29"/>
        <v>0</v>
      </c>
      <c r="AB119">
        <f t="shared" si="30"/>
        <v>1.5</v>
      </c>
      <c r="AC119">
        <f t="shared" si="31"/>
        <v>1.5</v>
      </c>
      <c r="AD119">
        <f t="shared" si="32"/>
        <v>0</v>
      </c>
      <c r="AE119">
        <f t="shared" si="33"/>
        <v>0</v>
      </c>
      <c r="AF119">
        <f t="shared" si="34"/>
        <v>0</v>
      </c>
      <c r="AG119">
        <f t="shared" si="35"/>
        <v>0</v>
      </c>
      <c r="AH119" t="s">
        <v>570</v>
      </c>
      <c r="AI119" t="s">
        <v>571</v>
      </c>
      <c r="AJ119" t="s">
        <v>604</v>
      </c>
    </row>
    <row r="120" spans="1:36" x14ac:dyDescent="0.2">
      <c r="A120" t="s">
        <v>217</v>
      </c>
      <c r="B120" t="s">
        <v>361</v>
      </c>
      <c r="C120" t="s">
        <v>39</v>
      </c>
      <c r="D120" t="s">
        <v>596</v>
      </c>
      <c r="E120" s="6" t="s">
        <v>26</v>
      </c>
      <c r="F120" s="6">
        <v>0.5</v>
      </c>
      <c r="G120" s="6" t="s">
        <v>20</v>
      </c>
      <c r="H120" s="6">
        <v>0.5</v>
      </c>
      <c r="I120" t="s">
        <v>605</v>
      </c>
      <c r="J120" t="s">
        <v>606</v>
      </c>
      <c r="L120" t="s">
        <v>50</v>
      </c>
      <c r="M120">
        <v>1</v>
      </c>
      <c r="P120" t="s">
        <v>1259</v>
      </c>
      <c r="Q120">
        <v>1</v>
      </c>
      <c r="R120" t="s">
        <v>1017</v>
      </c>
      <c r="S120">
        <v>0</v>
      </c>
      <c r="T120" t="s">
        <v>273</v>
      </c>
      <c r="U120" t="s">
        <v>65</v>
      </c>
      <c r="V120" t="s">
        <v>141</v>
      </c>
      <c r="W120" t="s">
        <v>222</v>
      </c>
      <c r="Y120">
        <f t="shared" si="27"/>
        <v>0</v>
      </c>
      <c r="Z120">
        <f t="shared" si="28"/>
        <v>0</v>
      </c>
      <c r="AA120">
        <f t="shared" si="29"/>
        <v>0</v>
      </c>
      <c r="AB120">
        <f t="shared" si="30"/>
        <v>2</v>
      </c>
      <c r="AC120">
        <f t="shared" si="31"/>
        <v>2</v>
      </c>
      <c r="AD120">
        <f t="shared" si="32"/>
        <v>0</v>
      </c>
      <c r="AE120">
        <f t="shared" si="33"/>
        <v>0</v>
      </c>
      <c r="AF120">
        <f t="shared" si="34"/>
        <v>0</v>
      </c>
      <c r="AG120">
        <f t="shared" si="35"/>
        <v>0</v>
      </c>
      <c r="AH120" t="s">
        <v>570</v>
      </c>
      <c r="AI120" t="s">
        <v>607</v>
      </c>
      <c r="AJ120" t="s">
        <v>608</v>
      </c>
    </row>
    <row r="121" spans="1:36" x14ac:dyDescent="0.2">
      <c r="A121" t="s">
        <v>217</v>
      </c>
      <c r="B121" t="s">
        <v>361</v>
      </c>
      <c r="C121" t="s">
        <v>39</v>
      </c>
      <c r="D121" t="s">
        <v>596</v>
      </c>
      <c r="E121" s="6" t="s">
        <v>26</v>
      </c>
      <c r="F121" s="6">
        <v>0.5</v>
      </c>
      <c r="G121" s="6" t="s">
        <v>20</v>
      </c>
      <c r="H121" s="6">
        <v>0.5</v>
      </c>
      <c r="I121" t="s">
        <v>605</v>
      </c>
      <c r="J121" t="s">
        <v>606</v>
      </c>
      <c r="L121" t="s">
        <v>50</v>
      </c>
      <c r="M121">
        <v>1</v>
      </c>
      <c r="P121" t="s">
        <v>1260</v>
      </c>
      <c r="Q121">
        <v>2</v>
      </c>
      <c r="R121" t="s">
        <v>1261</v>
      </c>
      <c r="S121">
        <v>0</v>
      </c>
      <c r="T121" t="s">
        <v>242</v>
      </c>
      <c r="U121" t="s">
        <v>58</v>
      </c>
      <c r="V121" t="s">
        <v>141</v>
      </c>
      <c r="W121" t="s">
        <v>222</v>
      </c>
      <c r="Y121">
        <f t="shared" si="27"/>
        <v>0</v>
      </c>
      <c r="Z121">
        <f t="shared" si="28"/>
        <v>0</v>
      </c>
      <c r="AA121">
        <f t="shared" si="29"/>
        <v>0</v>
      </c>
      <c r="AB121">
        <f t="shared" si="30"/>
        <v>0</v>
      </c>
      <c r="AC121">
        <f t="shared" si="31"/>
        <v>0</v>
      </c>
      <c r="AD121">
        <f t="shared" si="32"/>
        <v>0</v>
      </c>
      <c r="AE121">
        <f t="shared" si="33"/>
        <v>0</v>
      </c>
      <c r="AF121">
        <f t="shared" si="34"/>
        <v>0</v>
      </c>
      <c r="AG121">
        <f t="shared" si="35"/>
        <v>0</v>
      </c>
      <c r="AH121" t="s">
        <v>570</v>
      </c>
      <c r="AI121" t="s">
        <v>607</v>
      </c>
      <c r="AJ121" t="s">
        <v>608</v>
      </c>
    </row>
    <row r="122" spans="1:36" x14ac:dyDescent="0.2">
      <c r="A122" t="s">
        <v>217</v>
      </c>
      <c r="B122" t="s">
        <v>361</v>
      </c>
      <c r="C122" t="s">
        <v>39</v>
      </c>
      <c r="D122" t="s">
        <v>596</v>
      </c>
      <c r="E122" s="6" t="s">
        <v>26</v>
      </c>
      <c r="F122" s="6">
        <v>0.5</v>
      </c>
      <c r="G122" s="6" t="s">
        <v>20</v>
      </c>
      <c r="H122" s="6">
        <v>0.5</v>
      </c>
      <c r="I122" t="s">
        <v>605</v>
      </c>
      <c r="J122" t="s">
        <v>606</v>
      </c>
      <c r="L122" t="s">
        <v>50</v>
      </c>
      <c r="M122">
        <v>1</v>
      </c>
      <c r="P122" t="s">
        <v>1262</v>
      </c>
      <c r="Q122">
        <v>3</v>
      </c>
      <c r="R122" t="s">
        <v>1263</v>
      </c>
      <c r="S122">
        <v>1</v>
      </c>
      <c r="T122" t="s">
        <v>245</v>
      </c>
      <c r="U122" t="s">
        <v>60</v>
      </c>
      <c r="V122" t="s">
        <v>142</v>
      </c>
      <c r="W122" t="s">
        <v>222</v>
      </c>
      <c r="Y122">
        <f t="shared" si="27"/>
        <v>0</v>
      </c>
      <c r="Z122">
        <f t="shared" si="28"/>
        <v>0</v>
      </c>
      <c r="AA122">
        <f t="shared" si="29"/>
        <v>0</v>
      </c>
      <c r="AB122">
        <f t="shared" si="30"/>
        <v>0</v>
      </c>
      <c r="AC122">
        <f t="shared" si="31"/>
        <v>0</v>
      </c>
      <c r="AD122">
        <f t="shared" si="32"/>
        <v>0</v>
      </c>
      <c r="AE122">
        <f t="shared" si="33"/>
        <v>0</v>
      </c>
      <c r="AF122">
        <f t="shared" si="34"/>
        <v>0</v>
      </c>
      <c r="AG122">
        <f t="shared" si="35"/>
        <v>0</v>
      </c>
      <c r="AH122" t="s">
        <v>570</v>
      </c>
      <c r="AI122" t="s">
        <v>607</v>
      </c>
      <c r="AJ122" t="s">
        <v>608</v>
      </c>
    </row>
    <row r="123" spans="1:36" x14ac:dyDescent="0.2">
      <c r="A123" t="s">
        <v>217</v>
      </c>
      <c r="B123" t="s">
        <v>361</v>
      </c>
      <c r="C123" t="s">
        <v>39</v>
      </c>
      <c r="D123" t="s">
        <v>596</v>
      </c>
      <c r="E123" s="6" t="s">
        <v>26</v>
      </c>
      <c r="F123" s="6">
        <v>0.5</v>
      </c>
      <c r="G123" s="6" t="s">
        <v>20</v>
      </c>
      <c r="H123" s="6">
        <v>0.5</v>
      </c>
      <c r="I123" t="s">
        <v>605</v>
      </c>
      <c r="J123" t="s">
        <v>606</v>
      </c>
      <c r="L123" t="s">
        <v>50</v>
      </c>
      <c r="M123">
        <v>1</v>
      </c>
      <c r="P123" t="s">
        <v>1264</v>
      </c>
      <c r="Q123">
        <v>4</v>
      </c>
      <c r="R123" t="s">
        <v>1265</v>
      </c>
      <c r="S123">
        <v>2</v>
      </c>
      <c r="T123" t="s">
        <v>261</v>
      </c>
      <c r="V123" t="s">
        <v>137</v>
      </c>
      <c r="W123" t="s">
        <v>222</v>
      </c>
      <c r="Y123">
        <f t="shared" si="27"/>
        <v>0</v>
      </c>
      <c r="Z123">
        <f t="shared" si="28"/>
        <v>0.5</v>
      </c>
      <c r="AA123">
        <f t="shared" si="29"/>
        <v>0</v>
      </c>
      <c r="AB123">
        <f t="shared" si="30"/>
        <v>0</v>
      </c>
      <c r="AC123">
        <f t="shared" si="31"/>
        <v>0.5</v>
      </c>
      <c r="AD123">
        <f t="shared" si="32"/>
        <v>0</v>
      </c>
      <c r="AE123">
        <f t="shared" si="33"/>
        <v>0</v>
      </c>
      <c r="AF123">
        <f t="shared" si="34"/>
        <v>0</v>
      </c>
      <c r="AG123">
        <f t="shared" si="35"/>
        <v>0</v>
      </c>
      <c r="AH123" t="s">
        <v>570</v>
      </c>
      <c r="AI123" t="s">
        <v>607</v>
      </c>
      <c r="AJ123" t="s">
        <v>608</v>
      </c>
    </row>
    <row r="124" spans="1:36" x14ac:dyDescent="0.2">
      <c r="A124" t="s">
        <v>217</v>
      </c>
      <c r="B124" t="s">
        <v>361</v>
      </c>
      <c r="C124" t="s">
        <v>39</v>
      </c>
      <c r="D124" t="s">
        <v>596</v>
      </c>
      <c r="E124" s="6" t="s">
        <v>26</v>
      </c>
      <c r="F124" s="6">
        <v>0.5</v>
      </c>
      <c r="G124" s="6" t="s">
        <v>20</v>
      </c>
      <c r="H124" s="6">
        <v>0.5</v>
      </c>
      <c r="I124" t="s">
        <v>605</v>
      </c>
      <c r="J124" t="s">
        <v>606</v>
      </c>
      <c r="L124" t="s">
        <v>50</v>
      </c>
      <c r="M124">
        <v>1</v>
      </c>
      <c r="P124" t="s">
        <v>1266</v>
      </c>
      <c r="Q124">
        <v>5</v>
      </c>
      <c r="R124" t="s">
        <v>1267</v>
      </c>
      <c r="S124">
        <v>3</v>
      </c>
      <c r="T124" t="s">
        <v>243</v>
      </c>
      <c r="V124" t="s">
        <v>148</v>
      </c>
      <c r="W124" t="s">
        <v>218</v>
      </c>
      <c r="Y124">
        <f t="shared" si="27"/>
        <v>0</v>
      </c>
      <c r="Z124">
        <f t="shared" si="28"/>
        <v>1</v>
      </c>
      <c r="AA124">
        <f t="shared" si="29"/>
        <v>0</v>
      </c>
      <c r="AB124">
        <f t="shared" si="30"/>
        <v>0</v>
      </c>
      <c r="AC124">
        <f t="shared" si="31"/>
        <v>1</v>
      </c>
      <c r="AD124">
        <f t="shared" si="32"/>
        <v>0</v>
      </c>
      <c r="AE124">
        <f t="shared" si="33"/>
        <v>0</v>
      </c>
      <c r="AF124">
        <f t="shared" si="34"/>
        <v>0</v>
      </c>
      <c r="AG124">
        <f t="shared" si="35"/>
        <v>0</v>
      </c>
      <c r="AH124" t="s">
        <v>570</v>
      </c>
      <c r="AI124" t="s">
        <v>607</v>
      </c>
      <c r="AJ124" t="s">
        <v>608</v>
      </c>
    </row>
    <row r="125" spans="1:36" x14ac:dyDescent="0.2">
      <c r="A125" t="s">
        <v>217</v>
      </c>
      <c r="B125" t="s">
        <v>361</v>
      </c>
      <c r="C125" t="s">
        <v>39</v>
      </c>
      <c r="D125" t="s">
        <v>596</v>
      </c>
      <c r="E125" s="6" t="s">
        <v>26</v>
      </c>
      <c r="F125" s="6">
        <v>0.5</v>
      </c>
      <c r="G125" s="6" t="s">
        <v>20</v>
      </c>
      <c r="H125" s="6">
        <v>0.5</v>
      </c>
      <c r="I125" t="s">
        <v>605</v>
      </c>
      <c r="J125" t="s">
        <v>606</v>
      </c>
      <c r="L125" t="s">
        <v>50</v>
      </c>
      <c r="M125">
        <v>1</v>
      </c>
      <c r="P125" t="s">
        <v>1268</v>
      </c>
      <c r="Q125">
        <v>6</v>
      </c>
      <c r="R125" t="s">
        <v>1269</v>
      </c>
      <c r="S125">
        <v>4</v>
      </c>
      <c r="T125" t="s">
        <v>256</v>
      </c>
      <c r="V125" t="s">
        <v>148</v>
      </c>
      <c r="W125" t="s">
        <v>218</v>
      </c>
      <c r="Y125">
        <f t="shared" si="27"/>
        <v>0</v>
      </c>
      <c r="Z125">
        <f t="shared" si="28"/>
        <v>1.5</v>
      </c>
      <c r="AA125">
        <f t="shared" si="29"/>
        <v>0</v>
      </c>
      <c r="AB125">
        <f t="shared" si="30"/>
        <v>0</v>
      </c>
      <c r="AC125">
        <f t="shared" si="31"/>
        <v>1.5</v>
      </c>
      <c r="AD125">
        <f t="shared" si="32"/>
        <v>0</v>
      </c>
      <c r="AE125">
        <f t="shared" si="33"/>
        <v>0</v>
      </c>
      <c r="AF125">
        <f t="shared" si="34"/>
        <v>0</v>
      </c>
      <c r="AG125">
        <f t="shared" si="35"/>
        <v>0</v>
      </c>
      <c r="AH125" t="s">
        <v>570</v>
      </c>
      <c r="AI125" t="s">
        <v>607</v>
      </c>
      <c r="AJ125" t="s">
        <v>608</v>
      </c>
    </row>
    <row r="126" spans="1:36" x14ac:dyDescent="0.2">
      <c r="A126" t="s">
        <v>217</v>
      </c>
      <c r="B126" t="s">
        <v>362</v>
      </c>
      <c r="C126" t="s">
        <v>39</v>
      </c>
      <c r="D126" t="s">
        <v>596</v>
      </c>
      <c r="E126" s="6" t="s">
        <v>26</v>
      </c>
      <c r="F126" s="6">
        <v>1</v>
      </c>
      <c r="G126" s="6" t="s">
        <v>522</v>
      </c>
      <c r="I126" t="s">
        <v>609</v>
      </c>
      <c r="J126" t="s">
        <v>610</v>
      </c>
      <c r="L126" t="s">
        <v>50</v>
      </c>
      <c r="M126">
        <v>1</v>
      </c>
      <c r="P126" t="s">
        <v>1270</v>
      </c>
      <c r="Q126">
        <v>1</v>
      </c>
      <c r="R126" t="s">
        <v>1017</v>
      </c>
      <c r="S126">
        <v>0</v>
      </c>
      <c r="T126" t="s">
        <v>273</v>
      </c>
      <c r="U126" t="s">
        <v>65</v>
      </c>
      <c r="V126" t="s">
        <v>98</v>
      </c>
      <c r="W126" t="s">
        <v>222</v>
      </c>
      <c r="Y126">
        <f t="shared" si="27"/>
        <v>0</v>
      </c>
      <c r="Z126">
        <f t="shared" si="28"/>
        <v>2</v>
      </c>
      <c r="AA126">
        <f t="shared" si="29"/>
        <v>0</v>
      </c>
      <c r="AB126">
        <f t="shared" si="30"/>
        <v>0</v>
      </c>
      <c r="AC126">
        <f t="shared" si="31"/>
        <v>2</v>
      </c>
      <c r="AD126">
        <f t="shared" si="32"/>
        <v>0</v>
      </c>
      <c r="AE126">
        <f t="shared" si="33"/>
        <v>0</v>
      </c>
      <c r="AF126">
        <f t="shared" si="34"/>
        <v>0</v>
      </c>
      <c r="AG126">
        <f t="shared" si="35"/>
        <v>0</v>
      </c>
      <c r="AH126" t="s">
        <v>599</v>
      </c>
      <c r="AI126" t="s">
        <v>600</v>
      </c>
      <c r="AJ126" t="s">
        <v>601</v>
      </c>
    </row>
    <row r="127" spans="1:36" x14ac:dyDescent="0.2">
      <c r="A127" t="s">
        <v>217</v>
      </c>
      <c r="B127" t="s">
        <v>362</v>
      </c>
      <c r="C127" t="s">
        <v>39</v>
      </c>
      <c r="D127" t="s">
        <v>596</v>
      </c>
      <c r="E127" s="6" t="s">
        <v>26</v>
      </c>
      <c r="F127" s="6">
        <v>1</v>
      </c>
      <c r="G127" s="6" t="s">
        <v>522</v>
      </c>
      <c r="I127" t="s">
        <v>609</v>
      </c>
      <c r="J127" t="s">
        <v>610</v>
      </c>
      <c r="L127" t="s">
        <v>50</v>
      </c>
      <c r="M127">
        <v>1</v>
      </c>
      <c r="P127" t="s">
        <v>1271</v>
      </c>
      <c r="Q127">
        <v>2</v>
      </c>
      <c r="R127" t="s">
        <v>1272</v>
      </c>
      <c r="S127">
        <v>0</v>
      </c>
      <c r="T127" t="s">
        <v>176</v>
      </c>
      <c r="U127" t="s">
        <v>64</v>
      </c>
      <c r="V127" t="s">
        <v>82</v>
      </c>
      <c r="W127" t="s">
        <v>222</v>
      </c>
      <c r="Y127">
        <f t="shared" si="27"/>
        <v>0</v>
      </c>
      <c r="Z127">
        <f t="shared" si="28"/>
        <v>0</v>
      </c>
      <c r="AA127">
        <f t="shared" si="29"/>
        <v>0</v>
      </c>
      <c r="AB127">
        <f t="shared" si="30"/>
        <v>0</v>
      </c>
      <c r="AC127">
        <f t="shared" si="31"/>
        <v>0</v>
      </c>
      <c r="AD127">
        <f t="shared" si="32"/>
        <v>0</v>
      </c>
      <c r="AE127">
        <f t="shared" si="33"/>
        <v>0</v>
      </c>
      <c r="AF127">
        <f t="shared" si="34"/>
        <v>0</v>
      </c>
      <c r="AG127">
        <f t="shared" si="35"/>
        <v>0</v>
      </c>
      <c r="AH127" t="s">
        <v>599</v>
      </c>
      <c r="AI127" t="s">
        <v>600</v>
      </c>
      <c r="AJ127" t="s">
        <v>601</v>
      </c>
    </row>
    <row r="128" spans="1:36" x14ac:dyDescent="0.2">
      <c r="A128" t="s">
        <v>217</v>
      </c>
      <c r="B128" t="s">
        <v>362</v>
      </c>
      <c r="C128" t="s">
        <v>39</v>
      </c>
      <c r="D128" t="s">
        <v>596</v>
      </c>
      <c r="E128" s="6" t="s">
        <v>26</v>
      </c>
      <c r="F128" s="6">
        <v>1</v>
      </c>
      <c r="G128" s="6" t="s">
        <v>522</v>
      </c>
      <c r="I128" t="s">
        <v>609</v>
      </c>
      <c r="J128" t="s">
        <v>610</v>
      </c>
      <c r="L128" t="s">
        <v>50</v>
      </c>
      <c r="M128">
        <v>1</v>
      </c>
      <c r="P128" t="s">
        <v>1273</v>
      </c>
      <c r="Q128">
        <v>3</v>
      </c>
      <c r="R128" t="s">
        <v>1274</v>
      </c>
      <c r="S128">
        <v>1</v>
      </c>
      <c r="T128" t="s">
        <v>246</v>
      </c>
      <c r="U128" t="s">
        <v>63</v>
      </c>
      <c r="V128" t="s">
        <v>124</v>
      </c>
      <c r="W128" t="s">
        <v>222</v>
      </c>
      <c r="Y128">
        <f t="shared" si="27"/>
        <v>0</v>
      </c>
      <c r="Z128">
        <f t="shared" si="28"/>
        <v>0</v>
      </c>
      <c r="AA128">
        <f t="shared" si="29"/>
        <v>0</v>
      </c>
      <c r="AB128">
        <f t="shared" si="30"/>
        <v>0</v>
      </c>
      <c r="AC128">
        <f t="shared" si="31"/>
        <v>0</v>
      </c>
      <c r="AD128">
        <f t="shared" si="32"/>
        <v>0</v>
      </c>
      <c r="AE128">
        <f t="shared" si="33"/>
        <v>0</v>
      </c>
      <c r="AF128">
        <f t="shared" si="34"/>
        <v>0</v>
      </c>
      <c r="AG128">
        <f t="shared" si="35"/>
        <v>0</v>
      </c>
      <c r="AH128" t="s">
        <v>599</v>
      </c>
      <c r="AI128" t="s">
        <v>600</v>
      </c>
      <c r="AJ128" t="s">
        <v>601</v>
      </c>
    </row>
    <row r="129" spans="1:36" x14ac:dyDescent="0.2">
      <c r="A129" t="s">
        <v>217</v>
      </c>
      <c r="B129" t="s">
        <v>362</v>
      </c>
      <c r="C129" t="s">
        <v>39</v>
      </c>
      <c r="D129" t="s">
        <v>596</v>
      </c>
      <c r="E129" s="6" t="s">
        <v>26</v>
      </c>
      <c r="F129" s="6">
        <v>1</v>
      </c>
      <c r="G129" s="6" t="s">
        <v>522</v>
      </c>
      <c r="I129" t="s">
        <v>609</v>
      </c>
      <c r="J129" t="s">
        <v>610</v>
      </c>
      <c r="L129" t="s">
        <v>50</v>
      </c>
      <c r="M129">
        <v>1</v>
      </c>
      <c r="P129" t="s">
        <v>1275</v>
      </c>
      <c r="Q129">
        <v>4</v>
      </c>
      <c r="R129" t="s">
        <v>1276</v>
      </c>
      <c r="S129">
        <v>2</v>
      </c>
      <c r="T129" t="s">
        <v>259</v>
      </c>
      <c r="U129" t="s">
        <v>61</v>
      </c>
      <c r="V129" t="s">
        <v>82</v>
      </c>
      <c r="W129" t="s">
        <v>222</v>
      </c>
      <c r="Y129">
        <f t="shared" si="27"/>
        <v>0</v>
      </c>
      <c r="Z129">
        <f t="shared" si="28"/>
        <v>0</v>
      </c>
      <c r="AA129">
        <f t="shared" si="29"/>
        <v>0</v>
      </c>
      <c r="AB129">
        <f t="shared" si="30"/>
        <v>0</v>
      </c>
      <c r="AC129">
        <f t="shared" si="31"/>
        <v>1</v>
      </c>
      <c r="AD129">
        <f t="shared" si="32"/>
        <v>0</v>
      </c>
      <c r="AE129">
        <f t="shared" si="33"/>
        <v>0</v>
      </c>
      <c r="AF129">
        <f t="shared" si="34"/>
        <v>0</v>
      </c>
      <c r="AG129">
        <f t="shared" si="35"/>
        <v>0</v>
      </c>
      <c r="AH129" t="s">
        <v>599</v>
      </c>
      <c r="AI129" t="s">
        <v>600</v>
      </c>
      <c r="AJ129" t="s">
        <v>601</v>
      </c>
    </row>
    <row r="130" spans="1:36" x14ac:dyDescent="0.2">
      <c r="A130" t="s">
        <v>217</v>
      </c>
      <c r="B130" t="s">
        <v>362</v>
      </c>
      <c r="C130" t="s">
        <v>39</v>
      </c>
      <c r="D130" t="s">
        <v>596</v>
      </c>
      <c r="E130" s="6" t="s">
        <v>26</v>
      </c>
      <c r="F130" s="6">
        <v>1</v>
      </c>
      <c r="G130" s="6" t="s">
        <v>522</v>
      </c>
      <c r="I130" t="s">
        <v>609</v>
      </c>
      <c r="J130" t="s">
        <v>610</v>
      </c>
      <c r="L130" t="s">
        <v>50</v>
      </c>
      <c r="M130">
        <v>1</v>
      </c>
      <c r="P130" t="s">
        <v>1277</v>
      </c>
      <c r="Q130">
        <v>5</v>
      </c>
      <c r="R130" t="s">
        <v>1278</v>
      </c>
      <c r="S130">
        <v>3</v>
      </c>
      <c r="T130" t="s">
        <v>243</v>
      </c>
      <c r="V130" t="s">
        <v>148</v>
      </c>
      <c r="W130" t="s">
        <v>218</v>
      </c>
      <c r="Y130">
        <f t="shared" si="27"/>
        <v>0</v>
      </c>
      <c r="Z130">
        <f t="shared" si="28"/>
        <v>0</v>
      </c>
      <c r="AA130">
        <f t="shared" si="29"/>
        <v>0</v>
      </c>
      <c r="AB130">
        <f t="shared" si="30"/>
        <v>0</v>
      </c>
      <c r="AC130">
        <f t="shared" si="31"/>
        <v>2</v>
      </c>
      <c r="AD130">
        <f t="shared" si="32"/>
        <v>0</v>
      </c>
      <c r="AE130">
        <f t="shared" si="33"/>
        <v>0</v>
      </c>
      <c r="AF130">
        <f t="shared" si="34"/>
        <v>0</v>
      </c>
      <c r="AG130">
        <f t="shared" si="35"/>
        <v>0</v>
      </c>
      <c r="AH130" t="s">
        <v>599</v>
      </c>
      <c r="AI130" t="s">
        <v>600</v>
      </c>
      <c r="AJ130" t="s">
        <v>601</v>
      </c>
    </row>
    <row r="131" spans="1:36" x14ac:dyDescent="0.2">
      <c r="A131" t="s">
        <v>217</v>
      </c>
      <c r="B131" t="s">
        <v>362</v>
      </c>
      <c r="C131" t="s">
        <v>39</v>
      </c>
      <c r="D131" t="s">
        <v>596</v>
      </c>
      <c r="E131" s="6" t="s">
        <v>26</v>
      </c>
      <c r="F131" s="6">
        <v>1</v>
      </c>
      <c r="G131" s="6" t="s">
        <v>522</v>
      </c>
      <c r="I131" t="s">
        <v>609</v>
      </c>
      <c r="J131" t="s">
        <v>610</v>
      </c>
      <c r="L131" t="s">
        <v>50</v>
      </c>
      <c r="M131">
        <v>1</v>
      </c>
      <c r="P131" t="s">
        <v>1279</v>
      </c>
      <c r="Q131">
        <v>6</v>
      </c>
      <c r="R131" t="s">
        <v>1280</v>
      </c>
      <c r="S131">
        <v>4</v>
      </c>
      <c r="T131" t="s">
        <v>256</v>
      </c>
      <c r="V131" t="s">
        <v>148</v>
      </c>
      <c r="W131" t="s">
        <v>218</v>
      </c>
      <c r="Y131">
        <f t="shared" si="27"/>
        <v>0</v>
      </c>
      <c r="Z131">
        <f t="shared" si="28"/>
        <v>0</v>
      </c>
      <c r="AA131">
        <f t="shared" si="29"/>
        <v>0</v>
      </c>
      <c r="AB131">
        <f t="shared" si="30"/>
        <v>0</v>
      </c>
      <c r="AC131">
        <f t="shared" si="31"/>
        <v>3</v>
      </c>
      <c r="AD131">
        <f t="shared" si="32"/>
        <v>0</v>
      </c>
      <c r="AE131">
        <f t="shared" si="33"/>
        <v>0</v>
      </c>
      <c r="AF131">
        <f t="shared" si="34"/>
        <v>0</v>
      </c>
      <c r="AG131">
        <f t="shared" si="35"/>
        <v>0</v>
      </c>
      <c r="AH131" t="s">
        <v>599</v>
      </c>
      <c r="AI131" t="s">
        <v>600</v>
      </c>
      <c r="AJ131" t="s">
        <v>601</v>
      </c>
    </row>
    <row r="132" spans="1:36" x14ac:dyDescent="0.2">
      <c r="A132" t="s">
        <v>217</v>
      </c>
      <c r="B132" t="s">
        <v>363</v>
      </c>
      <c r="C132" t="s">
        <v>37</v>
      </c>
      <c r="D132" t="s">
        <v>611</v>
      </c>
      <c r="E132" s="6" t="s">
        <v>32</v>
      </c>
      <c r="F132" s="6">
        <v>0.7</v>
      </c>
      <c r="G132" s="6" t="s">
        <v>20</v>
      </c>
      <c r="H132" s="6">
        <v>0.3</v>
      </c>
      <c r="I132" t="s">
        <v>612</v>
      </c>
      <c r="J132" t="s">
        <v>613</v>
      </c>
      <c r="L132" t="s">
        <v>48</v>
      </c>
      <c r="M132">
        <v>1</v>
      </c>
      <c r="P132" t="s">
        <v>1281</v>
      </c>
      <c r="Q132">
        <v>1</v>
      </c>
      <c r="R132" t="s">
        <v>1017</v>
      </c>
      <c r="S132">
        <v>0</v>
      </c>
      <c r="T132" t="s">
        <v>273</v>
      </c>
      <c r="U132" t="s">
        <v>65</v>
      </c>
      <c r="V132" t="s">
        <v>79</v>
      </c>
      <c r="W132" t="s">
        <v>222</v>
      </c>
      <c r="Y132">
        <f t="shared" si="27"/>
        <v>0</v>
      </c>
      <c r="Z132">
        <f t="shared" si="28"/>
        <v>0</v>
      </c>
      <c r="AA132">
        <f t="shared" si="29"/>
        <v>0</v>
      </c>
      <c r="AB132">
        <f t="shared" si="30"/>
        <v>0</v>
      </c>
      <c r="AC132">
        <f t="shared" si="31"/>
        <v>4</v>
      </c>
      <c r="AD132">
        <f t="shared" si="32"/>
        <v>0</v>
      </c>
      <c r="AE132">
        <f t="shared" si="33"/>
        <v>0</v>
      </c>
      <c r="AF132">
        <f t="shared" si="34"/>
        <v>0</v>
      </c>
      <c r="AG132">
        <f t="shared" si="35"/>
        <v>0</v>
      </c>
      <c r="AH132" t="s">
        <v>614</v>
      </c>
      <c r="AI132" t="s">
        <v>615</v>
      </c>
      <c r="AJ132" t="s">
        <v>616</v>
      </c>
    </row>
    <row r="133" spans="1:36" x14ac:dyDescent="0.2">
      <c r="A133" t="s">
        <v>217</v>
      </c>
      <c r="B133" t="s">
        <v>363</v>
      </c>
      <c r="C133" t="s">
        <v>37</v>
      </c>
      <c r="D133" t="s">
        <v>611</v>
      </c>
      <c r="E133" s="6" t="s">
        <v>32</v>
      </c>
      <c r="F133" s="6">
        <v>0.7</v>
      </c>
      <c r="G133" s="6" t="s">
        <v>20</v>
      </c>
      <c r="H133" s="6">
        <v>0.3</v>
      </c>
      <c r="I133" t="s">
        <v>612</v>
      </c>
      <c r="J133" t="s">
        <v>613</v>
      </c>
      <c r="L133" t="s">
        <v>48</v>
      </c>
      <c r="M133">
        <v>1</v>
      </c>
      <c r="P133" t="s">
        <v>1282</v>
      </c>
      <c r="Q133">
        <v>2</v>
      </c>
      <c r="R133" t="s">
        <v>1283</v>
      </c>
      <c r="S133">
        <v>0</v>
      </c>
      <c r="T133" t="s">
        <v>178</v>
      </c>
      <c r="U133" t="s">
        <v>55</v>
      </c>
      <c r="V133" t="s">
        <v>154</v>
      </c>
      <c r="W133" t="s">
        <v>222</v>
      </c>
      <c r="Y133">
        <f t="shared" si="27"/>
        <v>0</v>
      </c>
      <c r="Z133">
        <f t="shared" si="28"/>
        <v>0</v>
      </c>
      <c r="AA133">
        <f t="shared" si="29"/>
        <v>0</v>
      </c>
      <c r="AB133">
        <f t="shared" si="30"/>
        <v>0</v>
      </c>
      <c r="AC133">
        <f t="shared" si="31"/>
        <v>0</v>
      </c>
      <c r="AD133">
        <f t="shared" si="32"/>
        <v>0</v>
      </c>
      <c r="AE133">
        <f t="shared" si="33"/>
        <v>0</v>
      </c>
      <c r="AF133">
        <f t="shared" si="34"/>
        <v>0</v>
      </c>
      <c r="AG133">
        <f t="shared" si="35"/>
        <v>0</v>
      </c>
      <c r="AH133" t="s">
        <v>614</v>
      </c>
      <c r="AI133" t="s">
        <v>615</v>
      </c>
      <c r="AJ133" t="s">
        <v>616</v>
      </c>
    </row>
    <row r="134" spans="1:36" x14ac:dyDescent="0.2">
      <c r="A134" t="s">
        <v>217</v>
      </c>
      <c r="B134" t="s">
        <v>363</v>
      </c>
      <c r="C134" t="s">
        <v>37</v>
      </c>
      <c r="D134" t="s">
        <v>611</v>
      </c>
      <c r="E134" s="6" t="s">
        <v>32</v>
      </c>
      <c r="F134" s="6">
        <v>0.7</v>
      </c>
      <c r="G134" s="6" t="s">
        <v>20</v>
      </c>
      <c r="H134" s="6">
        <v>0.3</v>
      </c>
      <c r="I134" t="s">
        <v>612</v>
      </c>
      <c r="J134" t="s">
        <v>613</v>
      </c>
      <c r="L134" t="s">
        <v>48</v>
      </c>
      <c r="M134">
        <v>1</v>
      </c>
      <c r="P134" t="s">
        <v>1284</v>
      </c>
      <c r="Q134">
        <v>3</v>
      </c>
      <c r="R134" t="s">
        <v>1285</v>
      </c>
      <c r="S134">
        <v>1</v>
      </c>
      <c r="T134" t="s">
        <v>178</v>
      </c>
      <c r="U134" t="s">
        <v>55</v>
      </c>
      <c r="V134" t="s">
        <v>154</v>
      </c>
      <c r="W134" t="s">
        <v>222</v>
      </c>
      <c r="Y134">
        <f t="shared" si="27"/>
        <v>0</v>
      </c>
      <c r="Z134">
        <f t="shared" si="28"/>
        <v>0</v>
      </c>
      <c r="AA134">
        <f t="shared" si="29"/>
        <v>0</v>
      </c>
      <c r="AB134">
        <f t="shared" si="30"/>
        <v>0</v>
      </c>
      <c r="AC134">
        <f t="shared" si="31"/>
        <v>0</v>
      </c>
      <c r="AD134">
        <f t="shared" si="32"/>
        <v>0</v>
      </c>
      <c r="AE134">
        <f t="shared" si="33"/>
        <v>0</v>
      </c>
      <c r="AF134">
        <f t="shared" si="34"/>
        <v>0</v>
      </c>
      <c r="AG134">
        <f t="shared" si="35"/>
        <v>0</v>
      </c>
      <c r="AH134" t="s">
        <v>614</v>
      </c>
      <c r="AI134" t="s">
        <v>615</v>
      </c>
      <c r="AJ134" t="s">
        <v>616</v>
      </c>
    </row>
    <row r="135" spans="1:36" x14ac:dyDescent="0.2">
      <c r="A135" t="s">
        <v>217</v>
      </c>
      <c r="B135" t="s">
        <v>363</v>
      </c>
      <c r="C135" t="s">
        <v>37</v>
      </c>
      <c r="D135" t="s">
        <v>611</v>
      </c>
      <c r="E135" s="6" t="s">
        <v>32</v>
      </c>
      <c r="F135" s="6">
        <v>0.7</v>
      </c>
      <c r="G135" s="6" t="s">
        <v>20</v>
      </c>
      <c r="H135" s="6">
        <v>0.3</v>
      </c>
      <c r="I135" t="s">
        <v>612</v>
      </c>
      <c r="J135" t="s">
        <v>613</v>
      </c>
      <c r="L135" t="s">
        <v>48</v>
      </c>
      <c r="M135">
        <v>1</v>
      </c>
      <c r="P135" t="s">
        <v>1286</v>
      </c>
      <c r="Q135">
        <v>4</v>
      </c>
      <c r="R135" t="s">
        <v>1287</v>
      </c>
      <c r="S135">
        <v>2</v>
      </c>
      <c r="T135" t="s">
        <v>224</v>
      </c>
      <c r="U135" t="s">
        <v>61</v>
      </c>
      <c r="V135" t="s">
        <v>145</v>
      </c>
      <c r="W135" t="s">
        <v>222</v>
      </c>
      <c r="Y135">
        <f t="shared" si="27"/>
        <v>0</v>
      </c>
      <c r="Z135">
        <f t="shared" si="28"/>
        <v>0.3</v>
      </c>
      <c r="AA135">
        <f t="shared" si="29"/>
        <v>0</v>
      </c>
      <c r="AB135">
        <f t="shared" si="30"/>
        <v>0</v>
      </c>
      <c r="AC135">
        <f t="shared" si="31"/>
        <v>0</v>
      </c>
      <c r="AD135">
        <f t="shared" si="32"/>
        <v>0</v>
      </c>
      <c r="AE135">
        <f t="shared" si="33"/>
        <v>0</v>
      </c>
      <c r="AF135">
        <f t="shared" si="34"/>
        <v>0.7</v>
      </c>
      <c r="AG135">
        <f t="shared" si="35"/>
        <v>0</v>
      </c>
      <c r="AH135" t="s">
        <v>614</v>
      </c>
      <c r="AI135" t="s">
        <v>615</v>
      </c>
      <c r="AJ135" t="s">
        <v>616</v>
      </c>
    </row>
    <row r="136" spans="1:36" x14ac:dyDescent="0.2">
      <c r="A136" t="s">
        <v>217</v>
      </c>
      <c r="B136" t="s">
        <v>363</v>
      </c>
      <c r="C136" t="s">
        <v>37</v>
      </c>
      <c r="D136" t="s">
        <v>611</v>
      </c>
      <c r="E136" s="6" t="s">
        <v>32</v>
      </c>
      <c r="F136" s="6">
        <v>0.7</v>
      </c>
      <c r="G136" s="6" t="s">
        <v>20</v>
      </c>
      <c r="H136" s="6">
        <v>0.3</v>
      </c>
      <c r="I136" t="s">
        <v>612</v>
      </c>
      <c r="J136" t="s">
        <v>613</v>
      </c>
      <c r="L136" t="s">
        <v>48</v>
      </c>
      <c r="M136">
        <v>1</v>
      </c>
      <c r="P136" t="s">
        <v>1288</v>
      </c>
      <c r="Q136">
        <v>5</v>
      </c>
      <c r="R136" t="s">
        <v>1289</v>
      </c>
      <c r="S136">
        <v>3</v>
      </c>
      <c r="T136" t="s">
        <v>243</v>
      </c>
      <c r="V136" t="s">
        <v>148</v>
      </c>
      <c r="W136" t="s">
        <v>218</v>
      </c>
      <c r="Y136">
        <f t="shared" si="27"/>
        <v>0</v>
      </c>
      <c r="Z136">
        <f t="shared" si="28"/>
        <v>0.6</v>
      </c>
      <c r="AA136">
        <f t="shared" si="29"/>
        <v>0</v>
      </c>
      <c r="AB136">
        <f t="shared" si="30"/>
        <v>0</v>
      </c>
      <c r="AC136">
        <f t="shared" si="31"/>
        <v>0</v>
      </c>
      <c r="AD136">
        <f t="shared" si="32"/>
        <v>0</v>
      </c>
      <c r="AE136">
        <f t="shared" si="33"/>
        <v>0</v>
      </c>
      <c r="AF136">
        <f t="shared" si="34"/>
        <v>1.4</v>
      </c>
      <c r="AG136">
        <f t="shared" si="35"/>
        <v>0</v>
      </c>
      <c r="AH136" t="s">
        <v>614</v>
      </c>
      <c r="AI136" t="s">
        <v>615</v>
      </c>
      <c r="AJ136" t="s">
        <v>616</v>
      </c>
    </row>
    <row r="137" spans="1:36" x14ac:dyDescent="0.2">
      <c r="A137" t="s">
        <v>217</v>
      </c>
      <c r="B137" t="s">
        <v>363</v>
      </c>
      <c r="C137" t="s">
        <v>37</v>
      </c>
      <c r="D137" t="s">
        <v>611</v>
      </c>
      <c r="E137" s="6" t="s">
        <v>32</v>
      </c>
      <c r="F137" s="6">
        <v>0.7</v>
      </c>
      <c r="G137" s="6" t="s">
        <v>20</v>
      </c>
      <c r="H137" s="6">
        <v>0.3</v>
      </c>
      <c r="I137" t="s">
        <v>612</v>
      </c>
      <c r="J137" t="s">
        <v>613</v>
      </c>
      <c r="L137" t="s">
        <v>48</v>
      </c>
      <c r="M137">
        <v>1</v>
      </c>
      <c r="P137" t="s">
        <v>1290</v>
      </c>
      <c r="Q137">
        <v>6</v>
      </c>
      <c r="R137" t="s">
        <v>1291</v>
      </c>
      <c r="S137">
        <v>4</v>
      </c>
      <c r="T137" t="s">
        <v>256</v>
      </c>
      <c r="V137" t="s">
        <v>148</v>
      </c>
      <c r="W137" t="s">
        <v>218</v>
      </c>
      <c r="Y137">
        <f t="shared" si="27"/>
        <v>0</v>
      </c>
      <c r="Z137">
        <f t="shared" si="28"/>
        <v>0.89999999999999991</v>
      </c>
      <c r="AA137">
        <f t="shared" si="29"/>
        <v>0</v>
      </c>
      <c r="AB137">
        <f t="shared" si="30"/>
        <v>0</v>
      </c>
      <c r="AC137">
        <f t="shared" si="31"/>
        <v>0</v>
      </c>
      <c r="AD137">
        <f t="shared" si="32"/>
        <v>0</v>
      </c>
      <c r="AE137">
        <f t="shared" si="33"/>
        <v>0</v>
      </c>
      <c r="AF137">
        <f t="shared" si="34"/>
        <v>2.0999999999999996</v>
      </c>
      <c r="AG137">
        <f t="shared" si="35"/>
        <v>0</v>
      </c>
      <c r="AH137" t="s">
        <v>614</v>
      </c>
      <c r="AI137" t="s">
        <v>615</v>
      </c>
      <c r="AJ137" t="s">
        <v>616</v>
      </c>
    </row>
    <row r="138" spans="1:36" x14ac:dyDescent="0.2">
      <c r="A138" t="s">
        <v>217</v>
      </c>
      <c r="B138" t="s">
        <v>364</v>
      </c>
      <c r="C138" t="s">
        <v>39</v>
      </c>
      <c r="D138" t="s">
        <v>611</v>
      </c>
      <c r="E138" s="6" t="s">
        <v>32</v>
      </c>
      <c r="F138" s="6">
        <v>0.6</v>
      </c>
      <c r="G138" s="6" t="s">
        <v>28</v>
      </c>
      <c r="H138" s="6">
        <v>0.4</v>
      </c>
      <c r="I138" t="s">
        <v>617</v>
      </c>
      <c r="J138" t="s">
        <v>618</v>
      </c>
      <c r="L138" t="s">
        <v>48</v>
      </c>
      <c r="M138">
        <v>1</v>
      </c>
      <c r="P138" t="s">
        <v>1292</v>
      </c>
      <c r="Q138">
        <v>1</v>
      </c>
      <c r="R138" t="s">
        <v>1293</v>
      </c>
      <c r="S138">
        <v>0</v>
      </c>
      <c r="T138" t="s">
        <v>1294</v>
      </c>
      <c r="U138" t="s">
        <v>55</v>
      </c>
      <c r="V138" t="s">
        <v>156</v>
      </c>
      <c r="W138" t="s">
        <v>222</v>
      </c>
      <c r="Y138">
        <f t="shared" si="27"/>
        <v>0</v>
      </c>
      <c r="Z138">
        <f t="shared" si="28"/>
        <v>1.2</v>
      </c>
      <c r="AA138">
        <f t="shared" si="29"/>
        <v>0</v>
      </c>
      <c r="AB138">
        <f t="shared" si="30"/>
        <v>0</v>
      </c>
      <c r="AC138">
        <f t="shared" si="31"/>
        <v>0</v>
      </c>
      <c r="AD138">
        <f t="shared" si="32"/>
        <v>0</v>
      </c>
      <c r="AE138">
        <f t="shared" si="33"/>
        <v>0</v>
      </c>
      <c r="AF138">
        <f t="shared" si="34"/>
        <v>2.8</v>
      </c>
      <c r="AG138">
        <f t="shared" si="35"/>
        <v>0</v>
      </c>
      <c r="AH138" t="s">
        <v>550</v>
      </c>
      <c r="AI138" t="s">
        <v>551</v>
      </c>
      <c r="AJ138" t="s">
        <v>619</v>
      </c>
    </row>
    <row r="139" spans="1:36" x14ac:dyDescent="0.2">
      <c r="A139" t="s">
        <v>217</v>
      </c>
      <c r="B139" t="s">
        <v>364</v>
      </c>
      <c r="C139" t="s">
        <v>39</v>
      </c>
      <c r="D139" t="s">
        <v>611</v>
      </c>
      <c r="E139" s="6" t="s">
        <v>32</v>
      </c>
      <c r="F139" s="6">
        <v>0.6</v>
      </c>
      <c r="G139" s="6" t="s">
        <v>28</v>
      </c>
      <c r="H139" s="6">
        <v>0.4</v>
      </c>
      <c r="I139" t="s">
        <v>617</v>
      </c>
      <c r="J139" t="s">
        <v>618</v>
      </c>
      <c r="L139" t="s">
        <v>48</v>
      </c>
      <c r="M139">
        <v>1</v>
      </c>
      <c r="P139" t="s">
        <v>1295</v>
      </c>
      <c r="Q139">
        <v>2</v>
      </c>
      <c r="R139" t="s">
        <v>1296</v>
      </c>
      <c r="S139">
        <v>1</v>
      </c>
      <c r="T139" t="s">
        <v>266</v>
      </c>
      <c r="U139" t="s">
        <v>63</v>
      </c>
      <c r="V139" t="s">
        <v>156</v>
      </c>
      <c r="W139" t="s">
        <v>222</v>
      </c>
      <c r="Y139">
        <f t="shared" si="27"/>
        <v>0</v>
      </c>
      <c r="Z139">
        <f t="shared" si="28"/>
        <v>0</v>
      </c>
      <c r="AA139">
        <f t="shared" si="29"/>
        <v>0</v>
      </c>
      <c r="AB139">
        <f t="shared" si="30"/>
        <v>0</v>
      </c>
      <c r="AC139">
        <f t="shared" si="31"/>
        <v>0</v>
      </c>
      <c r="AD139">
        <f t="shared" si="32"/>
        <v>0</v>
      </c>
      <c r="AE139">
        <f t="shared" si="33"/>
        <v>0</v>
      </c>
      <c r="AF139">
        <f t="shared" si="34"/>
        <v>0</v>
      </c>
      <c r="AG139">
        <f t="shared" si="35"/>
        <v>0</v>
      </c>
      <c r="AH139" t="s">
        <v>550</v>
      </c>
      <c r="AI139" t="s">
        <v>551</v>
      </c>
      <c r="AJ139" t="s">
        <v>619</v>
      </c>
    </row>
    <row r="140" spans="1:36" x14ac:dyDescent="0.2">
      <c r="A140" t="s">
        <v>217</v>
      </c>
      <c r="B140" t="s">
        <v>364</v>
      </c>
      <c r="C140" t="s">
        <v>39</v>
      </c>
      <c r="D140" t="s">
        <v>611</v>
      </c>
      <c r="E140" s="6" t="s">
        <v>32</v>
      </c>
      <c r="F140" s="6">
        <v>0.6</v>
      </c>
      <c r="G140" s="6" t="s">
        <v>28</v>
      </c>
      <c r="H140" s="6">
        <v>0.4</v>
      </c>
      <c r="I140" t="s">
        <v>617</v>
      </c>
      <c r="J140" t="s">
        <v>618</v>
      </c>
      <c r="L140" t="s">
        <v>48</v>
      </c>
      <c r="M140">
        <v>1</v>
      </c>
      <c r="P140" t="s">
        <v>1297</v>
      </c>
      <c r="Q140">
        <v>3</v>
      </c>
      <c r="R140" t="s">
        <v>1298</v>
      </c>
      <c r="S140">
        <v>2</v>
      </c>
      <c r="T140" t="s">
        <v>262</v>
      </c>
      <c r="V140" t="s">
        <v>135</v>
      </c>
      <c r="W140" t="s">
        <v>222</v>
      </c>
      <c r="Y140">
        <f t="shared" si="27"/>
        <v>0</v>
      </c>
      <c r="Z140">
        <f t="shared" si="28"/>
        <v>0</v>
      </c>
      <c r="AA140">
        <f t="shared" si="29"/>
        <v>0</v>
      </c>
      <c r="AB140">
        <f t="shared" si="30"/>
        <v>0</v>
      </c>
      <c r="AC140">
        <f t="shared" si="31"/>
        <v>0</v>
      </c>
      <c r="AD140">
        <f t="shared" si="32"/>
        <v>0.4</v>
      </c>
      <c r="AE140">
        <f t="shared" si="33"/>
        <v>0</v>
      </c>
      <c r="AF140">
        <f t="shared" si="34"/>
        <v>0.6</v>
      </c>
      <c r="AG140">
        <f t="shared" si="35"/>
        <v>0</v>
      </c>
      <c r="AH140" t="s">
        <v>550</v>
      </c>
      <c r="AI140" t="s">
        <v>551</v>
      </c>
      <c r="AJ140" t="s">
        <v>619</v>
      </c>
    </row>
    <row r="141" spans="1:36" x14ac:dyDescent="0.2">
      <c r="A141" t="s">
        <v>217</v>
      </c>
      <c r="B141" t="s">
        <v>364</v>
      </c>
      <c r="C141" t="s">
        <v>39</v>
      </c>
      <c r="D141" t="s">
        <v>611</v>
      </c>
      <c r="E141" s="6" t="s">
        <v>32</v>
      </c>
      <c r="F141" s="6">
        <v>0.6</v>
      </c>
      <c r="G141" s="6" t="s">
        <v>28</v>
      </c>
      <c r="H141" s="6">
        <v>0.4</v>
      </c>
      <c r="I141" t="s">
        <v>617</v>
      </c>
      <c r="J141" t="s">
        <v>618</v>
      </c>
      <c r="L141" t="s">
        <v>48</v>
      </c>
      <c r="M141">
        <v>1</v>
      </c>
      <c r="P141" t="s">
        <v>1299</v>
      </c>
      <c r="Q141">
        <v>4</v>
      </c>
      <c r="R141" t="s">
        <v>1300</v>
      </c>
      <c r="S141">
        <v>3</v>
      </c>
      <c r="T141" t="s">
        <v>243</v>
      </c>
      <c r="V141" t="s">
        <v>148</v>
      </c>
      <c r="W141" t="s">
        <v>218</v>
      </c>
      <c r="Y141">
        <f t="shared" si="27"/>
        <v>0</v>
      </c>
      <c r="Z141">
        <f t="shared" si="28"/>
        <v>0</v>
      </c>
      <c r="AA141">
        <f t="shared" si="29"/>
        <v>0</v>
      </c>
      <c r="AB141">
        <f t="shared" si="30"/>
        <v>0</v>
      </c>
      <c r="AC141">
        <f t="shared" si="31"/>
        <v>0</v>
      </c>
      <c r="AD141">
        <f t="shared" si="32"/>
        <v>0.8</v>
      </c>
      <c r="AE141">
        <f t="shared" si="33"/>
        <v>0</v>
      </c>
      <c r="AF141">
        <f t="shared" si="34"/>
        <v>1.2</v>
      </c>
      <c r="AG141">
        <f t="shared" si="35"/>
        <v>0</v>
      </c>
      <c r="AH141" t="s">
        <v>550</v>
      </c>
      <c r="AI141" t="s">
        <v>551</v>
      </c>
      <c r="AJ141" t="s">
        <v>619</v>
      </c>
    </row>
    <row r="142" spans="1:36" x14ac:dyDescent="0.2">
      <c r="A142" t="s">
        <v>217</v>
      </c>
      <c r="B142" t="s">
        <v>365</v>
      </c>
      <c r="C142" t="s">
        <v>39</v>
      </c>
      <c r="D142" t="s">
        <v>611</v>
      </c>
      <c r="E142" s="6" t="s">
        <v>32</v>
      </c>
      <c r="F142" s="6">
        <v>0.5</v>
      </c>
      <c r="G142" s="6" t="s">
        <v>28</v>
      </c>
      <c r="H142" s="6">
        <v>0.5</v>
      </c>
      <c r="I142" t="s">
        <v>620</v>
      </c>
      <c r="J142" t="s">
        <v>621</v>
      </c>
      <c r="L142" t="s">
        <v>48</v>
      </c>
      <c r="M142">
        <v>1</v>
      </c>
      <c r="P142" t="s">
        <v>1301</v>
      </c>
      <c r="Q142">
        <v>1</v>
      </c>
      <c r="R142" t="s">
        <v>1017</v>
      </c>
      <c r="S142">
        <v>0</v>
      </c>
      <c r="T142" t="s">
        <v>273</v>
      </c>
      <c r="U142" t="s">
        <v>65</v>
      </c>
      <c r="V142" t="s">
        <v>157</v>
      </c>
      <c r="W142" t="s">
        <v>222</v>
      </c>
      <c r="Y142">
        <f t="shared" si="27"/>
        <v>0</v>
      </c>
      <c r="Z142">
        <f t="shared" si="28"/>
        <v>0</v>
      </c>
      <c r="AA142">
        <f t="shared" si="29"/>
        <v>0</v>
      </c>
      <c r="AB142">
        <f t="shared" si="30"/>
        <v>0</v>
      </c>
      <c r="AC142">
        <f t="shared" si="31"/>
        <v>0</v>
      </c>
      <c r="AD142">
        <f t="shared" si="32"/>
        <v>1.2000000000000002</v>
      </c>
      <c r="AE142">
        <f t="shared" si="33"/>
        <v>0</v>
      </c>
      <c r="AF142">
        <f t="shared" si="34"/>
        <v>1.7999999999999998</v>
      </c>
      <c r="AG142">
        <f t="shared" si="35"/>
        <v>0</v>
      </c>
      <c r="AH142" t="s">
        <v>530</v>
      </c>
      <c r="AI142" t="s">
        <v>581</v>
      </c>
      <c r="AJ142" t="s">
        <v>582</v>
      </c>
    </row>
    <row r="143" spans="1:36" x14ac:dyDescent="0.2">
      <c r="A143" t="s">
        <v>217</v>
      </c>
      <c r="B143" t="s">
        <v>365</v>
      </c>
      <c r="C143" t="s">
        <v>39</v>
      </c>
      <c r="D143" t="s">
        <v>611</v>
      </c>
      <c r="E143" s="6" t="s">
        <v>32</v>
      </c>
      <c r="F143" s="6">
        <v>0.5</v>
      </c>
      <c r="G143" s="6" t="s">
        <v>28</v>
      </c>
      <c r="H143" s="6">
        <v>0.5</v>
      </c>
      <c r="I143" t="s">
        <v>620</v>
      </c>
      <c r="J143" t="s">
        <v>621</v>
      </c>
      <c r="L143" t="s">
        <v>48</v>
      </c>
      <c r="M143">
        <v>1</v>
      </c>
      <c r="P143" t="s">
        <v>1302</v>
      </c>
      <c r="Q143">
        <v>2</v>
      </c>
      <c r="R143" t="s">
        <v>1303</v>
      </c>
      <c r="S143">
        <v>0</v>
      </c>
      <c r="T143" t="s">
        <v>1304</v>
      </c>
      <c r="U143" t="s">
        <v>55</v>
      </c>
      <c r="V143" t="s">
        <v>154</v>
      </c>
      <c r="W143" t="s">
        <v>222</v>
      </c>
      <c r="Y143">
        <f t="shared" si="27"/>
        <v>0</v>
      </c>
      <c r="Z143">
        <f t="shared" si="28"/>
        <v>0</v>
      </c>
      <c r="AA143">
        <f t="shared" si="29"/>
        <v>0</v>
      </c>
      <c r="AB143">
        <f t="shared" si="30"/>
        <v>0</v>
      </c>
      <c r="AC143">
        <f t="shared" si="31"/>
        <v>0</v>
      </c>
      <c r="AD143">
        <f t="shared" si="32"/>
        <v>0</v>
      </c>
      <c r="AE143">
        <f t="shared" si="33"/>
        <v>0</v>
      </c>
      <c r="AF143">
        <f t="shared" si="34"/>
        <v>0</v>
      </c>
      <c r="AG143">
        <f t="shared" si="35"/>
        <v>0</v>
      </c>
      <c r="AH143" t="s">
        <v>530</v>
      </c>
      <c r="AI143" t="s">
        <v>581</v>
      </c>
      <c r="AJ143" t="s">
        <v>582</v>
      </c>
    </row>
    <row r="144" spans="1:36" x14ac:dyDescent="0.2">
      <c r="A144" t="s">
        <v>217</v>
      </c>
      <c r="B144" t="s">
        <v>365</v>
      </c>
      <c r="C144" t="s">
        <v>39</v>
      </c>
      <c r="D144" t="s">
        <v>611</v>
      </c>
      <c r="E144" s="6" t="s">
        <v>32</v>
      </c>
      <c r="F144" s="6">
        <v>0.5</v>
      </c>
      <c r="G144" s="6" t="s">
        <v>28</v>
      </c>
      <c r="H144" s="6">
        <v>0.5</v>
      </c>
      <c r="I144" t="s">
        <v>620</v>
      </c>
      <c r="J144" t="s">
        <v>621</v>
      </c>
      <c r="L144" t="s">
        <v>48</v>
      </c>
      <c r="M144">
        <v>1</v>
      </c>
      <c r="P144" t="s">
        <v>1305</v>
      </c>
      <c r="Q144">
        <v>3</v>
      </c>
      <c r="R144" t="s">
        <v>1306</v>
      </c>
      <c r="S144">
        <v>1</v>
      </c>
      <c r="T144" t="s">
        <v>180</v>
      </c>
      <c r="U144" t="s">
        <v>57</v>
      </c>
      <c r="V144" t="s">
        <v>158</v>
      </c>
      <c r="W144" t="s">
        <v>222</v>
      </c>
      <c r="Y144">
        <f t="shared" si="27"/>
        <v>0</v>
      </c>
      <c r="Z144">
        <f t="shared" si="28"/>
        <v>0</v>
      </c>
      <c r="AA144">
        <f t="shared" si="29"/>
        <v>0</v>
      </c>
      <c r="AB144">
        <f t="shared" si="30"/>
        <v>0</v>
      </c>
      <c r="AC144">
        <f t="shared" si="31"/>
        <v>0</v>
      </c>
      <c r="AD144">
        <f t="shared" si="32"/>
        <v>0</v>
      </c>
      <c r="AE144">
        <f t="shared" si="33"/>
        <v>0</v>
      </c>
      <c r="AF144">
        <f t="shared" si="34"/>
        <v>0</v>
      </c>
      <c r="AG144">
        <f t="shared" si="35"/>
        <v>0</v>
      </c>
      <c r="AH144" t="s">
        <v>530</v>
      </c>
      <c r="AI144" t="s">
        <v>581</v>
      </c>
      <c r="AJ144" t="s">
        <v>582</v>
      </c>
    </row>
    <row r="145" spans="1:36" x14ac:dyDescent="0.2">
      <c r="A145" t="s">
        <v>217</v>
      </c>
      <c r="B145" t="s">
        <v>365</v>
      </c>
      <c r="C145" t="s">
        <v>39</v>
      </c>
      <c r="D145" t="s">
        <v>611</v>
      </c>
      <c r="E145" s="6" t="s">
        <v>32</v>
      </c>
      <c r="F145" s="6">
        <v>0.5</v>
      </c>
      <c r="G145" s="6" t="s">
        <v>28</v>
      </c>
      <c r="H145" s="6">
        <v>0.5</v>
      </c>
      <c r="I145" t="s">
        <v>620</v>
      </c>
      <c r="J145" t="s">
        <v>621</v>
      </c>
      <c r="L145" t="s">
        <v>48</v>
      </c>
      <c r="M145">
        <v>1</v>
      </c>
      <c r="P145" t="s">
        <v>1307</v>
      </c>
      <c r="Q145">
        <v>4</v>
      </c>
      <c r="R145" t="s">
        <v>1308</v>
      </c>
      <c r="S145">
        <v>2</v>
      </c>
      <c r="T145" t="s">
        <v>259</v>
      </c>
      <c r="U145" t="s">
        <v>61</v>
      </c>
      <c r="V145" t="s">
        <v>143</v>
      </c>
      <c r="W145" t="s">
        <v>222</v>
      </c>
      <c r="Y145">
        <f t="shared" si="27"/>
        <v>0</v>
      </c>
      <c r="Z145">
        <f t="shared" si="28"/>
        <v>0</v>
      </c>
      <c r="AA145">
        <f t="shared" si="29"/>
        <v>0</v>
      </c>
      <c r="AB145">
        <f t="shared" si="30"/>
        <v>0</v>
      </c>
      <c r="AC145">
        <f t="shared" si="31"/>
        <v>0</v>
      </c>
      <c r="AD145">
        <f t="shared" si="32"/>
        <v>0.5</v>
      </c>
      <c r="AE145">
        <f t="shared" si="33"/>
        <v>0</v>
      </c>
      <c r="AF145">
        <f t="shared" si="34"/>
        <v>0.5</v>
      </c>
      <c r="AG145">
        <f t="shared" si="35"/>
        <v>0</v>
      </c>
      <c r="AH145" t="s">
        <v>530</v>
      </c>
      <c r="AI145" t="s">
        <v>581</v>
      </c>
      <c r="AJ145" t="s">
        <v>582</v>
      </c>
    </row>
    <row r="146" spans="1:36" x14ac:dyDescent="0.2">
      <c r="A146" t="s">
        <v>217</v>
      </c>
      <c r="B146" t="s">
        <v>365</v>
      </c>
      <c r="C146" t="s">
        <v>39</v>
      </c>
      <c r="D146" t="s">
        <v>611</v>
      </c>
      <c r="E146" s="6" t="s">
        <v>32</v>
      </c>
      <c r="F146" s="6">
        <v>0.5</v>
      </c>
      <c r="G146" s="6" t="s">
        <v>28</v>
      </c>
      <c r="H146" s="6">
        <v>0.5</v>
      </c>
      <c r="I146" t="s">
        <v>620</v>
      </c>
      <c r="J146" t="s">
        <v>621</v>
      </c>
      <c r="L146" t="s">
        <v>48</v>
      </c>
      <c r="M146">
        <v>1</v>
      </c>
      <c r="P146" t="s">
        <v>1309</v>
      </c>
      <c r="Q146">
        <v>5</v>
      </c>
      <c r="R146" t="s">
        <v>1310</v>
      </c>
      <c r="S146">
        <v>3</v>
      </c>
      <c r="T146" t="s">
        <v>243</v>
      </c>
      <c r="V146" t="s">
        <v>148</v>
      </c>
      <c r="W146" t="s">
        <v>218</v>
      </c>
      <c r="Y146">
        <f t="shared" si="27"/>
        <v>0</v>
      </c>
      <c r="Z146">
        <f t="shared" si="28"/>
        <v>0</v>
      </c>
      <c r="AA146">
        <f t="shared" si="29"/>
        <v>0</v>
      </c>
      <c r="AB146">
        <f t="shared" si="30"/>
        <v>0</v>
      </c>
      <c r="AC146">
        <f t="shared" si="31"/>
        <v>0</v>
      </c>
      <c r="AD146">
        <f t="shared" si="32"/>
        <v>1</v>
      </c>
      <c r="AE146">
        <f t="shared" si="33"/>
        <v>0</v>
      </c>
      <c r="AF146">
        <f t="shared" si="34"/>
        <v>1</v>
      </c>
      <c r="AG146">
        <f t="shared" si="35"/>
        <v>0</v>
      </c>
      <c r="AH146" t="s">
        <v>530</v>
      </c>
      <c r="AI146" t="s">
        <v>581</v>
      </c>
      <c r="AJ146" t="s">
        <v>582</v>
      </c>
    </row>
    <row r="147" spans="1:36" x14ac:dyDescent="0.2">
      <c r="A147" t="s">
        <v>217</v>
      </c>
      <c r="B147" t="s">
        <v>365</v>
      </c>
      <c r="C147" t="s">
        <v>39</v>
      </c>
      <c r="D147" t="s">
        <v>611</v>
      </c>
      <c r="E147" s="6" t="s">
        <v>32</v>
      </c>
      <c r="F147" s="6">
        <v>0.5</v>
      </c>
      <c r="G147" s="6" t="s">
        <v>28</v>
      </c>
      <c r="H147" s="6">
        <v>0.5</v>
      </c>
      <c r="I147" t="s">
        <v>620</v>
      </c>
      <c r="J147" t="s">
        <v>621</v>
      </c>
      <c r="L147" t="s">
        <v>48</v>
      </c>
      <c r="M147">
        <v>1</v>
      </c>
      <c r="P147" t="s">
        <v>1311</v>
      </c>
      <c r="Q147">
        <v>6</v>
      </c>
      <c r="R147" t="s">
        <v>1312</v>
      </c>
      <c r="S147">
        <v>4</v>
      </c>
      <c r="T147" t="s">
        <v>256</v>
      </c>
      <c r="V147" t="s">
        <v>148</v>
      </c>
      <c r="W147" t="s">
        <v>218</v>
      </c>
      <c r="Y147">
        <f t="shared" si="27"/>
        <v>0</v>
      </c>
      <c r="Z147">
        <f t="shared" si="28"/>
        <v>0</v>
      </c>
      <c r="AA147">
        <f t="shared" si="29"/>
        <v>0</v>
      </c>
      <c r="AB147">
        <f t="shared" si="30"/>
        <v>0</v>
      </c>
      <c r="AC147">
        <f t="shared" si="31"/>
        <v>0</v>
      </c>
      <c r="AD147">
        <f t="shared" si="32"/>
        <v>1.5</v>
      </c>
      <c r="AE147">
        <f t="shared" si="33"/>
        <v>0</v>
      </c>
      <c r="AF147">
        <f t="shared" si="34"/>
        <v>1.5</v>
      </c>
      <c r="AG147">
        <f t="shared" si="35"/>
        <v>0</v>
      </c>
      <c r="AH147" t="s">
        <v>530</v>
      </c>
      <c r="AI147" t="s">
        <v>581</v>
      </c>
      <c r="AJ147" t="s">
        <v>582</v>
      </c>
    </row>
    <row r="148" spans="1:36" x14ac:dyDescent="0.2">
      <c r="A148" t="s">
        <v>217</v>
      </c>
      <c r="B148" t="s">
        <v>366</v>
      </c>
      <c r="C148" t="s">
        <v>37</v>
      </c>
      <c r="D148" t="s">
        <v>622</v>
      </c>
      <c r="E148" s="6" t="s">
        <v>22</v>
      </c>
      <c r="F148" s="6">
        <v>0.6</v>
      </c>
      <c r="G148" s="6" t="s">
        <v>28</v>
      </c>
      <c r="H148" s="6">
        <v>0.4</v>
      </c>
      <c r="I148" t="s">
        <v>623</v>
      </c>
      <c r="J148" t="s">
        <v>624</v>
      </c>
      <c r="L148" t="s">
        <v>48</v>
      </c>
      <c r="M148">
        <v>1</v>
      </c>
      <c r="P148" t="s">
        <v>1313</v>
      </c>
      <c r="Q148">
        <v>1</v>
      </c>
      <c r="R148" t="s">
        <v>1017</v>
      </c>
      <c r="S148">
        <v>0</v>
      </c>
      <c r="T148" t="s">
        <v>273</v>
      </c>
      <c r="U148" t="s">
        <v>65</v>
      </c>
      <c r="V148" t="s">
        <v>77</v>
      </c>
      <c r="W148" t="s">
        <v>222</v>
      </c>
      <c r="Y148">
        <f t="shared" si="27"/>
        <v>0</v>
      </c>
      <c r="Z148">
        <f t="shared" si="28"/>
        <v>0</v>
      </c>
      <c r="AA148">
        <f t="shared" si="29"/>
        <v>0</v>
      </c>
      <c r="AB148">
        <f t="shared" si="30"/>
        <v>0</v>
      </c>
      <c r="AC148">
        <f t="shared" si="31"/>
        <v>0</v>
      </c>
      <c r="AD148">
        <f t="shared" si="32"/>
        <v>2</v>
      </c>
      <c r="AE148">
        <f t="shared" si="33"/>
        <v>0</v>
      </c>
      <c r="AF148">
        <f t="shared" si="34"/>
        <v>2</v>
      </c>
      <c r="AG148">
        <f t="shared" si="35"/>
        <v>0</v>
      </c>
      <c r="AH148" t="s">
        <v>625</v>
      </c>
      <c r="AI148" t="s">
        <v>626</v>
      </c>
      <c r="AJ148" t="s">
        <v>627</v>
      </c>
    </row>
    <row r="149" spans="1:36" x14ac:dyDescent="0.2">
      <c r="A149" t="s">
        <v>217</v>
      </c>
      <c r="B149" t="s">
        <v>366</v>
      </c>
      <c r="C149" t="s">
        <v>37</v>
      </c>
      <c r="D149" t="s">
        <v>622</v>
      </c>
      <c r="E149" s="6" t="s">
        <v>22</v>
      </c>
      <c r="F149" s="6">
        <v>0.6</v>
      </c>
      <c r="G149" s="6" t="s">
        <v>28</v>
      </c>
      <c r="H149" s="6">
        <v>0.4</v>
      </c>
      <c r="I149" t="s">
        <v>623</v>
      </c>
      <c r="J149" t="s">
        <v>624</v>
      </c>
      <c r="L149" t="s">
        <v>48</v>
      </c>
      <c r="M149">
        <v>1</v>
      </c>
      <c r="P149" t="s">
        <v>1314</v>
      </c>
      <c r="Q149">
        <v>2</v>
      </c>
      <c r="R149" t="s">
        <v>1315</v>
      </c>
      <c r="S149">
        <v>0</v>
      </c>
      <c r="T149" t="s">
        <v>242</v>
      </c>
      <c r="U149" t="s">
        <v>62</v>
      </c>
      <c r="V149" t="s">
        <v>83</v>
      </c>
      <c r="W149" t="s">
        <v>222</v>
      </c>
      <c r="Y149">
        <f t="shared" si="27"/>
        <v>0</v>
      </c>
      <c r="Z149">
        <f t="shared" si="28"/>
        <v>0</v>
      </c>
      <c r="AA149">
        <f t="shared" si="29"/>
        <v>0</v>
      </c>
      <c r="AB149">
        <f t="shared" si="30"/>
        <v>0</v>
      </c>
      <c r="AC149">
        <f t="shared" si="31"/>
        <v>0</v>
      </c>
      <c r="AD149">
        <f t="shared" si="32"/>
        <v>0</v>
      </c>
      <c r="AE149">
        <f t="shared" si="33"/>
        <v>0</v>
      </c>
      <c r="AF149">
        <f t="shared" si="34"/>
        <v>0</v>
      </c>
      <c r="AG149">
        <f t="shared" si="35"/>
        <v>0</v>
      </c>
      <c r="AH149" t="s">
        <v>625</v>
      </c>
      <c r="AI149" t="s">
        <v>626</v>
      </c>
      <c r="AJ149" t="s">
        <v>627</v>
      </c>
    </row>
    <row r="150" spans="1:36" x14ac:dyDescent="0.2">
      <c r="A150" t="s">
        <v>217</v>
      </c>
      <c r="B150" t="s">
        <v>366</v>
      </c>
      <c r="C150" t="s">
        <v>37</v>
      </c>
      <c r="D150" t="s">
        <v>622</v>
      </c>
      <c r="E150" s="6" t="s">
        <v>22</v>
      </c>
      <c r="F150" s="6">
        <v>0.6</v>
      </c>
      <c r="G150" s="6" t="s">
        <v>28</v>
      </c>
      <c r="H150" s="6">
        <v>0.4</v>
      </c>
      <c r="I150" t="s">
        <v>623</v>
      </c>
      <c r="J150" t="s">
        <v>624</v>
      </c>
      <c r="L150" t="s">
        <v>48</v>
      </c>
      <c r="M150">
        <v>1</v>
      </c>
      <c r="P150" t="s">
        <v>1316</v>
      </c>
      <c r="Q150">
        <v>3</v>
      </c>
      <c r="R150" t="s">
        <v>1317</v>
      </c>
      <c r="S150">
        <v>1</v>
      </c>
      <c r="T150" t="s">
        <v>1035</v>
      </c>
      <c r="U150" t="s">
        <v>63</v>
      </c>
      <c r="V150" t="s">
        <v>166</v>
      </c>
      <c r="W150" t="s">
        <v>222</v>
      </c>
      <c r="Y150">
        <f t="shared" si="27"/>
        <v>0</v>
      </c>
      <c r="Z150">
        <f t="shared" si="28"/>
        <v>0</v>
      </c>
      <c r="AA150">
        <f t="shared" si="29"/>
        <v>0</v>
      </c>
      <c r="AB150">
        <f t="shared" si="30"/>
        <v>0</v>
      </c>
      <c r="AC150">
        <f t="shared" si="31"/>
        <v>0</v>
      </c>
      <c r="AD150">
        <f t="shared" si="32"/>
        <v>0</v>
      </c>
      <c r="AE150">
        <f t="shared" si="33"/>
        <v>0</v>
      </c>
      <c r="AF150">
        <f t="shared" si="34"/>
        <v>0</v>
      </c>
      <c r="AG150">
        <f t="shared" si="35"/>
        <v>0</v>
      </c>
      <c r="AH150" t="s">
        <v>625</v>
      </c>
      <c r="AI150" t="s">
        <v>626</v>
      </c>
      <c r="AJ150" t="s">
        <v>627</v>
      </c>
    </row>
    <row r="151" spans="1:36" x14ac:dyDescent="0.2">
      <c r="A151" t="s">
        <v>217</v>
      </c>
      <c r="B151" t="s">
        <v>366</v>
      </c>
      <c r="C151" t="s">
        <v>37</v>
      </c>
      <c r="D151" t="s">
        <v>622</v>
      </c>
      <c r="E151" s="6" t="s">
        <v>22</v>
      </c>
      <c r="F151" s="6">
        <v>0.6</v>
      </c>
      <c r="G151" s="6" t="s">
        <v>28</v>
      </c>
      <c r="H151" s="6">
        <v>0.4</v>
      </c>
      <c r="I151" t="s">
        <v>623</v>
      </c>
      <c r="J151" t="s">
        <v>624</v>
      </c>
      <c r="L151" t="s">
        <v>48</v>
      </c>
      <c r="M151">
        <v>1</v>
      </c>
      <c r="P151" t="s">
        <v>1318</v>
      </c>
      <c r="Q151">
        <v>4</v>
      </c>
      <c r="R151" t="s">
        <v>1319</v>
      </c>
      <c r="S151">
        <v>2</v>
      </c>
      <c r="T151" t="s">
        <v>259</v>
      </c>
      <c r="U151" t="s">
        <v>61</v>
      </c>
      <c r="V151" t="s">
        <v>132</v>
      </c>
      <c r="W151" t="s">
        <v>222</v>
      </c>
      <c r="Y151">
        <f t="shared" si="27"/>
        <v>0</v>
      </c>
      <c r="Z151">
        <f t="shared" si="28"/>
        <v>0</v>
      </c>
      <c r="AA151">
        <f t="shared" si="29"/>
        <v>0.6</v>
      </c>
      <c r="AB151">
        <f t="shared" si="30"/>
        <v>0</v>
      </c>
      <c r="AC151">
        <f t="shared" si="31"/>
        <v>0</v>
      </c>
      <c r="AD151">
        <f t="shared" si="32"/>
        <v>0.4</v>
      </c>
      <c r="AE151">
        <f t="shared" si="33"/>
        <v>0</v>
      </c>
      <c r="AF151">
        <f t="shared" si="34"/>
        <v>0</v>
      </c>
      <c r="AG151">
        <f t="shared" si="35"/>
        <v>0</v>
      </c>
      <c r="AH151" t="s">
        <v>625</v>
      </c>
      <c r="AI151" t="s">
        <v>626</v>
      </c>
      <c r="AJ151" t="s">
        <v>627</v>
      </c>
    </row>
    <row r="152" spans="1:36" x14ac:dyDescent="0.2">
      <c r="A152" t="s">
        <v>217</v>
      </c>
      <c r="B152" t="s">
        <v>366</v>
      </c>
      <c r="C152" t="s">
        <v>37</v>
      </c>
      <c r="D152" t="s">
        <v>622</v>
      </c>
      <c r="E152" s="6" t="s">
        <v>22</v>
      </c>
      <c r="F152" s="6">
        <v>0.6</v>
      </c>
      <c r="G152" s="6" t="s">
        <v>28</v>
      </c>
      <c r="H152" s="6">
        <v>0.4</v>
      </c>
      <c r="I152" t="s">
        <v>623</v>
      </c>
      <c r="J152" t="s">
        <v>624</v>
      </c>
      <c r="L152" t="s">
        <v>48</v>
      </c>
      <c r="M152">
        <v>1</v>
      </c>
      <c r="P152" t="s">
        <v>1320</v>
      </c>
      <c r="Q152">
        <v>5</v>
      </c>
      <c r="R152" t="s">
        <v>1321</v>
      </c>
      <c r="S152">
        <v>3</v>
      </c>
      <c r="T152" t="s">
        <v>243</v>
      </c>
      <c r="V152" t="s">
        <v>148</v>
      </c>
      <c r="W152" t="s">
        <v>218</v>
      </c>
      <c r="Y152">
        <f t="shared" ref="Y152:Y215" si="36">(S151*IF(E151="G",F151,0))+(S151*IF(G151="G",H151,0))</f>
        <v>0</v>
      </c>
      <c r="Z152">
        <f t="shared" ref="Z152:Z215" si="37">(S151*IF(E151="E",F151,0))+(S151*IF(G151="E",H151,0))</f>
        <v>0</v>
      </c>
      <c r="AA152">
        <f t="shared" ref="AA152:AA215" si="38">(S151*IF(E151="T",F151,0))+(S151*IF(G151="T",H151,0))</f>
        <v>1.2</v>
      </c>
      <c r="AB152">
        <f t="shared" ref="AB152:AB215" si="39">(S151*IF(E151="L",F151,0))+(S151*IF(G151="L",H151,0))</f>
        <v>0</v>
      </c>
      <c r="AC152">
        <f t="shared" ref="AC152:AC215" si="40">(S151*IF(E151="H",F151,0))+(S151*IF(G151="H",H151,0))</f>
        <v>0</v>
      </c>
      <c r="AD152">
        <f t="shared" ref="AD152:AD215" si="41">(S151*IF(E151="V",F151,0))+(S151*IF(G151="V",H151,0))</f>
        <v>0.8</v>
      </c>
      <c r="AE152">
        <f t="shared" ref="AE152:AE215" si="42">(S151*IF(E151="R",F151,0))+(S151*IF(G151="R",H151,0))</f>
        <v>0</v>
      </c>
      <c r="AF152">
        <f t="shared" ref="AF152:AF215" si="43">(S151*IF(E151="F",F151,0))+(S151*IF(G151="F",H151,0))</f>
        <v>0</v>
      </c>
      <c r="AG152">
        <f t="shared" ref="AG152:AG215" si="44">(S151*IF(E151="W",F151,0))+(S151*IF(G151="W",H151,0))</f>
        <v>0</v>
      </c>
      <c r="AH152" t="s">
        <v>625</v>
      </c>
      <c r="AI152" t="s">
        <v>626</v>
      </c>
      <c r="AJ152" t="s">
        <v>627</v>
      </c>
    </row>
    <row r="153" spans="1:36" x14ac:dyDescent="0.2">
      <c r="A153" t="s">
        <v>217</v>
      </c>
      <c r="B153" t="s">
        <v>366</v>
      </c>
      <c r="C153" t="s">
        <v>37</v>
      </c>
      <c r="D153" t="s">
        <v>622</v>
      </c>
      <c r="E153" s="6" t="s">
        <v>22</v>
      </c>
      <c r="F153" s="6">
        <v>0.6</v>
      </c>
      <c r="G153" s="6" t="s">
        <v>28</v>
      </c>
      <c r="H153" s="6">
        <v>0.4</v>
      </c>
      <c r="I153" t="s">
        <v>623</v>
      </c>
      <c r="J153" t="s">
        <v>624</v>
      </c>
      <c r="L153" t="s">
        <v>48</v>
      </c>
      <c r="M153">
        <v>1</v>
      </c>
      <c r="P153" t="s">
        <v>1322</v>
      </c>
      <c r="Q153">
        <v>6</v>
      </c>
      <c r="R153" t="s">
        <v>1323</v>
      </c>
      <c r="S153">
        <v>4</v>
      </c>
      <c r="T153" t="s">
        <v>256</v>
      </c>
      <c r="V153" t="s">
        <v>148</v>
      </c>
      <c r="W153" t="s">
        <v>218</v>
      </c>
      <c r="Y153">
        <f t="shared" si="36"/>
        <v>0</v>
      </c>
      <c r="Z153">
        <f t="shared" si="37"/>
        <v>0</v>
      </c>
      <c r="AA153">
        <f t="shared" si="38"/>
        <v>1.7999999999999998</v>
      </c>
      <c r="AB153">
        <f t="shared" si="39"/>
        <v>0</v>
      </c>
      <c r="AC153">
        <f t="shared" si="40"/>
        <v>0</v>
      </c>
      <c r="AD153">
        <f t="shared" si="41"/>
        <v>1.2000000000000002</v>
      </c>
      <c r="AE153">
        <f t="shared" si="42"/>
        <v>0</v>
      </c>
      <c r="AF153">
        <f t="shared" si="43"/>
        <v>0</v>
      </c>
      <c r="AG153">
        <f t="shared" si="44"/>
        <v>0</v>
      </c>
      <c r="AH153" t="s">
        <v>625</v>
      </c>
      <c r="AI153" t="s">
        <v>626</v>
      </c>
      <c r="AJ153" t="s">
        <v>627</v>
      </c>
    </row>
    <row r="154" spans="1:36" x14ac:dyDescent="0.2">
      <c r="A154" t="s">
        <v>217</v>
      </c>
      <c r="B154" t="s">
        <v>367</v>
      </c>
      <c r="C154" t="s">
        <v>39</v>
      </c>
      <c r="D154" t="s">
        <v>622</v>
      </c>
      <c r="E154" s="6" t="s">
        <v>20</v>
      </c>
      <c r="F154" s="6">
        <v>1</v>
      </c>
      <c r="G154" s="6" t="s">
        <v>522</v>
      </c>
      <c r="I154" t="s">
        <v>628</v>
      </c>
      <c r="J154" t="s">
        <v>629</v>
      </c>
      <c r="L154" t="s">
        <v>48</v>
      </c>
      <c r="M154">
        <v>1</v>
      </c>
      <c r="P154" t="s">
        <v>1324</v>
      </c>
      <c r="Q154">
        <v>1</v>
      </c>
      <c r="R154" t="s">
        <v>1325</v>
      </c>
      <c r="S154">
        <v>0</v>
      </c>
      <c r="T154" t="s">
        <v>242</v>
      </c>
      <c r="U154" t="s">
        <v>60</v>
      </c>
      <c r="V154" t="s">
        <v>100</v>
      </c>
      <c r="W154" t="s">
        <v>222</v>
      </c>
      <c r="Y154">
        <f t="shared" si="36"/>
        <v>0</v>
      </c>
      <c r="Z154">
        <f t="shared" si="37"/>
        <v>0</v>
      </c>
      <c r="AA154">
        <f t="shared" si="38"/>
        <v>2.4</v>
      </c>
      <c r="AB154">
        <f t="shared" si="39"/>
        <v>0</v>
      </c>
      <c r="AC154">
        <f t="shared" si="40"/>
        <v>0</v>
      </c>
      <c r="AD154">
        <f t="shared" si="41"/>
        <v>1.6</v>
      </c>
      <c r="AE154">
        <f t="shared" si="42"/>
        <v>0</v>
      </c>
      <c r="AF154">
        <f t="shared" si="43"/>
        <v>0</v>
      </c>
      <c r="AG154">
        <f t="shared" si="44"/>
        <v>0</v>
      </c>
      <c r="AH154" t="s">
        <v>614</v>
      </c>
      <c r="AI154" t="s">
        <v>615</v>
      </c>
      <c r="AJ154" t="s">
        <v>616</v>
      </c>
    </row>
    <row r="155" spans="1:36" x14ac:dyDescent="0.2">
      <c r="A155" t="s">
        <v>217</v>
      </c>
      <c r="B155" t="s">
        <v>367</v>
      </c>
      <c r="C155" t="s">
        <v>39</v>
      </c>
      <c r="D155" t="s">
        <v>622</v>
      </c>
      <c r="E155" s="6" t="s">
        <v>20</v>
      </c>
      <c r="F155" s="6">
        <v>1</v>
      </c>
      <c r="G155" s="6" t="s">
        <v>522</v>
      </c>
      <c r="I155" t="s">
        <v>628</v>
      </c>
      <c r="J155" t="s">
        <v>629</v>
      </c>
      <c r="L155" t="s">
        <v>48</v>
      </c>
      <c r="M155">
        <v>1</v>
      </c>
      <c r="P155" t="s">
        <v>1326</v>
      </c>
      <c r="Q155">
        <v>2</v>
      </c>
      <c r="R155" t="s">
        <v>1327</v>
      </c>
      <c r="S155">
        <v>1</v>
      </c>
      <c r="T155" t="s">
        <v>266</v>
      </c>
      <c r="U155" t="s">
        <v>63</v>
      </c>
      <c r="V155" t="s">
        <v>121</v>
      </c>
      <c r="W155" t="s">
        <v>222</v>
      </c>
      <c r="Y155">
        <f t="shared" si="36"/>
        <v>0</v>
      </c>
      <c r="Z155">
        <f t="shared" si="37"/>
        <v>0</v>
      </c>
      <c r="AA155">
        <f t="shared" si="38"/>
        <v>0</v>
      </c>
      <c r="AB155">
        <f t="shared" si="39"/>
        <v>0</v>
      </c>
      <c r="AC155">
        <f t="shared" si="40"/>
        <v>0</v>
      </c>
      <c r="AD155">
        <f t="shared" si="41"/>
        <v>0</v>
      </c>
      <c r="AE155">
        <f t="shared" si="42"/>
        <v>0</v>
      </c>
      <c r="AF155">
        <f t="shared" si="43"/>
        <v>0</v>
      </c>
      <c r="AG155">
        <f t="shared" si="44"/>
        <v>0</v>
      </c>
      <c r="AH155" t="s">
        <v>614</v>
      </c>
      <c r="AI155" t="s">
        <v>615</v>
      </c>
      <c r="AJ155" t="s">
        <v>616</v>
      </c>
    </row>
    <row r="156" spans="1:36" x14ac:dyDescent="0.2">
      <c r="A156" t="s">
        <v>217</v>
      </c>
      <c r="B156" t="s">
        <v>367</v>
      </c>
      <c r="C156" t="s">
        <v>39</v>
      </c>
      <c r="D156" t="s">
        <v>622</v>
      </c>
      <c r="E156" s="6" t="s">
        <v>20</v>
      </c>
      <c r="F156" s="6">
        <v>1</v>
      </c>
      <c r="G156" s="6" t="s">
        <v>522</v>
      </c>
      <c r="I156" t="s">
        <v>628</v>
      </c>
      <c r="J156" t="s">
        <v>629</v>
      </c>
      <c r="L156" t="s">
        <v>48</v>
      </c>
      <c r="M156">
        <v>1</v>
      </c>
      <c r="P156" t="s">
        <v>1328</v>
      </c>
      <c r="Q156">
        <v>3</v>
      </c>
      <c r="R156" t="s">
        <v>1329</v>
      </c>
      <c r="S156">
        <v>2</v>
      </c>
      <c r="T156" t="s">
        <v>243</v>
      </c>
      <c r="V156" t="s">
        <v>148</v>
      </c>
      <c r="W156" t="s">
        <v>218</v>
      </c>
      <c r="X156" t="s">
        <v>1330</v>
      </c>
      <c r="Y156">
        <f t="shared" si="36"/>
        <v>0</v>
      </c>
      <c r="Z156">
        <f t="shared" si="37"/>
        <v>1</v>
      </c>
      <c r="AA156">
        <f t="shared" si="38"/>
        <v>0</v>
      </c>
      <c r="AB156">
        <f t="shared" si="39"/>
        <v>0</v>
      </c>
      <c r="AC156">
        <f t="shared" si="40"/>
        <v>0</v>
      </c>
      <c r="AD156">
        <f t="shared" si="41"/>
        <v>0</v>
      </c>
      <c r="AE156">
        <f t="shared" si="42"/>
        <v>0</v>
      </c>
      <c r="AF156">
        <f t="shared" si="43"/>
        <v>0</v>
      </c>
      <c r="AG156">
        <f t="shared" si="44"/>
        <v>0</v>
      </c>
      <c r="AH156" t="s">
        <v>614</v>
      </c>
      <c r="AI156" t="s">
        <v>615</v>
      </c>
      <c r="AJ156" t="s">
        <v>616</v>
      </c>
    </row>
    <row r="157" spans="1:36" x14ac:dyDescent="0.2">
      <c r="A157" t="s">
        <v>217</v>
      </c>
      <c r="B157" t="s">
        <v>367</v>
      </c>
      <c r="C157" t="s">
        <v>39</v>
      </c>
      <c r="D157" t="s">
        <v>622</v>
      </c>
      <c r="E157" s="6" t="s">
        <v>20</v>
      </c>
      <c r="F157" s="6">
        <v>1</v>
      </c>
      <c r="G157" s="6" t="s">
        <v>522</v>
      </c>
      <c r="I157" t="s">
        <v>628</v>
      </c>
      <c r="J157" t="s">
        <v>629</v>
      </c>
      <c r="L157" t="s">
        <v>48</v>
      </c>
      <c r="M157">
        <v>1</v>
      </c>
      <c r="P157" t="s">
        <v>1331</v>
      </c>
      <c r="Q157">
        <v>4</v>
      </c>
      <c r="R157" t="s">
        <v>1332</v>
      </c>
      <c r="S157">
        <v>3</v>
      </c>
      <c r="T157" t="s">
        <v>256</v>
      </c>
      <c r="V157" t="s">
        <v>148</v>
      </c>
      <c r="W157" t="s">
        <v>218</v>
      </c>
      <c r="Y157">
        <f t="shared" si="36"/>
        <v>0</v>
      </c>
      <c r="Z157">
        <f t="shared" si="37"/>
        <v>2</v>
      </c>
      <c r="AA157">
        <f t="shared" si="38"/>
        <v>0</v>
      </c>
      <c r="AB157">
        <f t="shared" si="39"/>
        <v>0</v>
      </c>
      <c r="AC157">
        <f t="shared" si="40"/>
        <v>0</v>
      </c>
      <c r="AD157">
        <f t="shared" si="41"/>
        <v>0</v>
      </c>
      <c r="AE157">
        <f t="shared" si="42"/>
        <v>0</v>
      </c>
      <c r="AF157">
        <f t="shared" si="43"/>
        <v>0</v>
      </c>
      <c r="AG157">
        <f t="shared" si="44"/>
        <v>0</v>
      </c>
      <c r="AH157" t="s">
        <v>614</v>
      </c>
      <c r="AI157" t="s">
        <v>615</v>
      </c>
      <c r="AJ157" t="s">
        <v>616</v>
      </c>
    </row>
    <row r="158" spans="1:36" x14ac:dyDescent="0.2">
      <c r="A158" t="s">
        <v>217</v>
      </c>
      <c r="B158" t="s">
        <v>368</v>
      </c>
      <c r="C158" t="s">
        <v>39</v>
      </c>
      <c r="D158" t="s">
        <v>622</v>
      </c>
      <c r="E158" s="6" t="s">
        <v>24</v>
      </c>
      <c r="F158" s="6">
        <v>0.5</v>
      </c>
      <c r="G158" s="6" t="s">
        <v>18</v>
      </c>
      <c r="H158" s="6">
        <v>0.5</v>
      </c>
      <c r="I158" t="s">
        <v>630</v>
      </c>
      <c r="J158" t="s">
        <v>631</v>
      </c>
      <c r="L158" t="s">
        <v>52</v>
      </c>
      <c r="M158">
        <v>1</v>
      </c>
      <c r="P158" t="s">
        <v>1333</v>
      </c>
      <c r="Q158">
        <v>1</v>
      </c>
      <c r="R158" t="s">
        <v>1017</v>
      </c>
      <c r="S158">
        <v>0</v>
      </c>
      <c r="T158" t="s">
        <v>273</v>
      </c>
      <c r="U158" t="s">
        <v>65</v>
      </c>
      <c r="V158" t="s">
        <v>139</v>
      </c>
      <c r="W158" t="s">
        <v>222</v>
      </c>
      <c r="Y158">
        <f t="shared" si="36"/>
        <v>0</v>
      </c>
      <c r="Z158">
        <f t="shared" si="37"/>
        <v>3</v>
      </c>
      <c r="AA158">
        <f t="shared" si="38"/>
        <v>0</v>
      </c>
      <c r="AB158">
        <f t="shared" si="39"/>
        <v>0</v>
      </c>
      <c r="AC158">
        <f t="shared" si="40"/>
        <v>0</v>
      </c>
      <c r="AD158">
        <f t="shared" si="41"/>
        <v>0</v>
      </c>
      <c r="AE158">
        <f t="shared" si="42"/>
        <v>0</v>
      </c>
      <c r="AF158">
        <f t="shared" si="43"/>
        <v>0</v>
      </c>
      <c r="AG158">
        <f t="shared" si="44"/>
        <v>0</v>
      </c>
      <c r="AH158" t="s">
        <v>530</v>
      </c>
      <c r="AI158" t="s">
        <v>581</v>
      </c>
      <c r="AJ158" t="s">
        <v>582</v>
      </c>
    </row>
    <row r="159" spans="1:36" x14ac:dyDescent="0.2">
      <c r="A159" t="s">
        <v>217</v>
      </c>
      <c r="B159" t="s">
        <v>368</v>
      </c>
      <c r="C159" t="s">
        <v>39</v>
      </c>
      <c r="D159" t="s">
        <v>622</v>
      </c>
      <c r="E159" s="6" t="s">
        <v>24</v>
      </c>
      <c r="F159" s="6">
        <v>0.5</v>
      </c>
      <c r="G159" s="6" t="s">
        <v>18</v>
      </c>
      <c r="H159" s="6">
        <v>0.5</v>
      </c>
      <c r="I159" t="s">
        <v>630</v>
      </c>
      <c r="J159" t="s">
        <v>631</v>
      </c>
      <c r="L159" t="s">
        <v>52</v>
      </c>
      <c r="M159">
        <v>1</v>
      </c>
      <c r="P159" t="s">
        <v>1334</v>
      </c>
      <c r="Q159">
        <v>2</v>
      </c>
      <c r="R159" t="s">
        <v>1335</v>
      </c>
      <c r="S159">
        <v>0</v>
      </c>
      <c r="T159" t="s">
        <v>249</v>
      </c>
      <c r="U159" t="s">
        <v>59</v>
      </c>
      <c r="V159" t="s">
        <v>139</v>
      </c>
      <c r="W159" t="s">
        <v>222</v>
      </c>
      <c r="Y159">
        <f t="shared" si="36"/>
        <v>0</v>
      </c>
      <c r="Z159">
        <f t="shared" si="37"/>
        <v>0</v>
      </c>
      <c r="AA159">
        <f t="shared" si="38"/>
        <v>0</v>
      </c>
      <c r="AB159">
        <f t="shared" si="39"/>
        <v>0</v>
      </c>
      <c r="AC159">
        <f t="shared" si="40"/>
        <v>0</v>
      </c>
      <c r="AD159">
        <f t="shared" si="41"/>
        <v>0</v>
      </c>
      <c r="AE159">
        <f t="shared" si="42"/>
        <v>0</v>
      </c>
      <c r="AF159">
        <f t="shared" si="43"/>
        <v>0</v>
      </c>
      <c r="AG159">
        <f t="shared" si="44"/>
        <v>0</v>
      </c>
      <c r="AH159" t="s">
        <v>530</v>
      </c>
      <c r="AI159" t="s">
        <v>581</v>
      </c>
      <c r="AJ159" t="s">
        <v>582</v>
      </c>
    </row>
    <row r="160" spans="1:36" x14ac:dyDescent="0.2">
      <c r="A160" t="s">
        <v>217</v>
      </c>
      <c r="B160" t="s">
        <v>368</v>
      </c>
      <c r="C160" t="s">
        <v>39</v>
      </c>
      <c r="D160" t="s">
        <v>622</v>
      </c>
      <c r="E160" s="6" t="s">
        <v>24</v>
      </c>
      <c r="F160" s="6">
        <v>0.5</v>
      </c>
      <c r="G160" s="6" t="s">
        <v>18</v>
      </c>
      <c r="H160" s="6">
        <v>0.5</v>
      </c>
      <c r="I160" t="s">
        <v>630</v>
      </c>
      <c r="J160" t="s">
        <v>631</v>
      </c>
      <c r="L160" t="s">
        <v>52</v>
      </c>
      <c r="M160">
        <v>1</v>
      </c>
      <c r="P160" t="s">
        <v>1336</v>
      </c>
      <c r="Q160">
        <v>3</v>
      </c>
      <c r="R160" t="s">
        <v>1337</v>
      </c>
      <c r="S160">
        <v>1</v>
      </c>
      <c r="T160" t="s">
        <v>249</v>
      </c>
      <c r="U160" t="s">
        <v>59</v>
      </c>
      <c r="V160" t="s">
        <v>139</v>
      </c>
      <c r="W160" t="s">
        <v>222</v>
      </c>
      <c r="Y160">
        <f t="shared" si="36"/>
        <v>0</v>
      </c>
      <c r="Z160">
        <f t="shared" si="37"/>
        <v>0</v>
      </c>
      <c r="AA160">
        <f t="shared" si="38"/>
        <v>0</v>
      </c>
      <c r="AB160">
        <f t="shared" si="39"/>
        <v>0</v>
      </c>
      <c r="AC160">
        <f t="shared" si="40"/>
        <v>0</v>
      </c>
      <c r="AD160">
        <f t="shared" si="41"/>
        <v>0</v>
      </c>
      <c r="AE160">
        <f t="shared" si="42"/>
        <v>0</v>
      </c>
      <c r="AF160">
        <f t="shared" si="43"/>
        <v>0</v>
      </c>
      <c r="AG160">
        <f t="shared" si="44"/>
        <v>0</v>
      </c>
      <c r="AH160" t="s">
        <v>530</v>
      </c>
      <c r="AI160" t="s">
        <v>581</v>
      </c>
      <c r="AJ160" t="s">
        <v>582</v>
      </c>
    </row>
    <row r="161" spans="1:36" x14ac:dyDescent="0.2">
      <c r="A161" t="s">
        <v>217</v>
      </c>
      <c r="B161" t="s">
        <v>368</v>
      </c>
      <c r="C161" t="s">
        <v>39</v>
      </c>
      <c r="D161" t="s">
        <v>622</v>
      </c>
      <c r="E161" s="6" t="s">
        <v>24</v>
      </c>
      <c r="F161" s="6">
        <v>0.5</v>
      </c>
      <c r="G161" s="6" t="s">
        <v>18</v>
      </c>
      <c r="H161" s="6">
        <v>0.5</v>
      </c>
      <c r="I161" t="s">
        <v>630</v>
      </c>
      <c r="J161" t="s">
        <v>631</v>
      </c>
      <c r="L161" t="s">
        <v>52</v>
      </c>
      <c r="M161">
        <v>1</v>
      </c>
      <c r="P161" t="s">
        <v>1338</v>
      </c>
      <c r="Q161">
        <v>4</v>
      </c>
      <c r="R161" t="s">
        <v>1339</v>
      </c>
      <c r="S161">
        <v>2</v>
      </c>
      <c r="T161" t="s">
        <v>245</v>
      </c>
      <c r="U161" t="s">
        <v>60</v>
      </c>
      <c r="V161" t="s">
        <v>161</v>
      </c>
      <c r="W161" t="s">
        <v>222</v>
      </c>
      <c r="Y161">
        <f t="shared" si="36"/>
        <v>0.5</v>
      </c>
      <c r="Z161">
        <f t="shared" si="37"/>
        <v>0</v>
      </c>
      <c r="AA161">
        <f t="shared" si="38"/>
        <v>0</v>
      </c>
      <c r="AB161">
        <f t="shared" si="39"/>
        <v>0.5</v>
      </c>
      <c r="AC161">
        <f t="shared" si="40"/>
        <v>0</v>
      </c>
      <c r="AD161">
        <f t="shared" si="41"/>
        <v>0</v>
      </c>
      <c r="AE161">
        <f t="shared" si="42"/>
        <v>0</v>
      </c>
      <c r="AF161">
        <f t="shared" si="43"/>
        <v>0</v>
      </c>
      <c r="AG161">
        <f t="shared" si="44"/>
        <v>0</v>
      </c>
      <c r="AH161" t="s">
        <v>530</v>
      </c>
      <c r="AI161" t="s">
        <v>581</v>
      </c>
      <c r="AJ161" t="s">
        <v>582</v>
      </c>
    </row>
    <row r="162" spans="1:36" x14ac:dyDescent="0.2">
      <c r="A162" t="s">
        <v>217</v>
      </c>
      <c r="B162" t="s">
        <v>368</v>
      </c>
      <c r="C162" t="s">
        <v>39</v>
      </c>
      <c r="D162" t="s">
        <v>622</v>
      </c>
      <c r="E162" s="6" t="s">
        <v>24</v>
      </c>
      <c r="F162" s="6">
        <v>0.5</v>
      </c>
      <c r="G162" s="6" t="s">
        <v>18</v>
      </c>
      <c r="H162" s="6">
        <v>0.5</v>
      </c>
      <c r="I162" t="s">
        <v>630</v>
      </c>
      <c r="J162" t="s">
        <v>631</v>
      </c>
      <c r="L162" t="s">
        <v>52</v>
      </c>
      <c r="M162">
        <v>1</v>
      </c>
      <c r="P162" t="s">
        <v>1340</v>
      </c>
      <c r="Q162">
        <v>5</v>
      </c>
      <c r="R162" t="s">
        <v>1341</v>
      </c>
      <c r="S162">
        <v>3</v>
      </c>
      <c r="T162" t="s">
        <v>243</v>
      </c>
      <c r="V162" t="s">
        <v>148</v>
      </c>
      <c r="W162" t="s">
        <v>218</v>
      </c>
      <c r="Y162">
        <f t="shared" si="36"/>
        <v>1</v>
      </c>
      <c r="Z162">
        <f t="shared" si="37"/>
        <v>0</v>
      </c>
      <c r="AA162">
        <f t="shared" si="38"/>
        <v>0</v>
      </c>
      <c r="AB162">
        <f t="shared" si="39"/>
        <v>1</v>
      </c>
      <c r="AC162">
        <f t="shared" si="40"/>
        <v>0</v>
      </c>
      <c r="AD162">
        <f t="shared" si="41"/>
        <v>0</v>
      </c>
      <c r="AE162">
        <f t="shared" si="42"/>
        <v>0</v>
      </c>
      <c r="AF162">
        <f t="shared" si="43"/>
        <v>0</v>
      </c>
      <c r="AG162">
        <f t="shared" si="44"/>
        <v>0</v>
      </c>
      <c r="AH162" t="s">
        <v>530</v>
      </c>
      <c r="AI162" t="s">
        <v>581</v>
      </c>
      <c r="AJ162" t="s">
        <v>582</v>
      </c>
    </row>
    <row r="163" spans="1:36" x14ac:dyDescent="0.2">
      <c r="A163" t="s">
        <v>217</v>
      </c>
      <c r="B163" t="s">
        <v>368</v>
      </c>
      <c r="C163" t="s">
        <v>39</v>
      </c>
      <c r="D163" t="s">
        <v>622</v>
      </c>
      <c r="E163" s="6" t="s">
        <v>24</v>
      </c>
      <c r="F163" s="6">
        <v>0.5</v>
      </c>
      <c r="G163" s="6" t="s">
        <v>18</v>
      </c>
      <c r="H163" s="6">
        <v>0.5</v>
      </c>
      <c r="I163" t="s">
        <v>630</v>
      </c>
      <c r="J163" t="s">
        <v>631</v>
      </c>
      <c r="L163" t="s">
        <v>52</v>
      </c>
      <c r="M163">
        <v>1</v>
      </c>
      <c r="P163" t="s">
        <v>1342</v>
      </c>
      <c r="Q163">
        <v>6</v>
      </c>
      <c r="R163" t="s">
        <v>1343</v>
      </c>
      <c r="S163">
        <v>4</v>
      </c>
      <c r="T163" t="s">
        <v>256</v>
      </c>
      <c r="V163" t="s">
        <v>148</v>
      </c>
      <c r="W163" t="s">
        <v>218</v>
      </c>
      <c r="Y163">
        <f t="shared" si="36"/>
        <v>1.5</v>
      </c>
      <c r="Z163">
        <f t="shared" si="37"/>
        <v>0</v>
      </c>
      <c r="AA163">
        <f t="shared" si="38"/>
        <v>0</v>
      </c>
      <c r="AB163">
        <f t="shared" si="39"/>
        <v>1.5</v>
      </c>
      <c r="AC163">
        <f t="shared" si="40"/>
        <v>0</v>
      </c>
      <c r="AD163">
        <f t="shared" si="41"/>
        <v>0</v>
      </c>
      <c r="AE163">
        <f t="shared" si="42"/>
        <v>0</v>
      </c>
      <c r="AF163">
        <f t="shared" si="43"/>
        <v>0</v>
      </c>
      <c r="AG163">
        <f t="shared" si="44"/>
        <v>0</v>
      </c>
      <c r="AH163" t="s">
        <v>530</v>
      </c>
      <c r="AI163" t="s">
        <v>581</v>
      </c>
      <c r="AJ163" t="s">
        <v>582</v>
      </c>
    </row>
    <row r="164" spans="1:36" x14ac:dyDescent="0.2">
      <c r="A164" t="s">
        <v>217</v>
      </c>
      <c r="B164" t="s">
        <v>369</v>
      </c>
      <c r="C164" t="s">
        <v>37</v>
      </c>
      <c r="D164" t="s">
        <v>632</v>
      </c>
      <c r="E164" s="6" t="s">
        <v>30</v>
      </c>
      <c r="F164" s="6">
        <v>0.6</v>
      </c>
      <c r="G164" s="6" t="s">
        <v>18</v>
      </c>
      <c r="H164" s="6">
        <v>0.4</v>
      </c>
      <c r="I164" t="s">
        <v>633</v>
      </c>
      <c r="J164" t="s">
        <v>634</v>
      </c>
      <c r="L164" t="s">
        <v>48</v>
      </c>
      <c r="M164">
        <v>1</v>
      </c>
      <c r="P164" t="s">
        <v>1344</v>
      </c>
      <c r="Q164">
        <v>1</v>
      </c>
      <c r="R164" t="s">
        <v>1017</v>
      </c>
      <c r="S164">
        <v>0</v>
      </c>
      <c r="T164" t="s">
        <v>273</v>
      </c>
      <c r="U164" t="s">
        <v>65</v>
      </c>
      <c r="V164" t="s">
        <v>74</v>
      </c>
      <c r="W164" t="s">
        <v>222</v>
      </c>
      <c r="Y164">
        <f t="shared" si="36"/>
        <v>2</v>
      </c>
      <c r="Z164">
        <f t="shared" si="37"/>
        <v>0</v>
      </c>
      <c r="AA164">
        <f t="shared" si="38"/>
        <v>0</v>
      </c>
      <c r="AB164">
        <f t="shared" si="39"/>
        <v>2</v>
      </c>
      <c r="AC164">
        <f t="shared" si="40"/>
        <v>0</v>
      </c>
      <c r="AD164">
        <f t="shared" si="41"/>
        <v>0</v>
      </c>
      <c r="AE164">
        <f t="shared" si="42"/>
        <v>0</v>
      </c>
      <c r="AF164">
        <f t="shared" si="43"/>
        <v>0</v>
      </c>
      <c r="AG164">
        <f t="shared" si="44"/>
        <v>0</v>
      </c>
      <c r="AH164" t="s">
        <v>614</v>
      </c>
      <c r="AI164" t="s">
        <v>615</v>
      </c>
      <c r="AJ164" t="s">
        <v>635</v>
      </c>
    </row>
    <row r="165" spans="1:36" x14ac:dyDescent="0.2">
      <c r="A165" t="s">
        <v>217</v>
      </c>
      <c r="B165" t="s">
        <v>369</v>
      </c>
      <c r="C165" t="s">
        <v>37</v>
      </c>
      <c r="D165" t="s">
        <v>632</v>
      </c>
      <c r="E165" s="6" t="s">
        <v>30</v>
      </c>
      <c r="F165" s="6">
        <v>0.6</v>
      </c>
      <c r="G165" s="6" t="s">
        <v>18</v>
      </c>
      <c r="H165" s="6">
        <v>0.4</v>
      </c>
      <c r="I165" t="s">
        <v>633</v>
      </c>
      <c r="J165" t="s">
        <v>634</v>
      </c>
      <c r="L165" t="s">
        <v>48</v>
      </c>
      <c r="M165">
        <v>1</v>
      </c>
      <c r="P165" t="s">
        <v>1345</v>
      </c>
      <c r="Q165">
        <v>2</v>
      </c>
      <c r="R165" t="s">
        <v>1346</v>
      </c>
      <c r="S165">
        <v>0</v>
      </c>
      <c r="T165" t="s">
        <v>267</v>
      </c>
      <c r="U165" t="s">
        <v>62</v>
      </c>
      <c r="V165" t="s">
        <v>105</v>
      </c>
      <c r="W165" t="s">
        <v>222</v>
      </c>
      <c r="Y165">
        <f t="shared" si="36"/>
        <v>0</v>
      </c>
      <c r="Z165">
        <f t="shared" si="37"/>
        <v>0</v>
      </c>
      <c r="AA165">
        <f t="shared" si="38"/>
        <v>0</v>
      </c>
      <c r="AB165">
        <f t="shared" si="39"/>
        <v>0</v>
      </c>
      <c r="AC165">
        <f t="shared" si="40"/>
        <v>0</v>
      </c>
      <c r="AD165">
        <f t="shared" si="41"/>
        <v>0</v>
      </c>
      <c r="AE165">
        <f t="shared" si="42"/>
        <v>0</v>
      </c>
      <c r="AF165">
        <f t="shared" si="43"/>
        <v>0</v>
      </c>
      <c r="AG165">
        <f t="shared" si="44"/>
        <v>0</v>
      </c>
      <c r="AH165" t="s">
        <v>614</v>
      </c>
      <c r="AI165" t="s">
        <v>615</v>
      </c>
      <c r="AJ165" t="s">
        <v>635</v>
      </c>
    </row>
    <row r="166" spans="1:36" x14ac:dyDescent="0.2">
      <c r="A166" t="s">
        <v>217</v>
      </c>
      <c r="B166" t="s">
        <v>369</v>
      </c>
      <c r="C166" t="s">
        <v>37</v>
      </c>
      <c r="D166" t="s">
        <v>632</v>
      </c>
      <c r="E166" s="6" t="s">
        <v>30</v>
      </c>
      <c r="F166" s="6">
        <v>0.6</v>
      </c>
      <c r="G166" s="6" t="s">
        <v>18</v>
      </c>
      <c r="H166" s="6">
        <v>0.4</v>
      </c>
      <c r="I166" t="s">
        <v>633</v>
      </c>
      <c r="J166" t="s">
        <v>634</v>
      </c>
      <c r="L166" t="s">
        <v>48</v>
      </c>
      <c r="M166">
        <v>1</v>
      </c>
      <c r="P166" t="s">
        <v>1347</v>
      </c>
      <c r="Q166">
        <v>3</v>
      </c>
      <c r="R166" t="s">
        <v>1348</v>
      </c>
      <c r="S166">
        <v>1</v>
      </c>
      <c r="T166" t="s">
        <v>246</v>
      </c>
      <c r="U166" t="s">
        <v>63</v>
      </c>
      <c r="V166" t="s">
        <v>120</v>
      </c>
      <c r="W166" t="s">
        <v>222</v>
      </c>
      <c r="Y166">
        <f t="shared" si="36"/>
        <v>0</v>
      </c>
      <c r="Z166">
        <f t="shared" si="37"/>
        <v>0</v>
      </c>
      <c r="AA166">
        <f t="shared" si="38"/>
        <v>0</v>
      </c>
      <c r="AB166">
        <f t="shared" si="39"/>
        <v>0</v>
      </c>
      <c r="AC166">
        <f t="shared" si="40"/>
        <v>0</v>
      </c>
      <c r="AD166">
        <f t="shared" si="41"/>
        <v>0</v>
      </c>
      <c r="AE166">
        <f t="shared" si="42"/>
        <v>0</v>
      </c>
      <c r="AF166">
        <f t="shared" si="43"/>
        <v>0</v>
      </c>
      <c r="AG166">
        <f t="shared" si="44"/>
        <v>0</v>
      </c>
      <c r="AH166" t="s">
        <v>614</v>
      </c>
      <c r="AI166" t="s">
        <v>615</v>
      </c>
      <c r="AJ166" t="s">
        <v>635</v>
      </c>
    </row>
    <row r="167" spans="1:36" x14ac:dyDescent="0.2">
      <c r="A167" t="s">
        <v>217</v>
      </c>
      <c r="B167" t="s">
        <v>369</v>
      </c>
      <c r="C167" t="s">
        <v>37</v>
      </c>
      <c r="D167" t="s">
        <v>632</v>
      </c>
      <c r="E167" s="6" t="s">
        <v>30</v>
      </c>
      <c r="F167" s="6">
        <v>0.6</v>
      </c>
      <c r="G167" s="6" t="s">
        <v>18</v>
      </c>
      <c r="H167" s="6">
        <v>0.4</v>
      </c>
      <c r="I167" t="s">
        <v>633</v>
      </c>
      <c r="J167" t="s">
        <v>634</v>
      </c>
      <c r="L167" t="s">
        <v>48</v>
      </c>
      <c r="M167">
        <v>1</v>
      </c>
      <c r="P167" t="s">
        <v>1349</v>
      </c>
      <c r="Q167">
        <v>4</v>
      </c>
      <c r="R167" t="s">
        <v>1350</v>
      </c>
      <c r="S167">
        <v>2</v>
      </c>
      <c r="T167" t="s">
        <v>259</v>
      </c>
      <c r="U167" t="s">
        <v>61</v>
      </c>
      <c r="V167" t="s">
        <v>136</v>
      </c>
      <c r="W167" t="s">
        <v>222</v>
      </c>
      <c r="Y167">
        <f t="shared" si="36"/>
        <v>0.4</v>
      </c>
      <c r="Z167">
        <f t="shared" si="37"/>
        <v>0</v>
      </c>
      <c r="AA167">
        <f t="shared" si="38"/>
        <v>0</v>
      </c>
      <c r="AB167">
        <f t="shared" si="39"/>
        <v>0</v>
      </c>
      <c r="AC167">
        <f t="shared" si="40"/>
        <v>0</v>
      </c>
      <c r="AD167">
        <f t="shared" si="41"/>
        <v>0</v>
      </c>
      <c r="AE167">
        <f t="shared" si="42"/>
        <v>0.6</v>
      </c>
      <c r="AF167">
        <f t="shared" si="43"/>
        <v>0</v>
      </c>
      <c r="AG167">
        <f t="shared" si="44"/>
        <v>0</v>
      </c>
      <c r="AH167" t="s">
        <v>614</v>
      </c>
      <c r="AI167" t="s">
        <v>615</v>
      </c>
      <c r="AJ167" t="s">
        <v>635</v>
      </c>
    </row>
    <row r="168" spans="1:36" x14ac:dyDescent="0.2">
      <c r="A168" t="s">
        <v>217</v>
      </c>
      <c r="B168" t="s">
        <v>369</v>
      </c>
      <c r="C168" t="s">
        <v>37</v>
      </c>
      <c r="D168" t="s">
        <v>632</v>
      </c>
      <c r="E168" s="6" t="s">
        <v>30</v>
      </c>
      <c r="F168" s="6">
        <v>0.6</v>
      </c>
      <c r="G168" s="6" t="s">
        <v>18</v>
      </c>
      <c r="H168" s="6">
        <v>0.4</v>
      </c>
      <c r="I168" t="s">
        <v>633</v>
      </c>
      <c r="J168" t="s">
        <v>634</v>
      </c>
      <c r="L168" t="s">
        <v>48</v>
      </c>
      <c r="M168">
        <v>1</v>
      </c>
      <c r="P168" t="s">
        <v>1351</v>
      </c>
      <c r="Q168">
        <v>5</v>
      </c>
      <c r="R168" t="s">
        <v>1352</v>
      </c>
      <c r="S168">
        <v>3</v>
      </c>
      <c r="T168" t="s">
        <v>243</v>
      </c>
      <c r="V168" t="s">
        <v>148</v>
      </c>
      <c r="W168" t="s">
        <v>218</v>
      </c>
      <c r="Y168">
        <f t="shared" si="36"/>
        <v>0.8</v>
      </c>
      <c r="Z168">
        <f t="shared" si="37"/>
        <v>0</v>
      </c>
      <c r="AA168">
        <f t="shared" si="38"/>
        <v>0</v>
      </c>
      <c r="AB168">
        <f t="shared" si="39"/>
        <v>0</v>
      </c>
      <c r="AC168">
        <f t="shared" si="40"/>
        <v>0</v>
      </c>
      <c r="AD168">
        <f t="shared" si="41"/>
        <v>0</v>
      </c>
      <c r="AE168">
        <f t="shared" si="42"/>
        <v>1.2</v>
      </c>
      <c r="AF168">
        <f t="shared" si="43"/>
        <v>0</v>
      </c>
      <c r="AG168">
        <f t="shared" si="44"/>
        <v>0</v>
      </c>
      <c r="AH168" t="s">
        <v>614</v>
      </c>
      <c r="AI168" t="s">
        <v>615</v>
      </c>
      <c r="AJ168" t="s">
        <v>635</v>
      </c>
    </row>
    <row r="169" spans="1:36" x14ac:dyDescent="0.2">
      <c r="A169" t="s">
        <v>217</v>
      </c>
      <c r="B169" t="s">
        <v>369</v>
      </c>
      <c r="C169" t="s">
        <v>37</v>
      </c>
      <c r="D169" t="s">
        <v>632</v>
      </c>
      <c r="E169" s="6" t="s">
        <v>30</v>
      </c>
      <c r="F169" s="6">
        <v>0.6</v>
      </c>
      <c r="G169" s="6" t="s">
        <v>18</v>
      </c>
      <c r="H169" s="6">
        <v>0.4</v>
      </c>
      <c r="I169" t="s">
        <v>633</v>
      </c>
      <c r="J169" t="s">
        <v>634</v>
      </c>
      <c r="L169" t="s">
        <v>48</v>
      </c>
      <c r="M169">
        <v>1</v>
      </c>
      <c r="P169" t="s">
        <v>1353</v>
      </c>
      <c r="Q169">
        <v>6</v>
      </c>
      <c r="R169" t="s">
        <v>1354</v>
      </c>
      <c r="S169">
        <v>4</v>
      </c>
      <c r="T169" t="s">
        <v>256</v>
      </c>
      <c r="V169" t="s">
        <v>148</v>
      </c>
      <c r="W169" t="s">
        <v>218</v>
      </c>
      <c r="Y169">
        <f t="shared" si="36"/>
        <v>1.2000000000000002</v>
      </c>
      <c r="Z169">
        <f t="shared" si="37"/>
        <v>0</v>
      </c>
      <c r="AA169">
        <f t="shared" si="38"/>
        <v>0</v>
      </c>
      <c r="AB169">
        <f t="shared" si="39"/>
        <v>0</v>
      </c>
      <c r="AC169">
        <f t="shared" si="40"/>
        <v>0</v>
      </c>
      <c r="AD169">
        <f t="shared" si="41"/>
        <v>0</v>
      </c>
      <c r="AE169">
        <f t="shared" si="42"/>
        <v>1.7999999999999998</v>
      </c>
      <c r="AF169">
        <f t="shared" si="43"/>
        <v>0</v>
      </c>
      <c r="AG169">
        <f t="shared" si="44"/>
        <v>0</v>
      </c>
      <c r="AH169" t="s">
        <v>614</v>
      </c>
      <c r="AI169" t="s">
        <v>615</v>
      </c>
      <c r="AJ169" t="s">
        <v>635</v>
      </c>
    </row>
    <row r="170" spans="1:36" x14ac:dyDescent="0.2">
      <c r="A170" t="s">
        <v>217</v>
      </c>
      <c r="B170" t="s">
        <v>370</v>
      </c>
      <c r="C170" t="s">
        <v>39</v>
      </c>
      <c r="D170" t="s">
        <v>632</v>
      </c>
      <c r="E170" s="6" t="s">
        <v>20</v>
      </c>
      <c r="F170" s="6">
        <v>1</v>
      </c>
      <c r="G170" s="6" t="s">
        <v>522</v>
      </c>
      <c r="I170" t="s">
        <v>636</v>
      </c>
      <c r="J170" t="s">
        <v>637</v>
      </c>
      <c r="L170" t="s">
        <v>48</v>
      </c>
      <c r="M170">
        <v>1</v>
      </c>
      <c r="P170" t="s">
        <v>1355</v>
      </c>
      <c r="Q170">
        <v>1</v>
      </c>
      <c r="R170" t="s">
        <v>1356</v>
      </c>
      <c r="S170">
        <v>0</v>
      </c>
      <c r="T170" t="s">
        <v>242</v>
      </c>
      <c r="U170" t="s">
        <v>62</v>
      </c>
      <c r="V170" t="s">
        <v>105</v>
      </c>
      <c r="W170" t="s">
        <v>222</v>
      </c>
      <c r="Y170">
        <f t="shared" si="36"/>
        <v>1.6</v>
      </c>
      <c r="Z170">
        <f t="shared" si="37"/>
        <v>0</v>
      </c>
      <c r="AA170">
        <f t="shared" si="38"/>
        <v>0</v>
      </c>
      <c r="AB170">
        <f t="shared" si="39"/>
        <v>0</v>
      </c>
      <c r="AC170">
        <f t="shared" si="40"/>
        <v>0</v>
      </c>
      <c r="AD170">
        <f t="shared" si="41"/>
        <v>0</v>
      </c>
      <c r="AE170">
        <f t="shared" si="42"/>
        <v>2.4</v>
      </c>
      <c r="AF170">
        <f t="shared" si="43"/>
        <v>0</v>
      </c>
      <c r="AG170">
        <f t="shared" si="44"/>
        <v>0</v>
      </c>
      <c r="AH170" t="s">
        <v>614</v>
      </c>
      <c r="AI170" t="s">
        <v>615</v>
      </c>
      <c r="AJ170" t="s">
        <v>616</v>
      </c>
    </row>
    <row r="171" spans="1:36" x14ac:dyDescent="0.2">
      <c r="A171" t="s">
        <v>217</v>
      </c>
      <c r="B171" t="s">
        <v>370</v>
      </c>
      <c r="C171" t="s">
        <v>39</v>
      </c>
      <c r="D171" t="s">
        <v>632</v>
      </c>
      <c r="E171" s="6" t="s">
        <v>20</v>
      </c>
      <c r="F171" s="6">
        <v>1</v>
      </c>
      <c r="G171" s="6" t="s">
        <v>522</v>
      </c>
      <c r="I171" t="s">
        <v>636</v>
      </c>
      <c r="J171" t="s">
        <v>637</v>
      </c>
      <c r="L171" t="s">
        <v>48</v>
      </c>
      <c r="M171">
        <v>1</v>
      </c>
      <c r="P171" t="s">
        <v>1357</v>
      </c>
      <c r="Q171">
        <v>2</v>
      </c>
      <c r="R171" t="s">
        <v>1358</v>
      </c>
      <c r="S171">
        <v>1</v>
      </c>
      <c r="T171" t="s">
        <v>266</v>
      </c>
      <c r="U171" t="s">
        <v>63</v>
      </c>
      <c r="V171" t="s">
        <v>120</v>
      </c>
      <c r="W171" t="s">
        <v>222</v>
      </c>
      <c r="Y171">
        <f t="shared" si="36"/>
        <v>0</v>
      </c>
      <c r="Z171">
        <f t="shared" si="37"/>
        <v>0</v>
      </c>
      <c r="AA171">
        <f t="shared" si="38"/>
        <v>0</v>
      </c>
      <c r="AB171">
        <f t="shared" si="39"/>
        <v>0</v>
      </c>
      <c r="AC171">
        <f t="shared" si="40"/>
        <v>0</v>
      </c>
      <c r="AD171">
        <f t="shared" si="41"/>
        <v>0</v>
      </c>
      <c r="AE171">
        <f t="shared" si="42"/>
        <v>0</v>
      </c>
      <c r="AF171">
        <f t="shared" si="43"/>
        <v>0</v>
      </c>
      <c r="AG171">
        <f t="shared" si="44"/>
        <v>0</v>
      </c>
      <c r="AH171" t="s">
        <v>614</v>
      </c>
      <c r="AI171" t="s">
        <v>615</v>
      </c>
      <c r="AJ171" t="s">
        <v>616</v>
      </c>
    </row>
    <row r="172" spans="1:36" x14ac:dyDescent="0.2">
      <c r="A172" t="s">
        <v>217</v>
      </c>
      <c r="B172" t="s">
        <v>370</v>
      </c>
      <c r="C172" t="s">
        <v>39</v>
      </c>
      <c r="D172" t="s">
        <v>632</v>
      </c>
      <c r="E172" s="6" t="s">
        <v>20</v>
      </c>
      <c r="F172" s="6">
        <v>1</v>
      </c>
      <c r="G172" s="6" t="s">
        <v>522</v>
      </c>
      <c r="I172" t="s">
        <v>636</v>
      </c>
      <c r="J172" t="s">
        <v>637</v>
      </c>
      <c r="L172" t="s">
        <v>48</v>
      </c>
      <c r="M172">
        <v>1</v>
      </c>
      <c r="P172" t="s">
        <v>1359</v>
      </c>
      <c r="Q172">
        <v>3</v>
      </c>
      <c r="R172" t="s">
        <v>1360</v>
      </c>
      <c r="S172">
        <v>2</v>
      </c>
      <c r="T172" t="s">
        <v>174</v>
      </c>
      <c r="U172" t="s">
        <v>63</v>
      </c>
      <c r="V172" t="s">
        <v>85</v>
      </c>
      <c r="W172" t="s">
        <v>222</v>
      </c>
      <c r="Y172">
        <f t="shared" si="36"/>
        <v>0</v>
      </c>
      <c r="Z172">
        <f t="shared" si="37"/>
        <v>1</v>
      </c>
      <c r="AA172">
        <f t="shared" si="38"/>
        <v>0</v>
      </c>
      <c r="AB172">
        <f t="shared" si="39"/>
        <v>0</v>
      </c>
      <c r="AC172">
        <f t="shared" si="40"/>
        <v>0</v>
      </c>
      <c r="AD172">
        <f t="shared" si="41"/>
        <v>0</v>
      </c>
      <c r="AE172">
        <f t="shared" si="42"/>
        <v>0</v>
      </c>
      <c r="AF172">
        <f t="shared" si="43"/>
        <v>0</v>
      </c>
      <c r="AG172">
        <f t="shared" si="44"/>
        <v>0</v>
      </c>
      <c r="AH172" t="s">
        <v>614</v>
      </c>
      <c r="AI172" t="s">
        <v>615</v>
      </c>
      <c r="AJ172" t="s">
        <v>616</v>
      </c>
    </row>
    <row r="173" spans="1:36" x14ac:dyDescent="0.2">
      <c r="A173" t="s">
        <v>217</v>
      </c>
      <c r="B173" t="s">
        <v>370</v>
      </c>
      <c r="C173" t="s">
        <v>39</v>
      </c>
      <c r="D173" t="s">
        <v>632</v>
      </c>
      <c r="E173" s="6" t="s">
        <v>20</v>
      </c>
      <c r="F173" s="6">
        <v>1</v>
      </c>
      <c r="G173" s="6" t="s">
        <v>522</v>
      </c>
      <c r="I173" t="s">
        <v>636</v>
      </c>
      <c r="J173" t="s">
        <v>637</v>
      </c>
      <c r="L173" t="s">
        <v>48</v>
      </c>
      <c r="M173">
        <v>1</v>
      </c>
      <c r="P173" t="s">
        <v>1361</v>
      </c>
      <c r="Q173">
        <v>4</v>
      </c>
      <c r="R173" t="s">
        <v>1362</v>
      </c>
      <c r="S173">
        <v>3</v>
      </c>
      <c r="T173" t="s">
        <v>243</v>
      </c>
      <c r="V173" t="s">
        <v>148</v>
      </c>
      <c r="W173" t="s">
        <v>218</v>
      </c>
      <c r="Y173">
        <f t="shared" si="36"/>
        <v>0</v>
      </c>
      <c r="Z173">
        <f t="shared" si="37"/>
        <v>2</v>
      </c>
      <c r="AA173">
        <f t="shared" si="38"/>
        <v>0</v>
      </c>
      <c r="AB173">
        <f t="shared" si="39"/>
        <v>0</v>
      </c>
      <c r="AC173">
        <f t="shared" si="40"/>
        <v>0</v>
      </c>
      <c r="AD173">
        <f t="shared" si="41"/>
        <v>0</v>
      </c>
      <c r="AE173">
        <f t="shared" si="42"/>
        <v>0</v>
      </c>
      <c r="AF173">
        <f t="shared" si="43"/>
        <v>0</v>
      </c>
      <c r="AG173">
        <f t="shared" si="44"/>
        <v>0</v>
      </c>
      <c r="AH173" t="s">
        <v>614</v>
      </c>
      <c r="AI173" t="s">
        <v>615</v>
      </c>
      <c r="AJ173" t="s">
        <v>616</v>
      </c>
    </row>
    <row r="174" spans="1:36" x14ac:dyDescent="0.2">
      <c r="A174" t="s">
        <v>217</v>
      </c>
      <c r="B174" t="s">
        <v>371</v>
      </c>
      <c r="C174" t="s">
        <v>39</v>
      </c>
      <c r="D174" t="s">
        <v>632</v>
      </c>
      <c r="E174" s="6" t="s">
        <v>30</v>
      </c>
      <c r="F174" s="6">
        <v>0.7</v>
      </c>
      <c r="G174" s="6" t="s">
        <v>20</v>
      </c>
      <c r="H174" s="6">
        <v>0.3</v>
      </c>
      <c r="I174" t="s">
        <v>638</v>
      </c>
      <c r="J174" t="s">
        <v>639</v>
      </c>
      <c r="L174" t="s">
        <v>48</v>
      </c>
      <c r="M174">
        <v>1</v>
      </c>
      <c r="P174" t="s">
        <v>1363</v>
      </c>
      <c r="Q174">
        <v>1</v>
      </c>
      <c r="R174" t="s">
        <v>1017</v>
      </c>
      <c r="S174">
        <v>0</v>
      </c>
      <c r="T174" t="s">
        <v>273</v>
      </c>
      <c r="U174" t="s">
        <v>65</v>
      </c>
      <c r="V174" t="s">
        <v>147</v>
      </c>
      <c r="W174" t="s">
        <v>222</v>
      </c>
      <c r="Y174">
        <f t="shared" si="36"/>
        <v>0</v>
      </c>
      <c r="Z174">
        <f t="shared" si="37"/>
        <v>3</v>
      </c>
      <c r="AA174">
        <f t="shared" si="38"/>
        <v>0</v>
      </c>
      <c r="AB174">
        <f t="shared" si="39"/>
        <v>0</v>
      </c>
      <c r="AC174">
        <f t="shared" si="40"/>
        <v>0</v>
      </c>
      <c r="AD174">
        <f t="shared" si="41"/>
        <v>0</v>
      </c>
      <c r="AE174">
        <f t="shared" si="42"/>
        <v>0</v>
      </c>
      <c r="AF174">
        <f t="shared" si="43"/>
        <v>0</v>
      </c>
      <c r="AG174">
        <f t="shared" si="44"/>
        <v>0</v>
      </c>
      <c r="AH174" t="s">
        <v>599</v>
      </c>
      <c r="AI174" t="s">
        <v>640</v>
      </c>
      <c r="AJ174" t="s">
        <v>641</v>
      </c>
    </row>
    <row r="175" spans="1:36" x14ac:dyDescent="0.2">
      <c r="A175" t="s">
        <v>217</v>
      </c>
      <c r="B175" t="s">
        <v>371</v>
      </c>
      <c r="C175" t="s">
        <v>39</v>
      </c>
      <c r="D175" t="s">
        <v>632</v>
      </c>
      <c r="E175" s="6" t="s">
        <v>30</v>
      </c>
      <c r="F175" s="6">
        <v>0.7</v>
      </c>
      <c r="G175" s="6" t="s">
        <v>20</v>
      </c>
      <c r="H175" s="6">
        <v>0.3</v>
      </c>
      <c r="I175" t="s">
        <v>638</v>
      </c>
      <c r="J175" t="s">
        <v>639</v>
      </c>
      <c r="L175" t="s">
        <v>48</v>
      </c>
      <c r="M175">
        <v>1</v>
      </c>
      <c r="P175" t="s">
        <v>1364</v>
      </c>
      <c r="Q175">
        <v>2</v>
      </c>
      <c r="R175" t="s">
        <v>1365</v>
      </c>
      <c r="S175">
        <v>0</v>
      </c>
      <c r="T175" t="s">
        <v>242</v>
      </c>
      <c r="U175" t="s">
        <v>62</v>
      </c>
      <c r="V175" t="s">
        <v>147</v>
      </c>
      <c r="W175" t="s">
        <v>222</v>
      </c>
      <c r="Y175">
        <f t="shared" si="36"/>
        <v>0</v>
      </c>
      <c r="Z175">
        <f t="shared" si="37"/>
        <v>0</v>
      </c>
      <c r="AA175">
        <f t="shared" si="38"/>
        <v>0</v>
      </c>
      <c r="AB175">
        <f t="shared" si="39"/>
        <v>0</v>
      </c>
      <c r="AC175">
        <f t="shared" si="40"/>
        <v>0</v>
      </c>
      <c r="AD175">
        <f t="shared" si="41"/>
        <v>0</v>
      </c>
      <c r="AE175">
        <f t="shared" si="42"/>
        <v>0</v>
      </c>
      <c r="AF175">
        <f t="shared" si="43"/>
        <v>0</v>
      </c>
      <c r="AG175">
        <f t="shared" si="44"/>
        <v>0</v>
      </c>
      <c r="AH175" t="s">
        <v>599</v>
      </c>
      <c r="AI175" t="s">
        <v>640</v>
      </c>
      <c r="AJ175" t="s">
        <v>641</v>
      </c>
    </row>
    <row r="176" spans="1:36" x14ac:dyDescent="0.2">
      <c r="A176" t="s">
        <v>217</v>
      </c>
      <c r="B176" t="s">
        <v>371</v>
      </c>
      <c r="C176" t="s">
        <v>39</v>
      </c>
      <c r="D176" t="s">
        <v>632</v>
      </c>
      <c r="E176" s="6" t="s">
        <v>30</v>
      </c>
      <c r="F176" s="6">
        <v>0.7</v>
      </c>
      <c r="G176" s="6" t="s">
        <v>20</v>
      </c>
      <c r="H176" s="6">
        <v>0.3</v>
      </c>
      <c r="I176" t="s">
        <v>638</v>
      </c>
      <c r="J176" t="s">
        <v>639</v>
      </c>
      <c r="L176" t="s">
        <v>48</v>
      </c>
      <c r="M176">
        <v>1</v>
      </c>
      <c r="P176" t="s">
        <v>1366</v>
      </c>
      <c r="Q176">
        <v>3</v>
      </c>
      <c r="R176" t="s">
        <v>1367</v>
      </c>
      <c r="S176">
        <v>1</v>
      </c>
      <c r="T176" t="s">
        <v>259</v>
      </c>
      <c r="U176" t="s">
        <v>61</v>
      </c>
      <c r="V176" t="s">
        <v>131</v>
      </c>
      <c r="W176" t="s">
        <v>222</v>
      </c>
      <c r="Y176">
        <f t="shared" si="36"/>
        <v>0</v>
      </c>
      <c r="Z176">
        <f t="shared" si="37"/>
        <v>0</v>
      </c>
      <c r="AA176">
        <f t="shared" si="38"/>
        <v>0</v>
      </c>
      <c r="AB176">
        <f t="shared" si="39"/>
        <v>0</v>
      </c>
      <c r="AC176">
        <f t="shared" si="40"/>
        <v>0</v>
      </c>
      <c r="AD176">
        <f t="shared" si="41"/>
        <v>0</v>
      </c>
      <c r="AE176">
        <f t="shared" si="42"/>
        <v>0</v>
      </c>
      <c r="AF176">
        <f t="shared" si="43"/>
        <v>0</v>
      </c>
      <c r="AG176">
        <f t="shared" si="44"/>
        <v>0</v>
      </c>
      <c r="AH176" t="s">
        <v>599</v>
      </c>
      <c r="AI176" t="s">
        <v>640</v>
      </c>
      <c r="AJ176" t="s">
        <v>641</v>
      </c>
    </row>
    <row r="177" spans="1:36" x14ac:dyDescent="0.2">
      <c r="A177" t="s">
        <v>217</v>
      </c>
      <c r="B177" t="s">
        <v>371</v>
      </c>
      <c r="C177" t="s">
        <v>39</v>
      </c>
      <c r="D177" t="s">
        <v>632</v>
      </c>
      <c r="E177" s="6" t="s">
        <v>30</v>
      </c>
      <c r="F177" s="6">
        <v>0.7</v>
      </c>
      <c r="G177" s="6" t="s">
        <v>20</v>
      </c>
      <c r="H177" s="6">
        <v>0.3</v>
      </c>
      <c r="I177" t="s">
        <v>638</v>
      </c>
      <c r="J177" t="s">
        <v>639</v>
      </c>
      <c r="L177" t="s">
        <v>48</v>
      </c>
      <c r="M177">
        <v>1</v>
      </c>
      <c r="P177" t="s">
        <v>1368</v>
      </c>
      <c r="Q177">
        <v>4</v>
      </c>
      <c r="R177" t="s">
        <v>1369</v>
      </c>
      <c r="S177">
        <v>2</v>
      </c>
      <c r="T177" t="s">
        <v>245</v>
      </c>
      <c r="U177" t="s">
        <v>60</v>
      </c>
      <c r="V177" t="s">
        <v>131</v>
      </c>
      <c r="W177" t="s">
        <v>222</v>
      </c>
      <c r="Y177">
        <f t="shared" si="36"/>
        <v>0</v>
      </c>
      <c r="Z177">
        <f t="shared" si="37"/>
        <v>0.3</v>
      </c>
      <c r="AA177">
        <f t="shared" si="38"/>
        <v>0</v>
      </c>
      <c r="AB177">
        <f t="shared" si="39"/>
        <v>0</v>
      </c>
      <c r="AC177">
        <f t="shared" si="40"/>
        <v>0</v>
      </c>
      <c r="AD177">
        <f t="shared" si="41"/>
        <v>0</v>
      </c>
      <c r="AE177">
        <f t="shared" si="42"/>
        <v>0.7</v>
      </c>
      <c r="AF177">
        <f t="shared" si="43"/>
        <v>0</v>
      </c>
      <c r="AG177">
        <f t="shared" si="44"/>
        <v>0</v>
      </c>
      <c r="AH177" t="s">
        <v>599</v>
      </c>
      <c r="AI177" t="s">
        <v>640</v>
      </c>
      <c r="AJ177" t="s">
        <v>641</v>
      </c>
    </row>
    <row r="178" spans="1:36" x14ac:dyDescent="0.2">
      <c r="A178" t="s">
        <v>217</v>
      </c>
      <c r="B178" t="s">
        <v>371</v>
      </c>
      <c r="C178" t="s">
        <v>39</v>
      </c>
      <c r="D178" t="s">
        <v>632</v>
      </c>
      <c r="E178" s="6" t="s">
        <v>30</v>
      </c>
      <c r="F178" s="6">
        <v>0.7</v>
      </c>
      <c r="G178" s="6" t="s">
        <v>20</v>
      </c>
      <c r="H178" s="6">
        <v>0.3</v>
      </c>
      <c r="I178" t="s">
        <v>638</v>
      </c>
      <c r="J178" t="s">
        <v>639</v>
      </c>
      <c r="L178" t="s">
        <v>48</v>
      </c>
      <c r="M178">
        <v>1</v>
      </c>
      <c r="P178" t="s">
        <v>1370</v>
      </c>
      <c r="Q178">
        <v>5</v>
      </c>
      <c r="R178" t="s">
        <v>1371</v>
      </c>
      <c r="S178">
        <v>3</v>
      </c>
      <c r="T178" t="s">
        <v>243</v>
      </c>
      <c r="V178" t="s">
        <v>148</v>
      </c>
      <c r="W178" t="s">
        <v>218</v>
      </c>
      <c r="Y178">
        <f t="shared" si="36"/>
        <v>0</v>
      </c>
      <c r="Z178">
        <f t="shared" si="37"/>
        <v>0.6</v>
      </c>
      <c r="AA178">
        <f t="shared" si="38"/>
        <v>0</v>
      </c>
      <c r="AB178">
        <f t="shared" si="39"/>
        <v>0</v>
      </c>
      <c r="AC178">
        <f t="shared" si="40"/>
        <v>0</v>
      </c>
      <c r="AD178">
        <f t="shared" si="41"/>
        <v>0</v>
      </c>
      <c r="AE178">
        <f t="shared" si="42"/>
        <v>1.4</v>
      </c>
      <c r="AF178">
        <f t="shared" si="43"/>
        <v>0</v>
      </c>
      <c r="AG178">
        <f t="shared" si="44"/>
        <v>0</v>
      </c>
      <c r="AH178" t="s">
        <v>599</v>
      </c>
      <c r="AI178" t="s">
        <v>640</v>
      </c>
      <c r="AJ178" t="s">
        <v>641</v>
      </c>
    </row>
    <row r="179" spans="1:36" x14ac:dyDescent="0.2">
      <c r="A179" t="s">
        <v>217</v>
      </c>
      <c r="B179" t="s">
        <v>371</v>
      </c>
      <c r="C179" t="s">
        <v>39</v>
      </c>
      <c r="D179" t="s">
        <v>632</v>
      </c>
      <c r="E179" s="6" t="s">
        <v>30</v>
      </c>
      <c r="F179" s="6">
        <v>0.7</v>
      </c>
      <c r="G179" s="6" t="s">
        <v>20</v>
      </c>
      <c r="H179" s="6">
        <v>0.3</v>
      </c>
      <c r="I179" t="s">
        <v>638</v>
      </c>
      <c r="J179" t="s">
        <v>639</v>
      </c>
      <c r="L179" t="s">
        <v>48</v>
      </c>
      <c r="M179">
        <v>1</v>
      </c>
      <c r="P179" t="s">
        <v>1372</v>
      </c>
      <c r="Q179">
        <v>6</v>
      </c>
      <c r="R179" t="s">
        <v>1373</v>
      </c>
      <c r="S179">
        <v>4</v>
      </c>
      <c r="T179" t="s">
        <v>256</v>
      </c>
      <c r="V179" t="s">
        <v>148</v>
      </c>
      <c r="W179" t="s">
        <v>218</v>
      </c>
      <c r="Y179">
        <f t="shared" si="36"/>
        <v>0</v>
      </c>
      <c r="Z179">
        <f t="shared" si="37"/>
        <v>0.89999999999999991</v>
      </c>
      <c r="AA179">
        <f t="shared" si="38"/>
        <v>0</v>
      </c>
      <c r="AB179">
        <f t="shared" si="39"/>
        <v>0</v>
      </c>
      <c r="AC179">
        <f t="shared" si="40"/>
        <v>0</v>
      </c>
      <c r="AD179">
        <f t="shared" si="41"/>
        <v>0</v>
      </c>
      <c r="AE179">
        <f t="shared" si="42"/>
        <v>2.0999999999999996</v>
      </c>
      <c r="AF179">
        <f t="shared" si="43"/>
        <v>0</v>
      </c>
      <c r="AG179">
        <f t="shared" si="44"/>
        <v>0</v>
      </c>
      <c r="AH179" t="s">
        <v>599</v>
      </c>
      <c r="AI179" t="s">
        <v>640</v>
      </c>
      <c r="AJ179" t="s">
        <v>641</v>
      </c>
    </row>
    <row r="180" spans="1:36" x14ac:dyDescent="0.2">
      <c r="A180" t="s">
        <v>217</v>
      </c>
      <c r="B180" t="s">
        <v>372</v>
      </c>
      <c r="C180" t="s">
        <v>39</v>
      </c>
      <c r="D180" t="s">
        <v>632</v>
      </c>
      <c r="E180" s="6" t="s">
        <v>24</v>
      </c>
      <c r="F180" s="6">
        <v>0.5</v>
      </c>
      <c r="G180" s="6" t="s">
        <v>30</v>
      </c>
      <c r="H180" s="6">
        <v>0.5</v>
      </c>
      <c r="I180" t="s">
        <v>642</v>
      </c>
      <c r="J180" t="s">
        <v>643</v>
      </c>
      <c r="L180" t="s">
        <v>52</v>
      </c>
      <c r="M180">
        <v>1</v>
      </c>
      <c r="P180" t="s">
        <v>1374</v>
      </c>
      <c r="Q180">
        <v>1</v>
      </c>
      <c r="R180" t="s">
        <v>1017</v>
      </c>
      <c r="S180">
        <v>0</v>
      </c>
      <c r="T180" t="s">
        <v>273</v>
      </c>
      <c r="U180" t="s">
        <v>65</v>
      </c>
      <c r="V180" t="s">
        <v>103</v>
      </c>
      <c r="W180" t="s">
        <v>222</v>
      </c>
      <c r="Y180">
        <f t="shared" si="36"/>
        <v>0</v>
      </c>
      <c r="Z180">
        <f t="shared" si="37"/>
        <v>1.2</v>
      </c>
      <c r="AA180">
        <f t="shared" si="38"/>
        <v>0</v>
      </c>
      <c r="AB180">
        <f t="shared" si="39"/>
        <v>0</v>
      </c>
      <c r="AC180">
        <f t="shared" si="40"/>
        <v>0</v>
      </c>
      <c r="AD180">
        <f t="shared" si="41"/>
        <v>0</v>
      </c>
      <c r="AE180">
        <f t="shared" si="42"/>
        <v>2.8</v>
      </c>
      <c r="AF180">
        <f t="shared" si="43"/>
        <v>0</v>
      </c>
      <c r="AG180">
        <f t="shared" si="44"/>
        <v>0</v>
      </c>
      <c r="AH180" t="s">
        <v>561</v>
      </c>
      <c r="AI180" t="s">
        <v>562</v>
      </c>
      <c r="AJ180" t="s">
        <v>644</v>
      </c>
    </row>
    <row r="181" spans="1:36" x14ac:dyDescent="0.2">
      <c r="A181" t="s">
        <v>217</v>
      </c>
      <c r="B181" t="s">
        <v>372</v>
      </c>
      <c r="C181" t="s">
        <v>39</v>
      </c>
      <c r="D181" t="s">
        <v>632</v>
      </c>
      <c r="E181" s="6" t="s">
        <v>24</v>
      </c>
      <c r="F181" s="6">
        <v>0.5</v>
      </c>
      <c r="G181" s="6" t="s">
        <v>30</v>
      </c>
      <c r="H181" s="6">
        <v>0.5</v>
      </c>
      <c r="I181" t="s">
        <v>642</v>
      </c>
      <c r="J181" t="s">
        <v>643</v>
      </c>
      <c r="L181" t="s">
        <v>52</v>
      </c>
      <c r="M181">
        <v>1</v>
      </c>
      <c r="P181" t="s">
        <v>1375</v>
      </c>
      <c r="Q181">
        <v>2</v>
      </c>
      <c r="R181" t="s">
        <v>1376</v>
      </c>
      <c r="S181">
        <v>0</v>
      </c>
      <c r="T181" t="s">
        <v>242</v>
      </c>
      <c r="U181" t="s">
        <v>62</v>
      </c>
      <c r="V181" t="s">
        <v>103</v>
      </c>
      <c r="W181" t="s">
        <v>222</v>
      </c>
      <c r="Y181">
        <f t="shared" si="36"/>
        <v>0</v>
      </c>
      <c r="Z181">
        <f t="shared" si="37"/>
        <v>0</v>
      </c>
      <c r="AA181">
        <f t="shared" si="38"/>
        <v>0</v>
      </c>
      <c r="AB181">
        <f t="shared" si="39"/>
        <v>0</v>
      </c>
      <c r="AC181">
        <f t="shared" si="40"/>
        <v>0</v>
      </c>
      <c r="AD181">
        <f t="shared" si="41"/>
        <v>0</v>
      </c>
      <c r="AE181">
        <f t="shared" si="42"/>
        <v>0</v>
      </c>
      <c r="AF181">
        <f t="shared" si="43"/>
        <v>0</v>
      </c>
      <c r="AG181">
        <f t="shared" si="44"/>
        <v>0</v>
      </c>
      <c r="AH181" t="s">
        <v>561</v>
      </c>
      <c r="AI181" t="s">
        <v>562</v>
      </c>
      <c r="AJ181" t="s">
        <v>644</v>
      </c>
    </row>
    <row r="182" spans="1:36" x14ac:dyDescent="0.2">
      <c r="A182" t="s">
        <v>217</v>
      </c>
      <c r="B182" t="s">
        <v>372</v>
      </c>
      <c r="C182" t="s">
        <v>39</v>
      </c>
      <c r="D182" t="s">
        <v>632</v>
      </c>
      <c r="E182" s="6" t="s">
        <v>24</v>
      </c>
      <c r="F182" s="6">
        <v>0.5</v>
      </c>
      <c r="G182" s="6" t="s">
        <v>30</v>
      </c>
      <c r="H182" s="6">
        <v>0.5</v>
      </c>
      <c r="I182" t="s">
        <v>642</v>
      </c>
      <c r="J182" t="s">
        <v>643</v>
      </c>
      <c r="L182" t="s">
        <v>52</v>
      </c>
      <c r="M182">
        <v>1</v>
      </c>
      <c r="P182" t="s">
        <v>1377</v>
      </c>
      <c r="Q182">
        <v>3</v>
      </c>
      <c r="R182" t="s">
        <v>1378</v>
      </c>
      <c r="S182">
        <v>1</v>
      </c>
      <c r="T182" t="s">
        <v>216</v>
      </c>
      <c r="U182" t="s">
        <v>60</v>
      </c>
      <c r="V182" t="s">
        <v>103</v>
      </c>
      <c r="W182" t="s">
        <v>222</v>
      </c>
      <c r="Y182">
        <f t="shared" si="36"/>
        <v>0</v>
      </c>
      <c r="Z182">
        <f t="shared" si="37"/>
        <v>0</v>
      </c>
      <c r="AA182">
        <f t="shared" si="38"/>
        <v>0</v>
      </c>
      <c r="AB182">
        <f t="shared" si="39"/>
        <v>0</v>
      </c>
      <c r="AC182">
        <f t="shared" si="40"/>
        <v>0</v>
      </c>
      <c r="AD182">
        <f t="shared" si="41"/>
        <v>0</v>
      </c>
      <c r="AE182">
        <f t="shared" si="42"/>
        <v>0</v>
      </c>
      <c r="AF182">
        <f t="shared" si="43"/>
        <v>0</v>
      </c>
      <c r="AG182">
        <f t="shared" si="44"/>
        <v>0</v>
      </c>
      <c r="AH182" t="s">
        <v>561</v>
      </c>
      <c r="AI182" t="s">
        <v>562</v>
      </c>
      <c r="AJ182" t="s">
        <v>644</v>
      </c>
    </row>
    <row r="183" spans="1:36" x14ac:dyDescent="0.2">
      <c r="A183" t="s">
        <v>217</v>
      </c>
      <c r="B183" t="s">
        <v>372</v>
      </c>
      <c r="C183" t="s">
        <v>39</v>
      </c>
      <c r="D183" t="s">
        <v>632</v>
      </c>
      <c r="E183" s="6" t="s">
        <v>24</v>
      </c>
      <c r="F183" s="6">
        <v>0.5</v>
      </c>
      <c r="G183" s="6" t="s">
        <v>30</v>
      </c>
      <c r="H183" s="6">
        <v>0.5</v>
      </c>
      <c r="I183" t="s">
        <v>642</v>
      </c>
      <c r="J183" t="s">
        <v>643</v>
      </c>
      <c r="L183" t="s">
        <v>52</v>
      </c>
      <c r="M183">
        <v>1</v>
      </c>
      <c r="P183" t="s">
        <v>1379</v>
      </c>
      <c r="Q183">
        <v>4</v>
      </c>
      <c r="R183" t="s">
        <v>1380</v>
      </c>
      <c r="S183">
        <v>2</v>
      </c>
      <c r="T183" t="s">
        <v>259</v>
      </c>
      <c r="U183" t="s">
        <v>61</v>
      </c>
      <c r="V183" t="s">
        <v>113</v>
      </c>
      <c r="W183" t="s">
        <v>222</v>
      </c>
      <c r="Y183">
        <f t="shared" si="36"/>
        <v>0</v>
      </c>
      <c r="Z183">
        <f t="shared" si="37"/>
        <v>0</v>
      </c>
      <c r="AA183">
        <f t="shared" si="38"/>
        <v>0</v>
      </c>
      <c r="AB183">
        <f t="shared" si="39"/>
        <v>0.5</v>
      </c>
      <c r="AC183">
        <f t="shared" si="40"/>
        <v>0</v>
      </c>
      <c r="AD183">
        <f t="shared" si="41"/>
        <v>0</v>
      </c>
      <c r="AE183">
        <f t="shared" si="42"/>
        <v>0.5</v>
      </c>
      <c r="AF183">
        <f t="shared" si="43"/>
        <v>0</v>
      </c>
      <c r="AG183">
        <f t="shared" si="44"/>
        <v>0</v>
      </c>
      <c r="AH183" t="s">
        <v>561</v>
      </c>
      <c r="AI183" t="s">
        <v>562</v>
      </c>
      <c r="AJ183" t="s">
        <v>644</v>
      </c>
    </row>
    <row r="184" spans="1:36" x14ac:dyDescent="0.2">
      <c r="A184" t="s">
        <v>217</v>
      </c>
      <c r="B184" t="s">
        <v>372</v>
      </c>
      <c r="C184" t="s">
        <v>39</v>
      </c>
      <c r="D184" t="s">
        <v>632</v>
      </c>
      <c r="E184" s="6" t="s">
        <v>24</v>
      </c>
      <c r="F184" s="6">
        <v>0.5</v>
      </c>
      <c r="G184" s="6" t="s">
        <v>30</v>
      </c>
      <c r="H184" s="6">
        <v>0.5</v>
      </c>
      <c r="I184" t="s">
        <v>642</v>
      </c>
      <c r="J184" t="s">
        <v>643</v>
      </c>
      <c r="L184" t="s">
        <v>52</v>
      </c>
      <c r="M184">
        <v>1</v>
      </c>
      <c r="P184" t="s">
        <v>1381</v>
      </c>
      <c r="Q184">
        <v>5</v>
      </c>
      <c r="R184" t="s">
        <v>1382</v>
      </c>
      <c r="S184">
        <v>3</v>
      </c>
      <c r="T184" t="s">
        <v>243</v>
      </c>
      <c r="V184" t="s">
        <v>148</v>
      </c>
      <c r="W184" t="s">
        <v>218</v>
      </c>
      <c r="Y184">
        <f t="shared" si="36"/>
        <v>0</v>
      </c>
      <c r="Z184">
        <f t="shared" si="37"/>
        <v>0</v>
      </c>
      <c r="AA184">
        <f t="shared" si="38"/>
        <v>0</v>
      </c>
      <c r="AB184">
        <f t="shared" si="39"/>
        <v>1</v>
      </c>
      <c r="AC184">
        <f t="shared" si="40"/>
        <v>0</v>
      </c>
      <c r="AD184">
        <f t="shared" si="41"/>
        <v>0</v>
      </c>
      <c r="AE184">
        <f t="shared" si="42"/>
        <v>1</v>
      </c>
      <c r="AF184">
        <f t="shared" si="43"/>
        <v>0</v>
      </c>
      <c r="AG184">
        <f t="shared" si="44"/>
        <v>0</v>
      </c>
      <c r="AH184" t="s">
        <v>561</v>
      </c>
      <c r="AI184" t="s">
        <v>562</v>
      </c>
      <c r="AJ184" t="s">
        <v>644</v>
      </c>
    </row>
    <row r="185" spans="1:36" x14ac:dyDescent="0.2">
      <c r="A185" t="s">
        <v>217</v>
      </c>
      <c r="B185" t="s">
        <v>372</v>
      </c>
      <c r="C185" t="s">
        <v>39</v>
      </c>
      <c r="D185" t="s">
        <v>632</v>
      </c>
      <c r="E185" s="6" t="s">
        <v>24</v>
      </c>
      <c r="F185" s="6">
        <v>0.5</v>
      </c>
      <c r="G185" s="6" t="s">
        <v>30</v>
      </c>
      <c r="H185" s="6">
        <v>0.5</v>
      </c>
      <c r="I185" t="s">
        <v>642</v>
      </c>
      <c r="J185" t="s">
        <v>643</v>
      </c>
      <c r="L185" t="s">
        <v>52</v>
      </c>
      <c r="M185">
        <v>1</v>
      </c>
      <c r="P185" t="s">
        <v>1383</v>
      </c>
      <c r="Q185">
        <v>6</v>
      </c>
      <c r="R185" t="s">
        <v>1384</v>
      </c>
      <c r="S185">
        <v>4</v>
      </c>
      <c r="T185" t="s">
        <v>256</v>
      </c>
      <c r="V185" t="s">
        <v>148</v>
      </c>
      <c r="W185" t="s">
        <v>218</v>
      </c>
      <c r="Y185">
        <f t="shared" si="36"/>
        <v>0</v>
      </c>
      <c r="Z185">
        <f t="shared" si="37"/>
        <v>0</v>
      </c>
      <c r="AA185">
        <f t="shared" si="38"/>
        <v>0</v>
      </c>
      <c r="AB185">
        <f t="shared" si="39"/>
        <v>1.5</v>
      </c>
      <c r="AC185">
        <f t="shared" si="40"/>
        <v>0</v>
      </c>
      <c r="AD185">
        <f t="shared" si="41"/>
        <v>0</v>
      </c>
      <c r="AE185">
        <f t="shared" si="42"/>
        <v>1.5</v>
      </c>
      <c r="AF185">
        <f t="shared" si="43"/>
        <v>0</v>
      </c>
      <c r="AG185">
        <f t="shared" si="44"/>
        <v>0</v>
      </c>
      <c r="AH185" t="s">
        <v>561</v>
      </c>
      <c r="AI185" t="s">
        <v>562</v>
      </c>
      <c r="AJ185" t="s">
        <v>644</v>
      </c>
    </row>
    <row r="186" spans="1:36" x14ac:dyDescent="0.2">
      <c r="A186" t="s">
        <v>217</v>
      </c>
      <c r="B186" t="s">
        <v>373</v>
      </c>
      <c r="C186" t="s">
        <v>39</v>
      </c>
      <c r="D186" t="s">
        <v>632</v>
      </c>
      <c r="E186" s="6" t="s">
        <v>26</v>
      </c>
      <c r="F186" s="6">
        <v>0.5</v>
      </c>
      <c r="G186" s="6" t="s">
        <v>30</v>
      </c>
      <c r="H186" s="6">
        <v>0.5</v>
      </c>
      <c r="I186" t="s">
        <v>645</v>
      </c>
      <c r="J186" t="s">
        <v>646</v>
      </c>
      <c r="L186" t="s">
        <v>50</v>
      </c>
      <c r="M186">
        <v>1</v>
      </c>
      <c r="P186" t="s">
        <v>1385</v>
      </c>
      <c r="Q186">
        <v>1</v>
      </c>
      <c r="R186" t="s">
        <v>1017</v>
      </c>
      <c r="S186">
        <v>0</v>
      </c>
      <c r="T186" t="s">
        <v>273</v>
      </c>
      <c r="U186" t="s">
        <v>65</v>
      </c>
      <c r="V186" t="s">
        <v>95</v>
      </c>
      <c r="W186" t="s">
        <v>222</v>
      </c>
      <c r="Y186">
        <f t="shared" si="36"/>
        <v>0</v>
      </c>
      <c r="Z186">
        <f t="shared" si="37"/>
        <v>0</v>
      </c>
      <c r="AA186">
        <f t="shared" si="38"/>
        <v>0</v>
      </c>
      <c r="AB186">
        <f t="shared" si="39"/>
        <v>2</v>
      </c>
      <c r="AC186">
        <f t="shared" si="40"/>
        <v>0</v>
      </c>
      <c r="AD186">
        <f t="shared" si="41"/>
        <v>0</v>
      </c>
      <c r="AE186">
        <f t="shared" si="42"/>
        <v>2</v>
      </c>
      <c r="AF186">
        <f t="shared" si="43"/>
        <v>0</v>
      </c>
      <c r="AG186">
        <f t="shared" si="44"/>
        <v>0</v>
      </c>
      <c r="AH186" t="s">
        <v>599</v>
      </c>
      <c r="AI186" t="s">
        <v>647</v>
      </c>
      <c r="AJ186" t="s">
        <v>648</v>
      </c>
    </row>
    <row r="187" spans="1:36" x14ac:dyDescent="0.2">
      <c r="A187" t="s">
        <v>217</v>
      </c>
      <c r="B187" t="s">
        <v>373</v>
      </c>
      <c r="C187" t="s">
        <v>39</v>
      </c>
      <c r="D187" t="s">
        <v>632</v>
      </c>
      <c r="E187" s="6" t="s">
        <v>26</v>
      </c>
      <c r="F187" s="6">
        <v>0.5</v>
      </c>
      <c r="G187" s="6" t="s">
        <v>30</v>
      </c>
      <c r="H187" s="6">
        <v>0.5</v>
      </c>
      <c r="I187" t="s">
        <v>645</v>
      </c>
      <c r="J187" t="s">
        <v>646</v>
      </c>
      <c r="L187" t="s">
        <v>50</v>
      </c>
      <c r="M187">
        <v>1</v>
      </c>
      <c r="P187" t="s">
        <v>1386</v>
      </c>
      <c r="Q187">
        <v>2</v>
      </c>
      <c r="R187" t="s">
        <v>1387</v>
      </c>
      <c r="S187">
        <v>0</v>
      </c>
      <c r="T187" t="s">
        <v>237</v>
      </c>
      <c r="U187" t="s">
        <v>58</v>
      </c>
      <c r="V187" t="s">
        <v>95</v>
      </c>
      <c r="W187" t="s">
        <v>222</v>
      </c>
      <c r="Y187">
        <f t="shared" si="36"/>
        <v>0</v>
      </c>
      <c r="Z187">
        <f t="shared" si="37"/>
        <v>0</v>
      </c>
      <c r="AA187">
        <f t="shared" si="38"/>
        <v>0</v>
      </c>
      <c r="AB187">
        <f t="shared" si="39"/>
        <v>0</v>
      </c>
      <c r="AC187">
        <f t="shared" si="40"/>
        <v>0</v>
      </c>
      <c r="AD187">
        <f t="shared" si="41"/>
        <v>0</v>
      </c>
      <c r="AE187">
        <f t="shared" si="42"/>
        <v>0</v>
      </c>
      <c r="AF187">
        <f t="shared" si="43"/>
        <v>0</v>
      </c>
      <c r="AG187">
        <f t="shared" si="44"/>
        <v>0</v>
      </c>
      <c r="AH187" t="s">
        <v>599</v>
      </c>
      <c r="AI187" t="s">
        <v>647</v>
      </c>
      <c r="AJ187" t="s">
        <v>648</v>
      </c>
    </row>
    <row r="188" spans="1:36" x14ac:dyDescent="0.2">
      <c r="A188" t="s">
        <v>217</v>
      </c>
      <c r="B188" t="s">
        <v>373</v>
      </c>
      <c r="C188" t="s">
        <v>39</v>
      </c>
      <c r="D188" t="s">
        <v>632</v>
      </c>
      <c r="E188" s="6" t="s">
        <v>26</v>
      </c>
      <c r="F188" s="6">
        <v>0.5</v>
      </c>
      <c r="G188" s="6" t="s">
        <v>30</v>
      </c>
      <c r="H188" s="6">
        <v>0.5</v>
      </c>
      <c r="I188" t="s">
        <v>645</v>
      </c>
      <c r="J188" t="s">
        <v>646</v>
      </c>
      <c r="L188" t="s">
        <v>50</v>
      </c>
      <c r="M188">
        <v>1</v>
      </c>
      <c r="P188" t="s">
        <v>1388</v>
      </c>
      <c r="Q188">
        <v>3</v>
      </c>
      <c r="R188" t="s">
        <v>1389</v>
      </c>
      <c r="S188">
        <v>1</v>
      </c>
      <c r="T188" t="s">
        <v>246</v>
      </c>
      <c r="U188" t="s">
        <v>60</v>
      </c>
      <c r="V188" t="s">
        <v>95</v>
      </c>
      <c r="W188" t="s">
        <v>222</v>
      </c>
      <c r="Y188">
        <f t="shared" si="36"/>
        <v>0</v>
      </c>
      <c r="Z188">
        <f t="shared" si="37"/>
        <v>0</v>
      </c>
      <c r="AA188">
        <f t="shared" si="38"/>
        <v>0</v>
      </c>
      <c r="AB188">
        <f t="shared" si="39"/>
        <v>0</v>
      </c>
      <c r="AC188">
        <f t="shared" si="40"/>
        <v>0</v>
      </c>
      <c r="AD188">
        <f t="shared" si="41"/>
        <v>0</v>
      </c>
      <c r="AE188">
        <f t="shared" si="42"/>
        <v>0</v>
      </c>
      <c r="AF188">
        <f t="shared" si="43"/>
        <v>0</v>
      </c>
      <c r="AG188">
        <f t="shared" si="44"/>
        <v>0</v>
      </c>
      <c r="AH188" t="s">
        <v>599</v>
      </c>
      <c r="AI188" t="s">
        <v>647</v>
      </c>
      <c r="AJ188" t="s">
        <v>648</v>
      </c>
    </row>
    <row r="189" spans="1:36" x14ac:dyDescent="0.2">
      <c r="A189" t="s">
        <v>217</v>
      </c>
      <c r="B189" t="s">
        <v>373</v>
      </c>
      <c r="C189" t="s">
        <v>39</v>
      </c>
      <c r="D189" t="s">
        <v>632</v>
      </c>
      <c r="E189" s="6" t="s">
        <v>26</v>
      </c>
      <c r="F189" s="6">
        <v>0.5</v>
      </c>
      <c r="G189" s="6" t="s">
        <v>30</v>
      </c>
      <c r="H189" s="6">
        <v>0.5</v>
      </c>
      <c r="I189" t="s">
        <v>645</v>
      </c>
      <c r="J189" t="s">
        <v>646</v>
      </c>
      <c r="L189" t="s">
        <v>50</v>
      </c>
      <c r="M189">
        <v>1</v>
      </c>
      <c r="P189" t="s">
        <v>1390</v>
      </c>
      <c r="Q189">
        <v>4</v>
      </c>
      <c r="R189" t="s">
        <v>1391</v>
      </c>
      <c r="S189">
        <v>2</v>
      </c>
      <c r="T189" t="s">
        <v>259</v>
      </c>
      <c r="U189" t="s">
        <v>61</v>
      </c>
      <c r="V189" t="s">
        <v>126</v>
      </c>
      <c r="W189" t="s">
        <v>222</v>
      </c>
      <c r="Y189">
        <f t="shared" si="36"/>
        <v>0</v>
      </c>
      <c r="Z189">
        <f t="shared" si="37"/>
        <v>0</v>
      </c>
      <c r="AA189">
        <f t="shared" si="38"/>
        <v>0</v>
      </c>
      <c r="AB189">
        <f t="shared" si="39"/>
        <v>0</v>
      </c>
      <c r="AC189">
        <f t="shared" si="40"/>
        <v>0.5</v>
      </c>
      <c r="AD189">
        <f t="shared" si="41"/>
        <v>0</v>
      </c>
      <c r="AE189">
        <f t="shared" si="42"/>
        <v>0.5</v>
      </c>
      <c r="AF189">
        <f t="shared" si="43"/>
        <v>0</v>
      </c>
      <c r="AG189">
        <f t="shared" si="44"/>
        <v>0</v>
      </c>
      <c r="AH189" t="s">
        <v>599</v>
      </c>
      <c r="AI189" t="s">
        <v>647</v>
      </c>
      <c r="AJ189" t="s">
        <v>648</v>
      </c>
    </row>
    <row r="190" spans="1:36" x14ac:dyDescent="0.2">
      <c r="A190" t="s">
        <v>217</v>
      </c>
      <c r="B190" t="s">
        <v>373</v>
      </c>
      <c r="C190" t="s">
        <v>39</v>
      </c>
      <c r="D190" t="s">
        <v>632</v>
      </c>
      <c r="E190" s="6" t="s">
        <v>26</v>
      </c>
      <c r="F190" s="6">
        <v>0.5</v>
      </c>
      <c r="G190" s="6" t="s">
        <v>30</v>
      </c>
      <c r="H190" s="6">
        <v>0.5</v>
      </c>
      <c r="I190" t="s">
        <v>645</v>
      </c>
      <c r="J190" t="s">
        <v>646</v>
      </c>
      <c r="L190" t="s">
        <v>50</v>
      </c>
      <c r="M190">
        <v>1</v>
      </c>
      <c r="P190" t="s">
        <v>1392</v>
      </c>
      <c r="Q190">
        <v>5</v>
      </c>
      <c r="R190" t="s">
        <v>1393</v>
      </c>
      <c r="S190">
        <v>3</v>
      </c>
      <c r="T190" t="s">
        <v>243</v>
      </c>
      <c r="V190" t="s">
        <v>148</v>
      </c>
      <c r="W190" t="s">
        <v>218</v>
      </c>
      <c r="Y190">
        <f t="shared" si="36"/>
        <v>0</v>
      </c>
      <c r="Z190">
        <f t="shared" si="37"/>
        <v>0</v>
      </c>
      <c r="AA190">
        <f t="shared" si="38"/>
        <v>0</v>
      </c>
      <c r="AB190">
        <f t="shared" si="39"/>
        <v>0</v>
      </c>
      <c r="AC190">
        <f t="shared" si="40"/>
        <v>1</v>
      </c>
      <c r="AD190">
        <f t="shared" si="41"/>
        <v>0</v>
      </c>
      <c r="AE190">
        <f t="shared" si="42"/>
        <v>1</v>
      </c>
      <c r="AF190">
        <f t="shared" si="43"/>
        <v>0</v>
      </c>
      <c r="AG190">
        <f t="shared" si="44"/>
        <v>0</v>
      </c>
      <c r="AH190" t="s">
        <v>599</v>
      </c>
      <c r="AI190" t="s">
        <v>647</v>
      </c>
      <c r="AJ190" t="s">
        <v>648</v>
      </c>
    </row>
    <row r="191" spans="1:36" x14ac:dyDescent="0.2">
      <c r="A191" t="s">
        <v>217</v>
      </c>
      <c r="B191" t="s">
        <v>373</v>
      </c>
      <c r="C191" t="s">
        <v>39</v>
      </c>
      <c r="D191" t="s">
        <v>632</v>
      </c>
      <c r="E191" s="6" t="s">
        <v>26</v>
      </c>
      <c r="F191" s="6">
        <v>0.5</v>
      </c>
      <c r="G191" s="6" t="s">
        <v>30</v>
      </c>
      <c r="H191" s="6">
        <v>0.5</v>
      </c>
      <c r="I191" t="s">
        <v>645</v>
      </c>
      <c r="J191" t="s">
        <v>646</v>
      </c>
      <c r="L191" t="s">
        <v>50</v>
      </c>
      <c r="M191">
        <v>1</v>
      </c>
      <c r="P191" t="s">
        <v>1394</v>
      </c>
      <c r="Q191">
        <v>6</v>
      </c>
      <c r="R191" t="s">
        <v>1395</v>
      </c>
      <c r="S191">
        <v>4</v>
      </c>
      <c r="T191" t="s">
        <v>256</v>
      </c>
      <c r="V191" t="s">
        <v>148</v>
      </c>
      <c r="W191" t="s">
        <v>218</v>
      </c>
      <c r="Y191">
        <f t="shared" si="36"/>
        <v>0</v>
      </c>
      <c r="Z191">
        <f t="shared" si="37"/>
        <v>0</v>
      </c>
      <c r="AA191">
        <f t="shared" si="38"/>
        <v>0</v>
      </c>
      <c r="AB191">
        <f t="shared" si="39"/>
        <v>0</v>
      </c>
      <c r="AC191">
        <f t="shared" si="40"/>
        <v>1.5</v>
      </c>
      <c r="AD191">
        <f t="shared" si="41"/>
        <v>0</v>
      </c>
      <c r="AE191">
        <f t="shared" si="42"/>
        <v>1.5</v>
      </c>
      <c r="AF191">
        <f t="shared" si="43"/>
        <v>0</v>
      </c>
      <c r="AG191">
        <f t="shared" si="44"/>
        <v>0</v>
      </c>
      <c r="AH191" t="s">
        <v>599</v>
      </c>
      <c r="AI191" t="s">
        <v>647</v>
      </c>
      <c r="AJ191" t="s">
        <v>648</v>
      </c>
    </row>
    <row r="192" spans="1:36" x14ac:dyDescent="0.2">
      <c r="A192" t="s">
        <v>217</v>
      </c>
      <c r="B192" t="s">
        <v>374</v>
      </c>
      <c r="C192" t="s">
        <v>37</v>
      </c>
      <c r="D192" t="s">
        <v>649</v>
      </c>
      <c r="E192" s="6" t="s">
        <v>18</v>
      </c>
      <c r="F192" s="6">
        <v>0.6</v>
      </c>
      <c r="G192" s="6" t="s">
        <v>30</v>
      </c>
      <c r="H192" s="6">
        <v>0.4</v>
      </c>
      <c r="I192" t="s">
        <v>650</v>
      </c>
      <c r="J192" t="s">
        <v>651</v>
      </c>
      <c r="L192" t="s">
        <v>44</v>
      </c>
      <c r="M192">
        <v>1</v>
      </c>
      <c r="P192" t="s">
        <v>1396</v>
      </c>
      <c r="Q192">
        <v>1</v>
      </c>
      <c r="R192" t="s">
        <v>1017</v>
      </c>
      <c r="S192">
        <v>0</v>
      </c>
      <c r="T192" t="s">
        <v>273</v>
      </c>
      <c r="U192" t="s">
        <v>65</v>
      </c>
      <c r="V192" t="s">
        <v>102</v>
      </c>
      <c r="W192" t="s">
        <v>222</v>
      </c>
      <c r="Y192">
        <f t="shared" si="36"/>
        <v>0</v>
      </c>
      <c r="Z192">
        <f t="shared" si="37"/>
        <v>0</v>
      </c>
      <c r="AA192">
        <f t="shared" si="38"/>
        <v>0</v>
      </c>
      <c r="AB192">
        <f t="shared" si="39"/>
        <v>0</v>
      </c>
      <c r="AC192">
        <f t="shared" si="40"/>
        <v>2</v>
      </c>
      <c r="AD192">
        <f t="shared" si="41"/>
        <v>0</v>
      </c>
      <c r="AE192">
        <f t="shared" si="42"/>
        <v>2</v>
      </c>
      <c r="AF192">
        <f t="shared" si="43"/>
        <v>0</v>
      </c>
      <c r="AG192">
        <f t="shared" si="44"/>
        <v>0</v>
      </c>
      <c r="AH192" t="s">
        <v>625</v>
      </c>
      <c r="AI192" t="s">
        <v>626</v>
      </c>
      <c r="AJ192" t="s">
        <v>627</v>
      </c>
    </row>
    <row r="193" spans="1:36" x14ac:dyDescent="0.2">
      <c r="A193" t="s">
        <v>217</v>
      </c>
      <c r="B193" t="s">
        <v>374</v>
      </c>
      <c r="C193" t="s">
        <v>37</v>
      </c>
      <c r="D193" t="s">
        <v>649</v>
      </c>
      <c r="E193" s="6" t="s">
        <v>18</v>
      </c>
      <c r="F193" s="6">
        <v>0.6</v>
      </c>
      <c r="G193" s="6" t="s">
        <v>30</v>
      </c>
      <c r="H193" s="6">
        <v>0.4</v>
      </c>
      <c r="I193" t="s">
        <v>650</v>
      </c>
      <c r="J193" t="s">
        <v>651</v>
      </c>
      <c r="L193" t="s">
        <v>44</v>
      </c>
      <c r="M193">
        <v>1</v>
      </c>
      <c r="P193" t="s">
        <v>1397</v>
      </c>
      <c r="Q193">
        <v>2</v>
      </c>
      <c r="R193" t="s">
        <v>1398</v>
      </c>
      <c r="S193">
        <v>0</v>
      </c>
      <c r="T193" t="s">
        <v>242</v>
      </c>
      <c r="U193" t="s">
        <v>60</v>
      </c>
      <c r="V193" t="s">
        <v>102</v>
      </c>
      <c r="W193" t="s">
        <v>222</v>
      </c>
      <c r="Y193">
        <f t="shared" si="36"/>
        <v>0</v>
      </c>
      <c r="Z193">
        <f t="shared" si="37"/>
        <v>0</v>
      </c>
      <c r="AA193">
        <f t="shared" si="38"/>
        <v>0</v>
      </c>
      <c r="AB193">
        <f t="shared" si="39"/>
        <v>0</v>
      </c>
      <c r="AC193">
        <f t="shared" si="40"/>
        <v>0</v>
      </c>
      <c r="AD193">
        <f t="shared" si="41"/>
        <v>0</v>
      </c>
      <c r="AE193">
        <f t="shared" si="42"/>
        <v>0</v>
      </c>
      <c r="AF193">
        <f t="shared" si="43"/>
        <v>0</v>
      </c>
      <c r="AG193">
        <f t="shared" si="44"/>
        <v>0</v>
      </c>
      <c r="AH193" t="s">
        <v>625</v>
      </c>
      <c r="AI193" t="s">
        <v>626</v>
      </c>
      <c r="AJ193" t="s">
        <v>627</v>
      </c>
    </row>
    <row r="194" spans="1:36" x14ac:dyDescent="0.2">
      <c r="A194" t="s">
        <v>217</v>
      </c>
      <c r="B194" t="s">
        <v>374</v>
      </c>
      <c r="C194" t="s">
        <v>37</v>
      </c>
      <c r="D194" t="s">
        <v>649</v>
      </c>
      <c r="E194" s="6" t="s">
        <v>18</v>
      </c>
      <c r="F194" s="6">
        <v>0.6</v>
      </c>
      <c r="G194" s="6" t="s">
        <v>30</v>
      </c>
      <c r="H194" s="6">
        <v>0.4</v>
      </c>
      <c r="I194" t="s">
        <v>650</v>
      </c>
      <c r="J194" t="s">
        <v>651</v>
      </c>
      <c r="L194" t="s">
        <v>44</v>
      </c>
      <c r="M194">
        <v>1</v>
      </c>
      <c r="P194" t="s">
        <v>1399</v>
      </c>
      <c r="Q194">
        <v>3</v>
      </c>
      <c r="R194" t="s">
        <v>1400</v>
      </c>
      <c r="S194">
        <v>1</v>
      </c>
      <c r="T194" t="s">
        <v>275</v>
      </c>
      <c r="U194" t="s">
        <v>61</v>
      </c>
      <c r="V194" t="s">
        <v>168</v>
      </c>
      <c r="W194" t="s">
        <v>222</v>
      </c>
      <c r="Y194">
        <f t="shared" si="36"/>
        <v>0</v>
      </c>
      <c r="Z194">
        <f t="shared" si="37"/>
        <v>0</v>
      </c>
      <c r="AA194">
        <f t="shared" si="38"/>
        <v>0</v>
      </c>
      <c r="AB194">
        <f t="shared" si="39"/>
        <v>0</v>
      </c>
      <c r="AC194">
        <f t="shared" si="40"/>
        <v>0</v>
      </c>
      <c r="AD194">
        <f t="shared" si="41"/>
        <v>0</v>
      </c>
      <c r="AE194">
        <f t="shared" si="42"/>
        <v>0</v>
      </c>
      <c r="AF194">
        <f t="shared" si="43"/>
        <v>0</v>
      </c>
      <c r="AG194">
        <f t="shared" si="44"/>
        <v>0</v>
      </c>
      <c r="AH194" t="s">
        <v>625</v>
      </c>
      <c r="AI194" t="s">
        <v>626</v>
      </c>
      <c r="AJ194" t="s">
        <v>627</v>
      </c>
    </row>
    <row r="195" spans="1:36" x14ac:dyDescent="0.2">
      <c r="A195" t="s">
        <v>217</v>
      </c>
      <c r="B195" t="s">
        <v>374</v>
      </c>
      <c r="C195" t="s">
        <v>37</v>
      </c>
      <c r="D195" t="s">
        <v>649</v>
      </c>
      <c r="E195" s="6" t="s">
        <v>18</v>
      </c>
      <c r="F195" s="6">
        <v>0.6</v>
      </c>
      <c r="G195" s="6" t="s">
        <v>30</v>
      </c>
      <c r="H195" s="6">
        <v>0.4</v>
      </c>
      <c r="I195" t="s">
        <v>650</v>
      </c>
      <c r="J195" t="s">
        <v>651</v>
      </c>
      <c r="L195" t="s">
        <v>44</v>
      </c>
      <c r="M195">
        <v>1</v>
      </c>
      <c r="P195" t="s">
        <v>1401</v>
      </c>
      <c r="Q195">
        <v>4</v>
      </c>
      <c r="R195" t="s">
        <v>1402</v>
      </c>
      <c r="S195">
        <v>2</v>
      </c>
      <c r="T195" t="s">
        <v>172</v>
      </c>
      <c r="U195" t="s">
        <v>61</v>
      </c>
      <c r="V195" t="s">
        <v>168</v>
      </c>
      <c r="W195" t="s">
        <v>222</v>
      </c>
      <c r="Y195">
        <f t="shared" si="36"/>
        <v>0.6</v>
      </c>
      <c r="Z195">
        <f t="shared" si="37"/>
        <v>0</v>
      </c>
      <c r="AA195">
        <f t="shared" si="38"/>
        <v>0</v>
      </c>
      <c r="AB195">
        <f t="shared" si="39"/>
        <v>0</v>
      </c>
      <c r="AC195">
        <f t="shared" si="40"/>
        <v>0</v>
      </c>
      <c r="AD195">
        <f t="shared" si="41"/>
        <v>0</v>
      </c>
      <c r="AE195">
        <f t="shared" si="42"/>
        <v>0.4</v>
      </c>
      <c r="AF195">
        <f t="shared" si="43"/>
        <v>0</v>
      </c>
      <c r="AG195">
        <f t="shared" si="44"/>
        <v>0</v>
      </c>
      <c r="AH195" t="s">
        <v>625</v>
      </c>
      <c r="AI195" t="s">
        <v>626</v>
      </c>
      <c r="AJ195" t="s">
        <v>627</v>
      </c>
    </row>
    <row r="196" spans="1:36" x14ac:dyDescent="0.2">
      <c r="A196" t="s">
        <v>217</v>
      </c>
      <c r="B196" t="s">
        <v>374</v>
      </c>
      <c r="C196" t="s">
        <v>37</v>
      </c>
      <c r="D196" t="s">
        <v>649</v>
      </c>
      <c r="E196" s="6" t="s">
        <v>18</v>
      </c>
      <c r="F196" s="6">
        <v>0.6</v>
      </c>
      <c r="G196" s="6" t="s">
        <v>30</v>
      </c>
      <c r="H196" s="6">
        <v>0.4</v>
      </c>
      <c r="I196" t="s">
        <v>650</v>
      </c>
      <c r="J196" t="s">
        <v>651</v>
      </c>
      <c r="L196" t="s">
        <v>44</v>
      </c>
      <c r="M196">
        <v>1</v>
      </c>
      <c r="P196" t="s">
        <v>1403</v>
      </c>
      <c r="Q196">
        <v>5</v>
      </c>
      <c r="R196" t="s">
        <v>1404</v>
      </c>
      <c r="S196">
        <v>3</v>
      </c>
      <c r="T196" t="s">
        <v>243</v>
      </c>
      <c r="V196" t="s">
        <v>148</v>
      </c>
      <c r="W196" t="s">
        <v>218</v>
      </c>
      <c r="Y196">
        <f t="shared" si="36"/>
        <v>1.2</v>
      </c>
      <c r="Z196">
        <f t="shared" si="37"/>
        <v>0</v>
      </c>
      <c r="AA196">
        <f t="shared" si="38"/>
        <v>0</v>
      </c>
      <c r="AB196">
        <f t="shared" si="39"/>
        <v>0</v>
      </c>
      <c r="AC196">
        <f t="shared" si="40"/>
        <v>0</v>
      </c>
      <c r="AD196">
        <f t="shared" si="41"/>
        <v>0</v>
      </c>
      <c r="AE196">
        <f t="shared" si="42"/>
        <v>0.8</v>
      </c>
      <c r="AF196">
        <f t="shared" si="43"/>
        <v>0</v>
      </c>
      <c r="AG196">
        <f t="shared" si="44"/>
        <v>0</v>
      </c>
      <c r="AH196" t="s">
        <v>625</v>
      </c>
      <c r="AI196" t="s">
        <v>626</v>
      </c>
      <c r="AJ196" t="s">
        <v>627</v>
      </c>
    </row>
    <row r="197" spans="1:36" x14ac:dyDescent="0.2">
      <c r="A197" t="s">
        <v>217</v>
      </c>
      <c r="B197" t="s">
        <v>374</v>
      </c>
      <c r="C197" t="s">
        <v>37</v>
      </c>
      <c r="D197" t="s">
        <v>649</v>
      </c>
      <c r="E197" s="6" t="s">
        <v>18</v>
      </c>
      <c r="F197" s="6">
        <v>0.6</v>
      </c>
      <c r="G197" s="6" t="s">
        <v>30</v>
      </c>
      <c r="H197" s="6">
        <v>0.4</v>
      </c>
      <c r="I197" t="s">
        <v>650</v>
      </c>
      <c r="J197" t="s">
        <v>651</v>
      </c>
      <c r="L197" t="s">
        <v>44</v>
      </c>
      <c r="M197">
        <v>1</v>
      </c>
      <c r="P197" t="s">
        <v>1405</v>
      </c>
      <c r="Q197">
        <v>6</v>
      </c>
      <c r="R197" t="s">
        <v>1406</v>
      </c>
      <c r="S197">
        <v>4</v>
      </c>
      <c r="T197" t="s">
        <v>256</v>
      </c>
      <c r="V197" t="s">
        <v>148</v>
      </c>
      <c r="W197" t="s">
        <v>218</v>
      </c>
      <c r="Y197">
        <f t="shared" si="36"/>
        <v>1.7999999999999998</v>
      </c>
      <c r="Z197">
        <f t="shared" si="37"/>
        <v>0</v>
      </c>
      <c r="AA197">
        <f t="shared" si="38"/>
        <v>0</v>
      </c>
      <c r="AB197">
        <f t="shared" si="39"/>
        <v>0</v>
      </c>
      <c r="AC197">
        <f t="shared" si="40"/>
        <v>0</v>
      </c>
      <c r="AD197">
        <f t="shared" si="41"/>
        <v>0</v>
      </c>
      <c r="AE197">
        <f t="shared" si="42"/>
        <v>1.2000000000000002</v>
      </c>
      <c r="AF197">
        <f t="shared" si="43"/>
        <v>0</v>
      </c>
      <c r="AG197">
        <f t="shared" si="44"/>
        <v>0</v>
      </c>
      <c r="AH197" t="s">
        <v>625</v>
      </c>
      <c r="AI197" t="s">
        <v>626</v>
      </c>
      <c r="AJ197" t="s">
        <v>627</v>
      </c>
    </row>
    <row r="198" spans="1:36" x14ac:dyDescent="0.2">
      <c r="A198" t="s">
        <v>217</v>
      </c>
      <c r="B198" t="s">
        <v>375</v>
      </c>
      <c r="C198" t="s">
        <v>39</v>
      </c>
      <c r="D198" t="s">
        <v>649</v>
      </c>
      <c r="E198" s="6" t="s">
        <v>20</v>
      </c>
      <c r="F198" s="6">
        <v>1</v>
      </c>
      <c r="G198" s="6" t="s">
        <v>522</v>
      </c>
      <c r="I198" t="s">
        <v>652</v>
      </c>
      <c r="J198" t="s">
        <v>653</v>
      </c>
      <c r="L198" t="s">
        <v>48</v>
      </c>
      <c r="M198">
        <v>1</v>
      </c>
      <c r="P198" t="s">
        <v>1407</v>
      </c>
      <c r="Q198">
        <v>1</v>
      </c>
      <c r="R198" t="s">
        <v>1408</v>
      </c>
      <c r="S198">
        <v>0</v>
      </c>
      <c r="T198" t="s">
        <v>242</v>
      </c>
      <c r="U198" t="s">
        <v>60</v>
      </c>
      <c r="V198" t="s">
        <v>92</v>
      </c>
      <c r="W198" t="s">
        <v>222</v>
      </c>
      <c r="Y198">
        <f t="shared" si="36"/>
        <v>2.4</v>
      </c>
      <c r="Z198">
        <f t="shared" si="37"/>
        <v>0</v>
      </c>
      <c r="AA198">
        <f t="shared" si="38"/>
        <v>0</v>
      </c>
      <c r="AB198">
        <f t="shared" si="39"/>
        <v>0</v>
      </c>
      <c r="AC198">
        <f t="shared" si="40"/>
        <v>0</v>
      </c>
      <c r="AD198">
        <f t="shared" si="41"/>
        <v>0</v>
      </c>
      <c r="AE198">
        <f t="shared" si="42"/>
        <v>1.6</v>
      </c>
      <c r="AF198">
        <f t="shared" si="43"/>
        <v>0</v>
      </c>
      <c r="AG198">
        <f t="shared" si="44"/>
        <v>0</v>
      </c>
      <c r="AH198" t="s">
        <v>570</v>
      </c>
      <c r="AI198" t="s">
        <v>571</v>
      </c>
      <c r="AJ198" t="s">
        <v>604</v>
      </c>
    </row>
    <row r="199" spans="1:36" x14ac:dyDescent="0.2">
      <c r="A199" t="s">
        <v>217</v>
      </c>
      <c r="B199" t="s">
        <v>375</v>
      </c>
      <c r="C199" t="s">
        <v>39</v>
      </c>
      <c r="D199" t="s">
        <v>649</v>
      </c>
      <c r="E199" s="6" t="s">
        <v>20</v>
      </c>
      <c r="F199" s="6">
        <v>1</v>
      </c>
      <c r="G199" s="6" t="s">
        <v>522</v>
      </c>
      <c r="I199" t="s">
        <v>652</v>
      </c>
      <c r="J199" t="s">
        <v>653</v>
      </c>
      <c r="L199" t="s">
        <v>48</v>
      </c>
      <c r="M199">
        <v>1</v>
      </c>
      <c r="P199" t="s">
        <v>1409</v>
      </c>
      <c r="Q199">
        <v>2</v>
      </c>
      <c r="R199" t="s">
        <v>1410</v>
      </c>
      <c r="S199">
        <v>1</v>
      </c>
      <c r="T199" t="s">
        <v>266</v>
      </c>
      <c r="U199" t="s">
        <v>63</v>
      </c>
      <c r="V199" t="s">
        <v>122</v>
      </c>
      <c r="W199" t="s">
        <v>222</v>
      </c>
      <c r="Y199">
        <f t="shared" si="36"/>
        <v>0</v>
      </c>
      <c r="Z199">
        <f t="shared" si="37"/>
        <v>0</v>
      </c>
      <c r="AA199">
        <f t="shared" si="38"/>
        <v>0</v>
      </c>
      <c r="AB199">
        <f t="shared" si="39"/>
        <v>0</v>
      </c>
      <c r="AC199">
        <f t="shared" si="40"/>
        <v>0</v>
      </c>
      <c r="AD199">
        <f t="shared" si="41"/>
        <v>0</v>
      </c>
      <c r="AE199">
        <f t="shared" si="42"/>
        <v>0</v>
      </c>
      <c r="AF199">
        <f t="shared" si="43"/>
        <v>0</v>
      </c>
      <c r="AG199">
        <f t="shared" si="44"/>
        <v>0</v>
      </c>
      <c r="AH199" t="s">
        <v>570</v>
      </c>
      <c r="AI199" t="s">
        <v>571</v>
      </c>
      <c r="AJ199" t="s">
        <v>604</v>
      </c>
    </row>
    <row r="200" spans="1:36" x14ac:dyDescent="0.2">
      <c r="A200" t="s">
        <v>217</v>
      </c>
      <c r="B200" t="s">
        <v>375</v>
      </c>
      <c r="C200" t="s">
        <v>39</v>
      </c>
      <c r="D200" t="s">
        <v>649</v>
      </c>
      <c r="E200" s="6" t="s">
        <v>20</v>
      </c>
      <c r="F200" s="6">
        <v>1</v>
      </c>
      <c r="G200" s="6" t="s">
        <v>522</v>
      </c>
      <c r="I200" t="s">
        <v>652</v>
      </c>
      <c r="J200" t="s">
        <v>653</v>
      </c>
      <c r="L200" t="s">
        <v>48</v>
      </c>
      <c r="M200">
        <v>1</v>
      </c>
      <c r="P200" t="s">
        <v>1411</v>
      </c>
      <c r="Q200">
        <v>3</v>
      </c>
      <c r="R200" t="s">
        <v>1412</v>
      </c>
      <c r="S200">
        <v>2</v>
      </c>
      <c r="T200" t="s">
        <v>245</v>
      </c>
      <c r="U200" t="s">
        <v>60</v>
      </c>
      <c r="V200" t="s">
        <v>89</v>
      </c>
      <c r="W200" t="s">
        <v>222</v>
      </c>
      <c r="Y200">
        <f t="shared" si="36"/>
        <v>0</v>
      </c>
      <c r="Z200">
        <f t="shared" si="37"/>
        <v>1</v>
      </c>
      <c r="AA200">
        <f t="shared" si="38"/>
        <v>0</v>
      </c>
      <c r="AB200">
        <f t="shared" si="39"/>
        <v>0</v>
      </c>
      <c r="AC200">
        <f t="shared" si="40"/>
        <v>0</v>
      </c>
      <c r="AD200">
        <f t="shared" si="41"/>
        <v>0</v>
      </c>
      <c r="AE200">
        <f t="shared" si="42"/>
        <v>0</v>
      </c>
      <c r="AF200">
        <f t="shared" si="43"/>
        <v>0</v>
      </c>
      <c r="AG200">
        <f t="shared" si="44"/>
        <v>0</v>
      </c>
      <c r="AH200" t="s">
        <v>570</v>
      </c>
      <c r="AI200" t="s">
        <v>571</v>
      </c>
      <c r="AJ200" t="s">
        <v>604</v>
      </c>
    </row>
    <row r="201" spans="1:36" x14ac:dyDescent="0.2">
      <c r="A201" t="s">
        <v>217</v>
      </c>
      <c r="B201" t="s">
        <v>375</v>
      </c>
      <c r="C201" t="s">
        <v>39</v>
      </c>
      <c r="D201" t="s">
        <v>649</v>
      </c>
      <c r="E201" s="6" t="s">
        <v>20</v>
      </c>
      <c r="F201" s="6">
        <v>1</v>
      </c>
      <c r="G201" s="6" t="s">
        <v>522</v>
      </c>
      <c r="I201" t="s">
        <v>652</v>
      </c>
      <c r="J201" t="s">
        <v>653</v>
      </c>
      <c r="L201" t="s">
        <v>48</v>
      </c>
      <c r="M201">
        <v>1</v>
      </c>
      <c r="P201" t="s">
        <v>1413</v>
      </c>
      <c r="Q201">
        <v>4</v>
      </c>
      <c r="R201" t="s">
        <v>1414</v>
      </c>
      <c r="S201">
        <v>3</v>
      </c>
      <c r="T201" t="s">
        <v>243</v>
      </c>
      <c r="V201" t="s">
        <v>148</v>
      </c>
      <c r="W201" t="s">
        <v>218</v>
      </c>
      <c r="Y201">
        <f t="shared" si="36"/>
        <v>0</v>
      </c>
      <c r="Z201">
        <f t="shared" si="37"/>
        <v>2</v>
      </c>
      <c r="AA201">
        <f t="shared" si="38"/>
        <v>0</v>
      </c>
      <c r="AB201">
        <f t="shared" si="39"/>
        <v>0</v>
      </c>
      <c r="AC201">
        <f t="shared" si="40"/>
        <v>0</v>
      </c>
      <c r="AD201">
        <f t="shared" si="41"/>
        <v>0</v>
      </c>
      <c r="AE201">
        <f t="shared" si="42"/>
        <v>0</v>
      </c>
      <c r="AF201">
        <f t="shared" si="43"/>
        <v>0</v>
      </c>
      <c r="AG201">
        <f t="shared" si="44"/>
        <v>0</v>
      </c>
      <c r="AH201" t="s">
        <v>570</v>
      </c>
      <c r="AI201" t="s">
        <v>571</v>
      </c>
      <c r="AJ201" t="s">
        <v>604</v>
      </c>
    </row>
    <row r="202" spans="1:36" x14ac:dyDescent="0.2">
      <c r="A202" t="s">
        <v>217</v>
      </c>
      <c r="B202" t="s">
        <v>376</v>
      </c>
      <c r="C202" t="s">
        <v>39</v>
      </c>
      <c r="D202" t="s">
        <v>649</v>
      </c>
      <c r="E202" s="6" t="s">
        <v>18</v>
      </c>
      <c r="F202" s="6">
        <v>0.5</v>
      </c>
      <c r="G202" s="6" t="s">
        <v>30</v>
      </c>
      <c r="H202" s="6">
        <v>0.5</v>
      </c>
      <c r="I202" t="s">
        <v>654</v>
      </c>
      <c r="J202" t="s">
        <v>655</v>
      </c>
      <c r="L202" t="s">
        <v>44</v>
      </c>
      <c r="M202">
        <v>1</v>
      </c>
      <c r="P202" t="s">
        <v>1415</v>
      </c>
      <c r="Q202">
        <v>1</v>
      </c>
      <c r="R202" t="s">
        <v>1017</v>
      </c>
      <c r="S202">
        <v>0</v>
      </c>
      <c r="T202" t="s">
        <v>273</v>
      </c>
      <c r="U202" t="s">
        <v>65</v>
      </c>
      <c r="V202" t="s">
        <v>99</v>
      </c>
      <c r="W202" t="s">
        <v>222</v>
      </c>
      <c r="Y202">
        <f t="shared" si="36"/>
        <v>0</v>
      </c>
      <c r="Z202">
        <f t="shared" si="37"/>
        <v>3</v>
      </c>
      <c r="AA202">
        <f t="shared" si="38"/>
        <v>0</v>
      </c>
      <c r="AB202">
        <f t="shared" si="39"/>
        <v>0</v>
      </c>
      <c r="AC202">
        <f t="shared" si="40"/>
        <v>0</v>
      </c>
      <c r="AD202">
        <f t="shared" si="41"/>
        <v>0</v>
      </c>
      <c r="AE202">
        <f t="shared" si="42"/>
        <v>0</v>
      </c>
      <c r="AF202">
        <f t="shared" si="43"/>
        <v>0</v>
      </c>
      <c r="AG202">
        <f t="shared" si="44"/>
        <v>0</v>
      </c>
      <c r="AH202" t="s">
        <v>521</v>
      </c>
      <c r="AI202" t="s">
        <v>525</v>
      </c>
      <c r="AJ202" t="s">
        <v>578</v>
      </c>
    </row>
    <row r="203" spans="1:36" x14ac:dyDescent="0.2">
      <c r="A203" t="s">
        <v>217</v>
      </c>
      <c r="B203" t="s">
        <v>376</v>
      </c>
      <c r="C203" t="s">
        <v>39</v>
      </c>
      <c r="D203" t="s">
        <v>649</v>
      </c>
      <c r="E203" s="6" t="s">
        <v>18</v>
      </c>
      <c r="F203" s="6">
        <v>0.5</v>
      </c>
      <c r="G203" s="6" t="s">
        <v>30</v>
      </c>
      <c r="H203" s="6">
        <v>0.5</v>
      </c>
      <c r="I203" t="s">
        <v>654</v>
      </c>
      <c r="J203" t="s">
        <v>655</v>
      </c>
      <c r="L203" t="s">
        <v>44</v>
      </c>
      <c r="M203">
        <v>1</v>
      </c>
      <c r="P203" t="s">
        <v>1416</v>
      </c>
      <c r="Q203">
        <v>2</v>
      </c>
      <c r="R203" t="s">
        <v>1417</v>
      </c>
      <c r="S203">
        <v>0</v>
      </c>
      <c r="T203" t="s">
        <v>242</v>
      </c>
      <c r="U203" t="s">
        <v>60</v>
      </c>
      <c r="V203" t="s">
        <v>155</v>
      </c>
      <c r="W203" t="s">
        <v>222</v>
      </c>
      <c r="Y203">
        <f t="shared" si="36"/>
        <v>0</v>
      </c>
      <c r="Z203">
        <f t="shared" si="37"/>
        <v>0</v>
      </c>
      <c r="AA203">
        <f t="shared" si="38"/>
        <v>0</v>
      </c>
      <c r="AB203">
        <f t="shared" si="39"/>
        <v>0</v>
      </c>
      <c r="AC203">
        <f t="shared" si="40"/>
        <v>0</v>
      </c>
      <c r="AD203">
        <f t="shared" si="41"/>
        <v>0</v>
      </c>
      <c r="AE203">
        <f t="shared" si="42"/>
        <v>0</v>
      </c>
      <c r="AF203">
        <f t="shared" si="43"/>
        <v>0</v>
      </c>
      <c r="AG203">
        <f t="shared" si="44"/>
        <v>0</v>
      </c>
      <c r="AH203" t="s">
        <v>521</v>
      </c>
      <c r="AI203" t="s">
        <v>525</v>
      </c>
      <c r="AJ203" t="s">
        <v>578</v>
      </c>
    </row>
    <row r="204" spans="1:36" x14ac:dyDescent="0.2">
      <c r="A204" t="s">
        <v>217</v>
      </c>
      <c r="B204" t="s">
        <v>376</v>
      </c>
      <c r="C204" t="s">
        <v>39</v>
      </c>
      <c r="D204" t="s">
        <v>649</v>
      </c>
      <c r="E204" s="6" t="s">
        <v>18</v>
      </c>
      <c r="F204" s="6">
        <v>0.5</v>
      </c>
      <c r="G204" s="6" t="s">
        <v>30</v>
      </c>
      <c r="H204" s="6">
        <v>0.5</v>
      </c>
      <c r="I204" t="s">
        <v>654</v>
      </c>
      <c r="J204" t="s">
        <v>655</v>
      </c>
      <c r="L204" t="s">
        <v>44</v>
      </c>
      <c r="M204">
        <v>1</v>
      </c>
      <c r="P204" t="s">
        <v>1418</v>
      </c>
      <c r="Q204">
        <v>3</v>
      </c>
      <c r="R204" t="s">
        <v>1419</v>
      </c>
      <c r="S204">
        <v>1</v>
      </c>
      <c r="T204" t="s">
        <v>252</v>
      </c>
      <c r="U204" t="s">
        <v>60</v>
      </c>
      <c r="V204" t="s">
        <v>155</v>
      </c>
      <c r="W204" t="s">
        <v>222</v>
      </c>
      <c r="Y204">
        <f t="shared" si="36"/>
        <v>0</v>
      </c>
      <c r="Z204">
        <f t="shared" si="37"/>
        <v>0</v>
      </c>
      <c r="AA204">
        <f t="shared" si="38"/>
        <v>0</v>
      </c>
      <c r="AB204">
        <f t="shared" si="39"/>
        <v>0</v>
      </c>
      <c r="AC204">
        <f t="shared" si="40"/>
        <v>0</v>
      </c>
      <c r="AD204">
        <f t="shared" si="41"/>
        <v>0</v>
      </c>
      <c r="AE204">
        <f t="shared" si="42"/>
        <v>0</v>
      </c>
      <c r="AF204">
        <f t="shared" si="43"/>
        <v>0</v>
      </c>
      <c r="AG204">
        <f t="shared" si="44"/>
        <v>0</v>
      </c>
      <c r="AH204" t="s">
        <v>521</v>
      </c>
      <c r="AI204" t="s">
        <v>525</v>
      </c>
      <c r="AJ204" t="s">
        <v>578</v>
      </c>
    </row>
    <row r="205" spans="1:36" x14ac:dyDescent="0.2">
      <c r="A205" t="s">
        <v>217</v>
      </c>
      <c r="B205" t="s">
        <v>376</v>
      </c>
      <c r="C205" t="s">
        <v>39</v>
      </c>
      <c r="D205" t="s">
        <v>649</v>
      </c>
      <c r="E205" s="6" t="s">
        <v>18</v>
      </c>
      <c r="F205" s="6">
        <v>0.5</v>
      </c>
      <c r="G205" s="6" t="s">
        <v>30</v>
      </c>
      <c r="H205" s="6">
        <v>0.5</v>
      </c>
      <c r="I205" t="s">
        <v>654</v>
      </c>
      <c r="J205" t="s">
        <v>655</v>
      </c>
      <c r="L205" t="s">
        <v>44</v>
      </c>
      <c r="M205">
        <v>1</v>
      </c>
      <c r="P205" t="s">
        <v>1420</v>
      </c>
      <c r="Q205">
        <v>4</v>
      </c>
      <c r="R205" t="s">
        <v>1421</v>
      </c>
      <c r="S205">
        <v>2</v>
      </c>
      <c r="T205" t="s">
        <v>259</v>
      </c>
      <c r="U205" t="s">
        <v>61</v>
      </c>
      <c r="V205" t="s">
        <v>130</v>
      </c>
      <c r="W205" t="s">
        <v>222</v>
      </c>
      <c r="Y205">
        <f t="shared" si="36"/>
        <v>0.5</v>
      </c>
      <c r="Z205">
        <f t="shared" si="37"/>
        <v>0</v>
      </c>
      <c r="AA205">
        <f t="shared" si="38"/>
        <v>0</v>
      </c>
      <c r="AB205">
        <f t="shared" si="39"/>
        <v>0</v>
      </c>
      <c r="AC205">
        <f t="shared" si="40"/>
        <v>0</v>
      </c>
      <c r="AD205">
        <f t="shared" si="41"/>
        <v>0</v>
      </c>
      <c r="AE205">
        <f t="shared" si="42"/>
        <v>0.5</v>
      </c>
      <c r="AF205">
        <f t="shared" si="43"/>
        <v>0</v>
      </c>
      <c r="AG205">
        <f t="shared" si="44"/>
        <v>0</v>
      </c>
      <c r="AH205" t="s">
        <v>521</v>
      </c>
      <c r="AI205" t="s">
        <v>525</v>
      </c>
      <c r="AJ205" t="s">
        <v>578</v>
      </c>
    </row>
    <row r="206" spans="1:36" x14ac:dyDescent="0.2">
      <c r="A206" t="s">
        <v>217</v>
      </c>
      <c r="B206" t="s">
        <v>376</v>
      </c>
      <c r="C206" t="s">
        <v>39</v>
      </c>
      <c r="D206" t="s">
        <v>649</v>
      </c>
      <c r="E206" s="6" t="s">
        <v>18</v>
      </c>
      <c r="F206" s="6">
        <v>0.5</v>
      </c>
      <c r="G206" s="6" t="s">
        <v>30</v>
      </c>
      <c r="H206" s="6">
        <v>0.5</v>
      </c>
      <c r="I206" t="s">
        <v>654</v>
      </c>
      <c r="J206" t="s">
        <v>655</v>
      </c>
      <c r="L206" t="s">
        <v>44</v>
      </c>
      <c r="M206">
        <v>1</v>
      </c>
      <c r="P206" t="s">
        <v>1422</v>
      </c>
      <c r="Q206">
        <v>5</v>
      </c>
      <c r="R206" t="s">
        <v>1423</v>
      </c>
      <c r="S206">
        <v>3</v>
      </c>
      <c r="T206" t="s">
        <v>243</v>
      </c>
      <c r="V206" t="s">
        <v>148</v>
      </c>
      <c r="W206" t="s">
        <v>218</v>
      </c>
      <c r="Y206">
        <f t="shared" si="36"/>
        <v>1</v>
      </c>
      <c r="Z206">
        <f t="shared" si="37"/>
        <v>0</v>
      </c>
      <c r="AA206">
        <f t="shared" si="38"/>
        <v>0</v>
      </c>
      <c r="AB206">
        <f t="shared" si="39"/>
        <v>0</v>
      </c>
      <c r="AC206">
        <f t="shared" si="40"/>
        <v>0</v>
      </c>
      <c r="AD206">
        <f t="shared" si="41"/>
        <v>0</v>
      </c>
      <c r="AE206">
        <f t="shared" si="42"/>
        <v>1</v>
      </c>
      <c r="AF206">
        <f t="shared" si="43"/>
        <v>0</v>
      </c>
      <c r="AG206">
        <f t="shared" si="44"/>
        <v>0</v>
      </c>
      <c r="AH206" t="s">
        <v>521</v>
      </c>
      <c r="AI206" t="s">
        <v>525</v>
      </c>
      <c r="AJ206" t="s">
        <v>578</v>
      </c>
    </row>
    <row r="207" spans="1:36" x14ac:dyDescent="0.2">
      <c r="A207" t="s">
        <v>217</v>
      </c>
      <c r="B207" t="s">
        <v>376</v>
      </c>
      <c r="C207" t="s">
        <v>39</v>
      </c>
      <c r="D207" t="s">
        <v>649</v>
      </c>
      <c r="E207" s="6" t="s">
        <v>18</v>
      </c>
      <c r="F207" s="6">
        <v>0.5</v>
      </c>
      <c r="G207" s="6" t="s">
        <v>30</v>
      </c>
      <c r="H207" s="6">
        <v>0.5</v>
      </c>
      <c r="I207" t="s">
        <v>654</v>
      </c>
      <c r="J207" t="s">
        <v>655</v>
      </c>
      <c r="L207" t="s">
        <v>44</v>
      </c>
      <c r="M207">
        <v>1</v>
      </c>
      <c r="P207" t="s">
        <v>1424</v>
      </c>
      <c r="Q207">
        <v>6</v>
      </c>
      <c r="R207" t="s">
        <v>1425</v>
      </c>
      <c r="S207">
        <v>4</v>
      </c>
      <c r="T207" t="s">
        <v>256</v>
      </c>
      <c r="V207" t="s">
        <v>148</v>
      </c>
      <c r="W207" t="s">
        <v>218</v>
      </c>
      <c r="Y207">
        <f t="shared" si="36"/>
        <v>1.5</v>
      </c>
      <c r="Z207">
        <f t="shared" si="37"/>
        <v>0</v>
      </c>
      <c r="AA207">
        <f t="shared" si="38"/>
        <v>0</v>
      </c>
      <c r="AB207">
        <f t="shared" si="39"/>
        <v>0</v>
      </c>
      <c r="AC207">
        <f t="shared" si="40"/>
        <v>0</v>
      </c>
      <c r="AD207">
        <f t="shared" si="41"/>
        <v>0</v>
      </c>
      <c r="AE207">
        <f t="shared" si="42"/>
        <v>1.5</v>
      </c>
      <c r="AF207">
        <f t="shared" si="43"/>
        <v>0</v>
      </c>
      <c r="AG207">
        <f t="shared" si="44"/>
        <v>0</v>
      </c>
      <c r="AH207" t="s">
        <v>521</v>
      </c>
      <c r="AI207" t="s">
        <v>525</v>
      </c>
      <c r="AJ207" t="s">
        <v>578</v>
      </c>
    </row>
    <row r="208" spans="1:36" x14ac:dyDescent="0.2">
      <c r="A208" t="s">
        <v>217</v>
      </c>
      <c r="B208" t="s">
        <v>377</v>
      </c>
      <c r="C208" t="s">
        <v>41</v>
      </c>
      <c r="D208" t="s">
        <v>649</v>
      </c>
      <c r="E208" s="6" t="s">
        <v>18</v>
      </c>
      <c r="F208" s="6">
        <v>0.5</v>
      </c>
      <c r="G208" s="6" t="s">
        <v>30</v>
      </c>
      <c r="H208" s="6">
        <v>0.5</v>
      </c>
      <c r="I208" t="s">
        <v>656</v>
      </c>
      <c r="J208" t="s">
        <v>657</v>
      </c>
      <c r="L208" t="s">
        <v>44</v>
      </c>
      <c r="M208">
        <v>1</v>
      </c>
      <c r="P208" t="s">
        <v>1426</v>
      </c>
      <c r="Q208">
        <v>1</v>
      </c>
      <c r="R208" t="s">
        <v>1017</v>
      </c>
      <c r="S208">
        <v>0</v>
      </c>
      <c r="T208" t="s">
        <v>273</v>
      </c>
      <c r="U208" t="s">
        <v>65</v>
      </c>
      <c r="V208" t="s">
        <v>146</v>
      </c>
      <c r="W208" t="s">
        <v>222</v>
      </c>
      <c r="Y208">
        <f t="shared" si="36"/>
        <v>2</v>
      </c>
      <c r="Z208">
        <f t="shared" si="37"/>
        <v>0</v>
      </c>
      <c r="AA208">
        <f t="shared" si="38"/>
        <v>0</v>
      </c>
      <c r="AB208">
        <f t="shared" si="39"/>
        <v>0</v>
      </c>
      <c r="AC208">
        <f t="shared" si="40"/>
        <v>0</v>
      </c>
      <c r="AD208">
        <f t="shared" si="41"/>
        <v>0</v>
      </c>
      <c r="AE208">
        <f t="shared" si="42"/>
        <v>2</v>
      </c>
      <c r="AF208">
        <f t="shared" si="43"/>
        <v>0</v>
      </c>
      <c r="AG208">
        <f t="shared" si="44"/>
        <v>0</v>
      </c>
      <c r="AH208" t="s">
        <v>570</v>
      </c>
      <c r="AI208" t="s">
        <v>571</v>
      </c>
      <c r="AJ208" t="s">
        <v>604</v>
      </c>
    </row>
    <row r="209" spans="1:36" x14ac:dyDescent="0.2">
      <c r="A209" t="s">
        <v>217</v>
      </c>
      <c r="B209" t="s">
        <v>377</v>
      </c>
      <c r="C209" t="s">
        <v>41</v>
      </c>
      <c r="D209" t="s">
        <v>649</v>
      </c>
      <c r="E209" s="6" t="s">
        <v>18</v>
      </c>
      <c r="F209" s="6">
        <v>0.5</v>
      </c>
      <c r="G209" s="6" t="s">
        <v>30</v>
      </c>
      <c r="H209" s="6">
        <v>0.5</v>
      </c>
      <c r="I209" t="s">
        <v>656</v>
      </c>
      <c r="J209" t="s">
        <v>657</v>
      </c>
      <c r="L209" t="s">
        <v>44</v>
      </c>
      <c r="M209">
        <v>1</v>
      </c>
      <c r="P209" t="s">
        <v>1427</v>
      </c>
      <c r="Q209">
        <v>2</v>
      </c>
      <c r="R209" t="s">
        <v>1428</v>
      </c>
      <c r="S209">
        <v>0</v>
      </c>
      <c r="T209" t="s">
        <v>242</v>
      </c>
      <c r="U209" t="s">
        <v>61</v>
      </c>
      <c r="V209" t="s">
        <v>146</v>
      </c>
      <c r="W209" t="s">
        <v>222</v>
      </c>
      <c r="Y209">
        <f t="shared" si="36"/>
        <v>0</v>
      </c>
      <c r="Z209">
        <f t="shared" si="37"/>
        <v>0</v>
      </c>
      <c r="AA209">
        <f t="shared" si="38"/>
        <v>0</v>
      </c>
      <c r="AB209">
        <f t="shared" si="39"/>
        <v>0</v>
      </c>
      <c r="AC209">
        <f t="shared" si="40"/>
        <v>0</v>
      </c>
      <c r="AD209">
        <f t="shared" si="41"/>
        <v>0</v>
      </c>
      <c r="AE209">
        <f t="shared" si="42"/>
        <v>0</v>
      </c>
      <c r="AF209">
        <f t="shared" si="43"/>
        <v>0</v>
      </c>
      <c r="AG209">
        <f t="shared" si="44"/>
        <v>0</v>
      </c>
      <c r="AH209" t="s">
        <v>570</v>
      </c>
      <c r="AI209" t="s">
        <v>571</v>
      </c>
      <c r="AJ209" t="s">
        <v>604</v>
      </c>
    </row>
    <row r="210" spans="1:36" x14ac:dyDescent="0.2">
      <c r="A210" t="s">
        <v>217</v>
      </c>
      <c r="B210" t="s">
        <v>377</v>
      </c>
      <c r="C210" t="s">
        <v>41</v>
      </c>
      <c r="D210" t="s">
        <v>649</v>
      </c>
      <c r="E210" s="6" t="s">
        <v>18</v>
      </c>
      <c r="F210" s="6">
        <v>0.5</v>
      </c>
      <c r="G210" s="6" t="s">
        <v>30</v>
      </c>
      <c r="H210" s="6">
        <v>0.5</v>
      </c>
      <c r="I210" t="s">
        <v>656</v>
      </c>
      <c r="J210" t="s">
        <v>657</v>
      </c>
      <c r="L210" t="s">
        <v>44</v>
      </c>
      <c r="M210">
        <v>1</v>
      </c>
      <c r="P210" t="s">
        <v>1429</v>
      </c>
      <c r="Q210">
        <v>3</v>
      </c>
      <c r="R210" t="s">
        <v>1430</v>
      </c>
      <c r="S210">
        <v>1</v>
      </c>
      <c r="T210" t="s">
        <v>264</v>
      </c>
      <c r="U210" t="s">
        <v>61</v>
      </c>
      <c r="V210" t="s">
        <v>146</v>
      </c>
      <c r="W210" t="s">
        <v>222</v>
      </c>
      <c r="Y210">
        <f t="shared" si="36"/>
        <v>0</v>
      </c>
      <c r="Z210">
        <f t="shared" si="37"/>
        <v>0</v>
      </c>
      <c r="AA210">
        <f t="shared" si="38"/>
        <v>0</v>
      </c>
      <c r="AB210">
        <f t="shared" si="39"/>
        <v>0</v>
      </c>
      <c r="AC210">
        <f t="shared" si="40"/>
        <v>0</v>
      </c>
      <c r="AD210">
        <f t="shared" si="41"/>
        <v>0</v>
      </c>
      <c r="AE210">
        <f t="shared" si="42"/>
        <v>0</v>
      </c>
      <c r="AF210">
        <f t="shared" si="43"/>
        <v>0</v>
      </c>
      <c r="AG210">
        <f t="shared" si="44"/>
        <v>0</v>
      </c>
      <c r="AH210" t="s">
        <v>570</v>
      </c>
      <c r="AI210" t="s">
        <v>571</v>
      </c>
      <c r="AJ210" t="s">
        <v>604</v>
      </c>
    </row>
    <row r="211" spans="1:36" x14ac:dyDescent="0.2">
      <c r="A211" t="s">
        <v>217</v>
      </c>
      <c r="B211" t="s">
        <v>377</v>
      </c>
      <c r="C211" t="s">
        <v>41</v>
      </c>
      <c r="D211" t="s">
        <v>649</v>
      </c>
      <c r="E211" s="6" t="s">
        <v>18</v>
      </c>
      <c r="F211" s="6">
        <v>0.5</v>
      </c>
      <c r="G211" s="6" t="s">
        <v>30</v>
      </c>
      <c r="H211" s="6">
        <v>0.5</v>
      </c>
      <c r="I211" t="s">
        <v>656</v>
      </c>
      <c r="J211" t="s">
        <v>657</v>
      </c>
      <c r="L211" t="s">
        <v>44</v>
      </c>
      <c r="M211">
        <v>1</v>
      </c>
      <c r="P211" t="s">
        <v>1431</v>
      </c>
      <c r="Q211">
        <v>4</v>
      </c>
      <c r="R211" t="s">
        <v>1432</v>
      </c>
      <c r="S211">
        <v>2</v>
      </c>
      <c r="T211" t="s">
        <v>259</v>
      </c>
      <c r="U211" t="s">
        <v>61</v>
      </c>
      <c r="V211" t="s">
        <v>81</v>
      </c>
      <c r="W211" t="s">
        <v>222</v>
      </c>
      <c r="Y211">
        <f t="shared" si="36"/>
        <v>0.5</v>
      </c>
      <c r="Z211">
        <f t="shared" si="37"/>
        <v>0</v>
      </c>
      <c r="AA211">
        <f t="shared" si="38"/>
        <v>0</v>
      </c>
      <c r="AB211">
        <f t="shared" si="39"/>
        <v>0</v>
      </c>
      <c r="AC211">
        <f t="shared" si="40"/>
        <v>0</v>
      </c>
      <c r="AD211">
        <f t="shared" si="41"/>
        <v>0</v>
      </c>
      <c r="AE211">
        <f t="shared" si="42"/>
        <v>0.5</v>
      </c>
      <c r="AF211">
        <f t="shared" si="43"/>
        <v>0</v>
      </c>
      <c r="AG211">
        <f t="shared" si="44"/>
        <v>0</v>
      </c>
      <c r="AH211" t="s">
        <v>570</v>
      </c>
      <c r="AI211" t="s">
        <v>571</v>
      </c>
      <c r="AJ211" t="s">
        <v>604</v>
      </c>
    </row>
    <row r="212" spans="1:36" x14ac:dyDescent="0.2">
      <c r="A212" t="s">
        <v>217</v>
      </c>
      <c r="B212" t="s">
        <v>377</v>
      </c>
      <c r="C212" t="s">
        <v>41</v>
      </c>
      <c r="D212" t="s">
        <v>649</v>
      </c>
      <c r="E212" s="6" t="s">
        <v>18</v>
      </c>
      <c r="F212" s="6">
        <v>0.5</v>
      </c>
      <c r="G212" s="6" t="s">
        <v>30</v>
      </c>
      <c r="H212" s="6">
        <v>0.5</v>
      </c>
      <c r="I212" t="s">
        <v>656</v>
      </c>
      <c r="J212" t="s">
        <v>657</v>
      </c>
      <c r="L212" t="s">
        <v>44</v>
      </c>
      <c r="M212">
        <v>1</v>
      </c>
      <c r="P212" t="s">
        <v>1433</v>
      </c>
      <c r="Q212">
        <v>5</v>
      </c>
      <c r="R212" t="s">
        <v>1434</v>
      </c>
      <c r="S212">
        <v>3</v>
      </c>
      <c r="T212" t="s">
        <v>243</v>
      </c>
      <c r="V212" t="s">
        <v>148</v>
      </c>
      <c r="W212" t="s">
        <v>218</v>
      </c>
      <c r="Y212">
        <f t="shared" si="36"/>
        <v>1</v>
      </c>
      <c r="Z212">
        <f t="shared" si="37"/>
        <v>0</v>
      </c>
      <c r="AA212">
        <f t="shared" si="38"/>
        <v>0</v>
      </c>
      <c r="AB212">
        <f t="shared" si="39"/>
        <v>0</v>
      </c>
      <c r="AC212">
        <f t="shared" si="40"/>
        <v>0</v>
      </c>
      <c r="AD212">
        <f t="shared" si="41"/>
        <v>0</v>
      </c>
      <c r="AE212">
        <f t="shared" si="42"/>
        <v>1</v>
      </c>
      <c r="AF212">
        <f t="shared" si="43"/>
        <v>0</v>
      </c>
      <c r="AG212">
        <f t="shared" si="44"/>
        <v>0</v>
      </c>
      <c r="AH212" t="s">
        <v>570</v>
      </c>
      <c r="AI212" t="s">
        <v>571</v>
      </c>
      <c r="AJ212" t="s">
        <v>604</v>
      </c>
    </row>
    <row r="213" spans="1:36" x14ac:dyDescent="0.2">
      <c r="A213" t="s">
        <v>217</v>
      </c>
      <c r="B213" t="s">
        <v>377</v>
      </c>
      <c r="C213" t="s">
        <v>41</v>
      </c>
      <c r="D213" t="s">
        <v>649</v>
      </c>
      <c r="E213" s="6" t="s">
        <v>18</v>
      </c>
      <c r="F213" s="6">
        <v>0.5</v>
      </c>
      <c r="G213" s="6" t="s">
        <v>30</v>
      </c>
      <c r="H213" s="6">
        <v>0.5</v>
      </c>
      <c r="I213" t="s">
        <v>656</v>
      </c>
      <c r="J213" t="s">
        <v>657</v>
      </c>
      <c r="L213" t="s">
        <v>44</v>
      </c>
      <c r="M213">
        <v>1</v>
      </c>
      <c r="P213" t="s">
        <v>1435</v>
      </c>
      <c r="Q213">
        <v>6</v>
      </c>
      <c r="R213" t="s">
        <v>1436</v>
      </c>
      <c r="S213">
        <v>4</v>
      </c>
      <c r="T213" t="s">
        <v>256</v>
      </c>
      <c r="V213" t="s">
        <v>148</v>
      </c>
      <c r="W213" t="s">
        <v>218</v>
      </c>
      <c r="Y213">
        <f t="shared" si="36"/>
        <v>1.5</v>
      </c>
      <c r="Z213">
        <f t="shared" si="37"/>
        <v>0</v>
      </c>
      <c r="AA213">
        <f t="shared" si="38"/>
        <v>0</v>
      </c>
      <c r="AB213">
        <f t="shared" si="39"/>
        <v>0</v>
      </c>
      <c r="AC213">
        <f t="shared" si="40"/>
        <v>0</v>
      </c>
      <c r="AD213">
        <f t="shared" si="41"/>
        <v>0</v>
      </c>
      <c r="AE213">
        <f t="shared" si="42"/>
        <v>1.5</v>
      </c>
      <c r="AF213">
        <f t="shared" si="43"/>
        <v>0</v>
      </c>
      <c r="AG213">
        <f t="shared" si="44"/>
        <v>0</v>
      </c>
      <c r="AH213" t="s">
        <v>570</v>
      </c>
      <c r="AI213" t="s">
        <v>571</v>
      </c>
      <c r="AJ213" t="s">
        <v>604</v>
      </c>
    </row>
    <row r="214" spans="1:36" x14ac:dyDescent="0.2">
      <c r="A214" t="s">
        <v>221</v>
      </c>
      <c r="B214" t="s">
        <v>378</v>
      </c>
      <c r="C214" t="s">
        <v>37</v>
      </c>
      <c r="D214" t="s">
        <v>658</v>
      </c>
      <c r="E214" s="6" t="s">
        <v>18</v>
      </c>
      <c r="F214" s="6">
        <v>0.5</v>
      </c>
      <c r="G214" s="6" t="s">
        <v>20</v>
      </c>
      <c r="H214" s="6">
        <v>0.5</v>
      </c>
      <c r="I214" t="s">
        <v>659</v>
      </c>
      <c r="J214" t="s">
        <v>660</v>
      </c>
      <c r="L214" t="s">
        <v>44</v>
      </c>
      <c r="M214">
        <v>1</v>
      </c>
      <c r="P214" t="s">
        <v>1437</v>
      </c>
      <c r="Q214">
        <v>1</v>
      </c>
      <c r="R214" t="s">
        <v>1438</v>
      </c>
      <c r="S214">
        <v>0</v>
      </c>
      <c r="T214" t="s">
        <v>251</v>
      </c>
      <c r="U214" t="s">
        <v>60</v>
      </c>
      <c r="V214" t="s">
        <v>1439</v>
      </c>
      <c r="W214" t="s">
        <v>222</v>
      </c>
      <c r="Y214">
        <f t="shared" si="36"/>
        <v>2</v>
      </c>
      <c r="Z214">
        <f t="shared" si="37"/>
        <v>0</v>
      </c>
      <c r="AA214">
        <f t="shared" si="38"/>
        <v>0</v>
      </c>
      <c r="AB214">
        <f t="shared" si="39"/>
        <v>0</v>
      </c>
      <c r="AC214">
        <f t="shared" si="40"/>
        <v>0</v>
      </c>
      <c r="AD214">
        <f t="shared" si="41"/>
        <v>0</v>
      </c>
      <c r="AE214">
        <f t="shared" si="42"/>
        <v>2</v>
      </c>
      <c r="AF214">
        <f t="shared" si="43"/>
        <v>0</v>
      </c>
      <c r="AG214">
        <f t="shared" si="44"/>
        <v>0</v>
      </c>
      <c r="AH214" t="s">
        <v>521</v>
      </c>
      <c r="AI214" t="s">
        <v>525</v>
      </c>
      <c r="AJ214" t="s">
        <v>526</v>
      </c>
    </row>
    <row r="215" spans="1:36" x14ac:dyDescent="0.2">
      <c r="A215" t="s">
        <v>221</v>
      </c>
      <c r="B215" t="s">
        <v>378</v>
      </c>
      <c r="C215" t="s">
        <v>37</v>
      </c>
      <c r="D215" t="s">
        <v>658</v>
      </c>
      <c r="E215" s="6" t="s">
        <v>18</v>
      </c>
      <c r="F215" s="6">
        <v>0.5</v>
      </c>
      <c r="G215" s="6" t="s">
        <v>20</v>
      </c>
      <c r="H215" s="6">
        <v>0.5</v>
      </c>
      <c r="I215" t="s">
        <v>659</v>
      </c>
      <c r="J215" t="s">
        <v>660</v>
      </c>
      <c r="L215" t="s">
        <v>44</v>
      </c>
      <c r="M215">
        <v>1</v>
      </c>
      <c r="P215" t="s">
        <v>1440</v>
      </c>
      <c r="Q215">
        <v>2</v>
      </c>
      <c r="R215" t="s">
        <v>1441</v>
      </c>
      <c r="S215">
        <v>0</v>
      </c>
      <c r="T215" t="s">
        <v>172</v>
      </c>
      <c r="U215" t="s">
        <v>60</v>
      </c>
      <c r="V215" t="s">
        <v>1442</v>
      </c>
      <c r="W215" t="s">
        <v>222</v>
      </c>
      <c r="Y215">
        <f t="shared" si="36"/>
        <v>0</v>
      </c>
      <c r="Z215">
        <f t="shared" si="37"/>
        <v>0</v>
      </c>
      <c r="AA215">
        <f t="shared" si="38"/>
        <v>0</v>
      </c>
      <c r="AB215">
        <f t="shared" si="39"/>
        <v>0</v>
      </c>
      <c r="AC215">
        <f t="shared" si="40"/>
        <v>0</v>
      </c>
      <c r="AD215">
        <f t="shared" si="41"/>
        <v>0</v>
      </c>
      <c r="AE215">
        <f t="shared" si="42"/>
        <v>0</v>
      </c>
      <c r="AF215">
        <f t="shared" si="43"/>
        <v>0</v>
      </c>
      <c r="AG215">
        <f t="shared" si="44"/>
        <v>0</v>
      </c>
      <c r="AH215" t="s">
        <v>521</v>
      </c>
      <c r="AI215" t="s">
        <v>525</v>
      </c>
      <c r="AJ215" t="s">
        <v>526</v>
      </c>
    </row>
    <row r="216" spans="1:36" x14ac:dyDescent="0.2">
      <c r="A216" t="s">
        <v>221</v>
      </c>
      <c r="B216" t="s">
        <v>378</v>
      </c>
      <c r="C216" t="s">
        <v>37</v>
      </c>
      <c r="D216" t="s">
        <v>658</v>
      </c>
      <c r="E216" s="6" t="s">
        <v>18</v>
      </c>
      <c r="F216" s="6">
        <v>0.5</v>
      </c>
      <c r="G216" s="6" t="s">
        <v>20</v>
      </c>
      <c r="H216" s="6">
        <v>0.5</v>
      </c>
      <c r="I216" t="s">
        <v>659</v>
      </c>
      <c r="J216" t="s">
        <v>660</v>
      </c>
      <c r="L216" t="s">
        <v>44</v>
      </c>
      <c r="M216">
        <v>1</v>
      </c>
      <c r="P216" t="s">
        <v>1443</v>
      </c>
      <c r="Q216">
        <v>3</v>
      </c>
      <c r="R216" t="s">
        <v>1444</v>
      </c>
      <c r="S216">
        <v>1</v>
      </c>
      <c r="T216" t="s">
        <v>174</v>
      </c>
      <c r="U216" t="s">
        <v>60</v>
      </c>
      <c r="V216" t="s">
        <v>1445</v>
      </c>
      <c r="W216" t="s">
        <v>222</v>
      </c>
      <c r="X216" t="s">
        <v>1446</v>
      </c>
      <c r="Y216">
        <f t="shared" ref="Y216:Y279" si="45">(S215*IF(E215="G",F215,0))+(S215*IF(G215="G",H215,0))</f>
        <v>0</v>
      </c>
      <c r="Z216">
        <f t="shared" ref="Z216:Z279" si="46">(S215*IF(E215="E",F215,0))+(S215*IF(G215="E",H215,0))</f>
        <v>0</v>
      </c>
      <c r="AA216">
        <f t="shared" ref="AA216:AA279" si="47">(S215*IF(E215="T",F215,0))+(S215*IF(G215="T",H215,0))</f>
        <v>0</v>
      </c>
      <c r="AB216">
        <f t="shared" ref="AB216:AB279" si="48">(S215*IF(E215="L",F215,0))+(S215*IF(G215="L",H215,0))</f>
        <v>0</v>
      </c>
      <c r="AC216">
        <f t="shared" ref="AC216:AC279" si="49">(S215*IF(E215="H",F215,0))+(S215*IF(G215="H",H215,0))</f>
        <v>0</v>
      </c>
      <c r="AD216">
        <f t="shared" ref="AD216:AD279" si="50">(S215*IF(E215="V",F215,0))+(S215*IF(G215="V",H215,0))</f>
        <v>0</v>
      </c>
      <c r="AE216">
        <f t="shared" ref="AE216:AE279" si="51">(S215*IF(E215="R",F215,0))+(S215*IF(G215="R",H215,0))</f>
        <v>0</v>
      </c>
      <c r="AF216">
        <f t="shared" ref="AF216:AF279" si="52">(S215*IF(E215="F",F215,0))+(S215*IF(G215="F",H215,0))</f>
        <v>0</v>
      </c>
      <c r="AG216">
        <f t="shared" ref="AG216:AG279" si="53">(S215*IF(E215="W",F215,0))+(S215*IF(G215="W",H215,0))</f>
        <v>0</v>
      </c>
      <c r="AH216" t="s">
        <v>521</v>
      </c>
      <c r="AI216" t="s">
        <v>525</v>
      </c>
      <c r="AJ216" t="s">
        <v>526</v>
      </c>
    </row>
    <row r="217" spans="1:36" x14ac:dyDescent="0.2">
      <c r="A217" t="s">
        <v>221</v>
      </c>
      <c r="B217" t="s">
        <v>378</v>
      </c>
      <c r="C217" t="s">
        <v>37</v>
      </c>
      <c r="D217" t="s">
        <v>658</v>
      </c>
      <c r="E217" s="6" t="s">
        <v>18</v>
      </c>
      <c r="F217" s="6">
        <v>0.5</v>
      </c>
      <c r="G217" s="6" t="s">
        <v>20</v>
      </c>
      <c r="H217" s="6">
        <v>0.5</v>
      </c>
      <c r="I217" t="s">
        <v>659</v>
      </c>
      <c r="J217" t="s">
        <v>660</v>
      </c>
      <c r="L217" t="s">
        <v>44</v>
      </c>
      <c r="M217">
        <v>1</v>
      </c>
      <c r="P217" t="s">
        <v>1447</v>
      </c>
      <c r="Q217">
        <v>4</v>
      </c>
      <c r="R217" t="s">
        <v>1448</v>
      </c>
      <c r="S217">
        <v>2</v>
      </c>
      <c r="U217" t="s">
        <v>60</v>
      </c>
      <c r="V217" t="s">
        <v>1449</v>
      </c>
      <c r="W217" t="s">
        <v>222</v>
      </c>
      <c r="X217" t="s">
        <v>1450</v>
      </c>
      <c r="Y217">
        <f t="shared" si="45"/>
        <v>0.5</v>
      </c>
      <c r="Z217">
        <f t="shared" si="46"/>
        <v>0.5</v>
      </c>
      <c r="AA217">
        <f t="shared" si="47"/>
        <v>0</v>
      </c>
      <c r="AB217">
        <f t="shared" si="48"/>
        <v>0</v>
      </c>
      <c r="AC217">
        <f t="shared" si="49"/>
        <v>0</v>
      </c>
      <c r="AD217">
        <f t="shared" si="50"/>
        <v>0</v>
      </c>
      <c r="AE217">
        <f t="shared" si="51"/>
        <v>0</v>
      </c>
      <c r="AF217">
        <f t="shared" si="52"/>
        <v>0</v>
      </c>
      <c r="AG217">
        <f t="shared" si="53"/>
        <v>0</v>
      </c>
      <c r="AH217" t="s">
        <v>521</v>
      </c>
      <c r="AI217" t="s">
        <v>525</v>
      </c>
      <c r="AJ217" t="s">
        <v>526</v>
      </c>
    </row>
    <row r="218" spans="1:36" x14ac:dyDescent="0.2">
      <c r="A218" t="s">
        <v>221</v>
      </c>
      <c r="B218" t="s">
        <v>378</v>
      </c>
      <c r="C218" t="s">
        <v>37</v>
      </c>
      <c r="D218" t="s">
        <v>658</v>
      </c>
      <c r="E218" s="6" t="s">
        <v>18</v>
      </c>
      <c r="F218" s="6">
        <v>0.5</v>
      </c>
      <c r="G218" s="6" t="s">
        <v>20</v>
      </c>
      <c r="H218" s="6">
        <v>0.5</v>
      </c>
      <c r="I218" t="s">
        <v>659</v>
      </c>
      <c r="J218" t="s">
        <v>660</v>
      </c>
      <c r="L218" t="s">
        <v>44</v>
      </c>
      <c r="M218">
        <v>1</v>
      </c>
      <c r="P218" t="s">
        <v>1451</v>
      </c>
      <c r="Q218">
        <v>5</v>
      </c>
      <c r="R218" t="s">
        <v>1452</v>
      </c>
      <c r="S218">
        <v>3</v>
      </c>
      <c r="U218" t="s">
        <v>60</v>
      </c>
      <c r="V218" t="s">
        <v>1453</v>
      </c>
      <c r="W218" t="s">
        <v>222</v>
      </c>
      <c r="X218" t="s">
        <v>1454</v>
      </c>
      <c r="Y218">
        <f t="shared" si="45"/>
        <v>1</v>
      </c>
      <c r="Z218">
        <f t="shared" si="46"/>
        <v>1</v>
      </c>
      <c r="AA218">
        <f t="shared" si="47"/>
        <v>0</v>
      </c>
      <c r="AB218">
        <f t="shared" si="48"/>
        <v>0</v>
      </c>
      <c r="AC218">
        <f t="shared" si="49"/>
        <v>0</v>
      </c>
      <c r="AD218">
        <f t="shared" si="50"/>
        <v>0</v>
      </c>
      <c r="AE218">
        <f t="shared" si="51"/>
        <v>0</v>
      </c>
      <c r="AF218">
        <f t="shared" si="52"/>
        <v>0</v>
      </c>
      <c r="AG218">
        <f t="shared" si="53"/>
        <v>0</v>
      </c>
      <c r="AH218" t="s">
        <v>521</v>
      </c>
      <c r="AI218" t="s">
        <v>525</v>
      </c>
      <c r="AJ218" t="s">
        <v>526</v>
      </c>
    </row>
    <row r="219" spans="1:36" x14ac:dyDescent="0.2">
      <c r="A219" t="s">
        <v>221</v>
      </c>
      <c r="B219" t="s">
        <v>378</v>
      </c>
      <c r="C219" t="s">
        <v>37</v>
      </c>
      <c r="D219" t="s">
        <v>658</v>
      </c>
      <c r="E219" s="6" t="s">
        <v>18</v>
      </c>
      <c r="F219" s="6">
        <v>0.5</v>
      </c>
      <c r="G219" s="6" t="s">
        <v>20</v>
      </c>
      <c r="H219" s="6">
        <v>0.5</v>
      </c>
      <c r="I219" t="s">
        <v>659</v>
      </c>
      <c r="J219" t="s">
        <v>660</v>
      </c>
      <c r="L219" t="s">
        <v>44</v>
      </c>
      <c r="M219">
        <v>1</v>
      </c>
      <c r="P219" t="s">
        <v>1455</v>
      </c>
      <c r="Q219">
        <v>6</v>
      </c>
      <c r="R219" t="s">
        <v>1456</v>
      </c>
      <c r="S219">
        <v>4</v>
      </c>
      <c r="U219" t="s">
        <v>60</v>
      </c>
      <c r="V219" t="s">
        <v>1457</v>
      </c>
      <c r="W219" t="s">
        <v>222</v>
      </c>
      <c r="X219" t="s">
        <v>1458</v>
      </c>
      <c r="Y219">
        <f t="shared" si="45"/>
        <v>1.5</v>
      </c>
      <c r="Z219">
        <f t="shared" si="46"/>
        <v>1.5</v>
      </c>
      <c r="AA219">
        <f t="shared" si="47"/>
        <v>0</v>
      </c>
      <c r="AB219">
        <f t="shared" si="48"/>
        <v>0</v>
      </c>
      <c r="AC219">
        <f t="shared" si="49"/>
        <v>0</v>
      </c>
      <c r="AD219">
        <f t="shared" si="50"/>
        <v>0</v>
      </c>
      <c r="AE219">
        <f t="shared" si="51"/>
        <v>0</v>
      </c>
      <c r="AF219">
        <f t="shared" si="52"/>
        <v>0</v>
      </c>
      <c r="AG219">
        <f t="shared" si="53"/>
        <v>0</v>
      </c>
      <c r="AH219" t="s">
        <v>521</v>
      </c>
      <c r="AI219" t="s">
        <v>525</v>
      </c>
      <c r="AJ219" t="s">
        <v>526</v>
      </c>
    </row>
    <row r="220" spans="1:36" x14ac:dyDescent="0.2">
      <c r="A220" t="s">
        <v>221</v>
      </c>
      <c r="B220" t="s">
        <v>379</v>
      </c>
      <c r="C220" t="s">
        <v>39</v>
      </c>
      <c r="D220" t="s">
        <v>658</v>
      </c>
      <c r="E220" s="6" t="s">
        <v>20</v>
      </c>
      <c r="F220" s="6">
        <v>1</v>
      </c>
      <c r="G220" s="6" t="s">
        <v>522</v>
      </c>
      <c r="I220" t="s">
        <v>661</v>
      </c>
      <c r="J220" t="s">
        <v>662</v>
      </c>
      <c r="L220" t="s">
        <v>48</v>
      </c>
      <c r="M220">
        <v>1</v>
      </c>
      <c r="P220" t="s">
        <v>1459</v>
      </c>
      <c r="Q220">
        <v>1</v>
      </c>
      <c r="R220" t="s">
        <v>1460</v>
      </c>
      <c r="S220">
        <v>0</v>
      </c>
      <c r="T220" t="s">
        <v>172</v>
      </c>
      <c r="U220" t="s">
        <v>60</v>
      </c>
      <c r="V220" t="s">
        <v>1461</v>
      </c>
      <c r="W220" t="s">
        <v>222</v>
      </c>
      <c r="Y220">
        <f t="shared" si="45"/>
        <v>2</v>
      </c>
      <c r="Z220">
        <f t="shared" si="46"/>
        <v>2</v>
      </c>
      <c r="AA220">
        <f t="shared" si="47"/>
        <v>0</v>
      </c>
      <c r="AB220">
        <f t="shared" si="48"/>
        <v>0</v>
      </c>
      <c r="AC220">
        <f t="shared" si="49"/>
        <v>0</v>
      </c>
      <c r="AD220">
        <f t="shared" si="50"/>
        <v>0</v>
      </c>
      <c r="AE220">
        <f t="shared" si="51"/>
        <v>0</v>
      </c>
      <c r="AF220">
        <f t="shared" si="52"/>
        <v>0</v>
      </c>
      <c r="AG220">
        <f t="shared" si="53"/>
        <v>0</v>
      </c>
      <c r="AH220" t="s">
        <v>530</v>
      </c>
      <c r="AI220" t="s">
        <v>581</v>
      </c>
      <c r="AJ220" t="s">
        <v>582</v>
      </c>
    </row>
    <row r="221" spans="1:36" x14ac:dyDescent="0.2">
      <c r="A221" t="s">
        <v>221</v>
      </c>
      <c r="B221" t="s">
        <v>379</v>
      </c>
      <c r="C221" t="s">
        <v>39</v>
      </c>
      <c r="D221" t="s">
        <v>658</v>
      </c>
      <c r="E221" s="6" t="s">
        <v>20</v>
      </c>
      <c r="F221" s="6">
        <v>1</v>
      </c>
      <c r="G221" s="6" t="s">
        <v>522</v>
      </c>
      <c r="I221" t="s">
        <v>661</v>
      </c>
      <c r="J221" t="s">
        <v>662</v>
      </c>
      <c r="L221" t="s">
        <v>48</v>
      </c>
      <c r="M221">
        <v>1</v>
      </c>
      <c r="P221" t="s">
        <v>1462</v>
      </c>
      <c r="Q221">
        <v>2</v>
      </c>
      <c r="R221" t="s">
        <v>1463</v>
      </c>
      <c r="S221">
        <v>1</v>
      </c>
      <c r="T221" t="s">
        <v>1464</v>
      </c>
      <c r="U221" t="s">
        <v>60</v>
      </c>
      <c r="V221" t="s">
        <v>1465</v>
      </c>
      <c r="W221" t="s">
        <v>222</v>
      </c>
      <c r="Y221">
        <f t="shared" si="45"/>
        <v>0</v>
      </c>
      <c r="Z221">
        <f t="shared" si="46"/>
        <v>0</v>
      </c>
      <c r="AA221">
        <f t="shared" si="47"/>
        <v>0</v>
      </c>
      <c r="AB221">
        <f t="shared" si="48"/>
        <v>0</v>
      </c>
      <c r="AC221">
        <f t="shared" si="49"/>
        <v>0</v>
      </c>
      <c r="AD221">
        <f t="shared" si="50"/>
        <v>0</v>
      </c>
      <c r="AE221">
        <f t="shared" si="51"/>
        <v>0</v>
      </c>
      <c r="AF221">
        <f t="shared" si="52"/>
        <v>0</v>
      </c>
      <c r="AG221">
        <f t="shared" si="53"/>
        <v>0</v>
      </c>
      <c r="AH221" t="s">
        <v>530</v>
      </c>
      <c r="AI221" t="s">
        <v>581</v>
      </c>
      <c r="AJ221" t="s">
        <v>582</v>
      </c>
    </row>
    <row r="222" spans="1:36" x14ac:dyDescent="0.2">
      <c r="A222" t="s">
        <v>221</v>
      </c>
      <c r="B222" t="s">
        <v>379</v>
      </c>
      <c r="C222" t="s">
        <v>39</v>
      </c>
      <c r="D222" t="s">
        <v>658</v>
      </c>
      <c r="E222" s="6" t="s">
        <v>20</v>
      </c>
      <c r="F222" s="6">
        <v>1</v>
      </c>
      <c r="G222" s="6" t="s">
        <v>522</v>
      </c>
      <c r="I222" t="s">
        <v>661</v>
      </c>
      <c r="J222" t="s">
        <v>662</v>
      </c>
      <c r="L222" t="s">
        <v>48</v>
      </c>
      <c r="M222">
        <v>1</v>
      </c>
      <c r="P222" t="s">
        <v>1466</v>
      </c>
      <c r="Q222">
        <v>3</v>
      </c>
      <c r="R222" t="s">
        <v>1467</v>
      </c>
      <c r="S222">
        <v>2</v>
      </c>
      <c r="U222" t="s">
        <v>60</v>
      </c>
      <c r="V222" t="s">
        <v>1468</v>
      </c>
      <c r="W222" t="s">
        <v>222</v>
      </c>
      <c r="X222" t="s">
        <v>1469</v>
      </c>
      <c r="Y222">
        <f t="shared" si="45"/>
        <v>0</v>
      </c>
      <c r="Z222">
        <f t="shared" si="46"/>
        <v>1</v>
      </c>
      <c r="AA222">
        <f t="shared" si="47"/>
        <v>0</v>
      </c>
      <c r="AB222">
        <f t="shared" si="48"/>
        <v>0</v>
      </c>
      <c r="AC222">
        <f t="shared" si="49"/>
        <v>0</v>
      </c>
      <c r="AD222">
        <f t="shared" si="50"/>
        <v>0</v>
      </c>
      <c r="AE222">
        <f t="shared" si="51"/>
        <v>0</v>
      </c>
      <c r="AF222">
        <f t="shared" si="52"/>
        <v>0</v>
      </c>
      <c r="AG222">
        <f t="shared" si="53"/>
        <v>0</v>
      </c>
      <c r="AH222" t="s">
        <v>530</v>
      </c>
      <c r="AI222" t="s">
        <v>581</v>
      </c>
      <c r="AJ222" t="s">
        <v>582</v>
      </c>
    </row>
    <row r="223" spans="1:36" x14ac:dyDescent="0.2">
      <c r="A223" t="s">
        <v>221</v>
      </c>
      <c r="B223" t="s">
        <v>379</v>
      </c>
      <c r="C223" t="s">
        <v>39</v>
      </c>
      <c r="D223" t="s">
        <v>658</v>
      </c>
      <c r="E223" s="6" t="s">
        <v>20</v>
      </c>
      <c r="F223" s="6">
        <v>1</v>
      </c>
      <c r="G223" s="6" t="s">
        <v>522</v>
      </c>
      <c r="I223" t="s">
        <v>661</v>
      </c>
      <c r="J223" t="s">
        <v>662</v>
      </c>
      <c r="L223" t="s">
        <v>48</v>
      </c>
      <c r="M223">
        <v>1</v>
      </c>
      <c r="P223" t="s">
        <v>1470</v>
      </c>
      <c r="Q223">
        <v>4</v>
      </c>
      <c r="R223" t="s">
        <v>1471</v>
      </c>
      <c r="S223">
        <v>3</v>
      </c>
      <c r="U223" t="s">
        <v>60</v>
      </c>
      <c r="V223" t="s">
        <v>1472</v>
      </c>
      <c r="W223" t="s">
        <v>222</v>
      </c>
      <c r="X223" t="s">
        <v>1473</v>
      </c>
      <c r="Y223">
        <f t="shared" si="45"/>
        <v>0</v>
      </c>
      <c r="Z223">
        <f t="shared" si="46"/>
        <v>2</v>
      </c>
      <c r="AA223">
        <f t="shared" si="47"/>
        <v>0</v>
      </c>
      <c r="AB223">
        <f t="shared" si="48"/>
        <v>0</v>
      </c>
      <c r="AC223">
        <f t="shared" si="49"/>
        <v>0</v>
      </c>
      <c r="AD223">
        <f t="shared" si="50"/>
        <v>0</v>
      </c>
      <c r="AE223">
        <f t="shared" si="51"/>
        <v>0</v>
      </c>
      <c r="AF223">
        <f t="shared" si="52"/>
        <v>0</v>
      </c>
      <c r="AG223">
        <f t="shared" si="53"/>
        <v>0</v>
      </c>
      <c r="AH223" t="s">
        <v>530</v>
      </c>
      <c r="AI223" t="s">
        <v>581</v>
      </c>
      <c r="AJ223" t="s">
        <v>582</v>
      </c>
    </row>
    <row r="224" spans="1:36" x14ac:dyDescent="0.2">
      <c r="A224" t="s">
        <v>221</v>
      </c>
      <c r="B224" t="s">
        <v>380</v>
      </c>
      <c r="C224" t="s">
        <v>39</v>
      </c>
      <c r="D224" t="s">
        <v>658</v>
      </c>
      <c r="E224" s="6" t="s">
        <v>18</v>
      </c>
      <c r="F224" s="6">
        <v>1</v>
      </c>
      <c r="G224" s="6" t="s">
        <v>522</v>
      </c>
      <c r="I224" t="s">
        <v>663</v>
      </c>
      <c r="J224" t="s">
        <v>664</v>
      </c>
      <c r="L224" t="s">
        <v>44</v>
      </c>
      <c r="M224">
        <v>1</v>
      </c>
      <c r="P224" t="s">
        <v>1474</v>
      </c>
      <c r="Q224">
        <v>1</v>
      </c>
      <c r="R224" t="s">
        <v>1475</v>
      </c>
      <c r="S224">
        <v>0</v>
      </c>
      <c r="T224" t="s">
        <v>172</v>
      </c>
      <c r="U224" t="s">
        <v>60</v>
      </c>
      <c r="V224" t="s">
        <v>1476</v>
      </c>
      <c r="W224" t="s">
        <v>222</v>
      </c>
      <c r="Y224">
        <f t="shared" si="45"/>
        <v>0</v>
      </c>
      <c r="Z224">
        <f t="shared" si="46"/>
        <v>3</v>
      </c>
      <c r="AA224">
        <f t="shared" si="47"/>
        <v>0</v>
      </c>
      <c r="AB224">
        <f t="shared" si="48"/>
        <v>0</v>
      </c>
      <c r="AC224">
        <f t="shared" si="49"/>
        <v>0</v>
      </c>
      <c r="AD224">
        <f t="shared" si="50"/>
        <v>0</v>
      </c>
      <c r="AE224">
        <f t="shared" si="51"/>
        <v>0</v>
      </c>
      <c r="AF224">
        <f t="shared" si="52"/>
        <v>0</v>
      </c>
      <c r="AG224">
        <f t="shared" si="53"/>
        <v>0</v>
      </c>
      <c r="AH224" t="s">
        <v>521</v>
      </c>
      <c r="AI224" t="s">
        <v>535</v>
      </c>
      <c r="AJ224" t="s">
        <v>536</v>
      </c>
    </row>
    <row r="225" spans="1:36" x14ac:dyDescent="0.2">
      <c r="A225" t="s">
        <v>221</v>
      </c>
      <c r="B225" t="s">
        <v>380</v>
      </c>
      <c r="C225" t="s">
        <v>39</v>
      </c>
      <c r="D225" t="s">
        <v>658</v>
      </c>
      <c r="E225" s="6" t="s">
        <v>18</v>
      </c>
      <c r="F225" s="6">
        <v>1</v>
      </c>
      <c r="G225" s="6" t="s">
        <v>522</v>
      </c>
      <c r="I225" t="s">
        <v>663</v>
      </c>
      <c r="J225" t="s">
        <v>664</v>
      </c>
      <c r="L225" t="s">
        <v>44</v>
      </c>
      <c r="M225">
        <v>1</v>
      </c>
      <c r="P225" t="s">
        <v>1477</v>
      </c>
      <c r="Q225">
        <v>2</v>
      </c>
      <c r="R225" t="s">
        <v>1478</v>
      </c>
      <c r="S225">
        <v>1</v>
      </c>
      <c r="T225" t="s">
        <v>247</v>
      </c>
      <c r="U225" t="s">
        <v>60</v>
      </c>
      <c r="V225" t="s">
        <v>1479</v>
      </c>
      <c r="W225" t="s">
        <v>222</v>
      </c>
      <c r="Y225">
        <f t="shared" si="45"/>
        <v>0</v>
      </c>
      <c r="Z225">
        <f t="shared" si="46"/>
        <v>0</v>
      </c>
      <c r="AA225">
        <f t="shared" si="47"/>
        <v>0</v>
      </c>
      <c r="AB225">
        <f t="shared" si="48"/>
        <v>0</v>
      </c>
      <c r="AC225">
        <f t="shared" si="49"/>
        <v>0</v>
      </c>
      <c r="AD225">
        <f t="shared" si="50"/>
        <v>0</v>
      </c>
      <c r="AE225">
        <f t="shared" si="51"/>
        <v>0</v>
      </c>
      <c r="AF225">
        <f t="shared" si="52"/>
        <v>0</v>
      </c>
      <c r="AG225">
        <f t="shared" si="53"/>
        <v>0</v>
      </c>
      <c r="AH225" t="s">
        <v>521</v>
      </c>
      <c r="AI225" t="s">
        <v>535</v>
      </c>
      <c r="AJ225" t="s">
        <v>536</v>
      </c>
    </row>
    <row r="226" spans="1:36" x14ac:dyDescent="0.2">
      <c r="A226" t="s">
        <v>221</v>
      </c>
      <c r="B226" t="s">
        <v>380</v>
      </c>
      <c r="C226" t="s">
        <v>39</v>
      </c>
      <c r="D226" t="s">
        <v>658</v>
      </c>
      <c r="E226" s="6" t="s">
        <v>18</v>
      </c>
      <c r="F226" s="6">
        <v>1</v>
      </c>
      <c r="G226" s="6" t="s">
        <v>522</v>
      </c>
      <c r="I226" t="s">
        <v>663</v>
      </c>
      <c r="J226" t="s">
        <v>664</v>
      </c>
      <c r="L226" t="s">
        <v>44</v>
      </c>
      <c r="M226">
        <v>1</v>
      </c>
      <c r="P226" t="s">
        <v>1480</v>
      </c>
      <c r="Q226">
        <v>3</v>
      </c>
      <c r="R226" t="s">
        <v>1481</v>
      </c>
      <c r="S226">
        <v>2</v>
      </c>
      <c r="U226" t="s">
        <v>60</v>
      </c>
      <c r="V226" t="s">
        <v>1482</v>
      </c>
      <c r="W226" t="s">
        <v>222</v>
      </c>
      <c r="X226" t="s">
        <v>1483</v>
      </c>
      <c r="Y226">
        <f t="shared" si="45"/>
        <v>1</v>
      </c>
      <c r="Z226">
        <f t="shared" si="46"/>
        <v>0</v>
      </c>
      <c r="AA226">
        <f t="shared" si="47"/>
        <v>0</v>
      </c>
      <c r="AB226">
        <f t="shared" si="48"/>
        <v>0</v>
      </c>
      <c r="AC226">
        <f t="shared" si="49"/>
        <v>0</v>
      </c>
      <c r="AD226">
        <f t="shared" si="50"/>
        <v>0</v>
      </c>
      <c r="AE226">
        <f t="shared" si="51"/>
        <v>0</v>
      </c>
      <c r="AF226">
        <f t="shared" si="52"/>
        <v>0</v>
      </c>
      <c r="AG226">
        <f t="shared" si="53"/>
        <v>0</v>
      </c>
      <c r="AH226" t="s">
        <v>521</v>
      </c>
      <c r="AI226" t="s">
        <v>535</v>
      </c>
      <c r="AJ226" t="s">
        <v>536</v>
      </c>
    </row>
    <row r="227" spans="1:36" x14ac:dyDescent="0.2">
      <c r="A227" t="s">
        <v>221</v>
      </c>
      <c r="B227" t="s">
        <v>380</v>
      </c>
      <c r="C227" t="s">
        <v>39</v>
      </c>
      <c r="D227" t="s">
        <v>658</v>
      </c>
      <c r="E227" s="6" t="s">
        <v>18</v>
      </c>
      <c r="F227" s="6">
        <v>1</v>
      </c>
      <c r="G227" s="6" t="s">
        <v>522</v>
      </c>
      <c r="I227" t="s">
        <v>663</v>
      </c>
      <c r="J227" t="s">
        <v>664</v>
      </c>
      <c r="L227" t="s">
        <v>44</v>
      </c>
      <c r="M227">
        <v>1</v>
      </c>
      <c r="P227" t="s">
        <v>1484</v>
      </c>
      <c r="Q227">
        <v>4</v>
      </c>
      <c r="R227" t="s">
        <v>1485</v>
      </c>
      <c r="S227">
        <v>3</v>
      </c>
      <c r="U227" t="s">
        <v>60</v>
      </c>
      <c r="V227" t="s">
        <v>1486</v>
      </c>
      <c r="W227" t="s">
        <v>222</v>
      </c>
      <c r="X227" t="s">
        <v>1487</v>
      </c>
      <c r="Y227">
        <f t="shared" si="45"/>
        <v>2</v>
      </c>
      <c r="Z227">
        <f t="shared" si="46"/>
        <v>0</v>
      </c>
      <c r="AA227">
        <f t="shared" si="47"/>
        <v>0</v>
      </c>
      <c r="AB227">
        <f t="shared" si="48"/>
        <v>0</v>
      </c>
      <c r="AC227">
        <f t="shared" si="49"/>
        <v>0</v>
      </c>
      <c r="AD227">
        <f t="shared" si="50"/>
        <v>0</v>
      </c>
      <c r="AE227">
        <f t="shared" si="51"/>
        <v>0</v>
      </c>
      <c r="AF227">
        <f t="shared" si="52"/>
        <v>0</v>
      </c>
      <c r="AG227">
        <f t="shared" si="53"/>
        <v>0</v>
      </c>
      <c r="AH227" t="s">
        <v>521</v>
      </c>
      <c r="AI227" t="s">
        <v>535</v>
      </c>
      <c r="AJ227" t="s">
        <v>536</v>
      </c>
    </row>
    <row r="228" spans="1:36" x14ac:dyDescent="0.2">
      <c r="A228" t="s">
        <v>221</v>
      </c>
      <c r="B228" t="s">
        <v>380</v>
      </c>
      <c r="C228" t="s">
        <v>39</v>
      </c>
      <c r="D228" t="s">
        <v>658</v>
      </c>
      <c r="E228" s="6" t="s">
        <v>18</v>
      </c>
      <c r="F228" s="6">
        <v>1</v>
      </c>
      <c r="G228" s="6" t="s">
        <v>522</v>
      </c>
      <c r="I228" t="s">
        <v>663</v>
      </c>
      <c r="J228" t="s">
        <v>664</v>
      </c>
      <c r="L228" t="s">
        <v>44</v>
      </c>
      <c r="M228">
        <v>1</v>
      </c>
      <c r="P228" t="s">
        <v>1488</v>
      </c>
      <c r="Q228">
        <v>5</v>
      </c>
      <c r="R228" t="s">
        <v>1489</v>
      </c>
      <c r="S228">
        <v>4</v>
      </c>
      <c r="U228" t="s">
        <v>60</v>
      </c>
      <c r="V228" t="s">
        <v>1490</v>
      </c>
      <c r="W228" t="s">
        <v>222</v>
      </c>
      <c r="X228" t="s">
        <v>1491</v>
      </c>
      <c r="Y228">
        <f t="shared" si="45"/>
        <v>3</v>
      </c>
      <c r="Z228">
        <f t="shared" si="46"/>
        <v>0</v>
      </c>
      <c r="AA228">
        <f t="shared" si="47"/>
        <v>0</v>
      </c>
      <c r="AB228">
        <f t="shared" si="48"/>
        <v>0</v>
      </c>
      <c r="AC228">
        <f t="shared" si="49"/>
        <v>0</v>
      </c>
      <c r="AD228">
        <f t="shared" si="50"/>
        <v>0</v>
      </c>
      <c r="AE228">
        <f t="shared" si="51"/>
        <v>0</v>
      </c>
      <c r="AF228">
        <f t="shared" si="52"/>
        <v>0</v>
      </c>
      <c r="AG228">
        <f t="shared" si="53"/>
        <v>0</v>
      </c>
      <c r="AH228" t="s">
        <v>521</v>
      </c>
      <c r="AI228" t="s">
        <v>535</v>
      </c>
      <c r="AJ228" t="s">
        <v>536</v>
      </c>
    </row>
    <row r="229" spans="1:36" x14ac:dyDescent="0.2">
      <c r="A229" t="s">
        <v>221</v>
      </c>
      <c r="B229" t="s">
        <v>381</v>
      </c>
      <c r="C229" t="s">
        <v>41</v>
      </c>
      <c r="D229" t="s">
        <v>658</v>
      </c>
      <c r="E229" s="6" t="s">
        <v>30</v>
      </c>
      <c r="F229" s="6">
        <v>0.5</v>
      </c>
      <c r="G229" s="6" t="s">
        <v>24</v>
      </c>
      <c r="H229" s="6">
        <v>0.5</v>
      </c>
      <c r="I229" t="s">
        <v>665</v>
      </c>
      <c r="J229" t="s">
        <v>666</v>
      </c>
      <c r="L229" t="s">
        <v>52</v>
      </c>
      <c r="M229">
        <v>1</v>
      </c>
      <c r="P229" t="s">
        <v>1492</v>
      </c>
      <c r="Q229">
        <v>1</v>
      </c>
      <c r="R229" t="s">
        <v>1493</v>
      </c>
      <c r="S229">
        <v>0</v>
      </c>
      <c r="T229" t="s">
        <v>172</v>
      </c>
      <c r="U229" t="s">
        <v>60</v>
      </c>
      <c r="V229" t="s">
        <v>1494</v>
      </c>
      <c r="W229" t="s">
        <v>222</v>
      </c>
      <c r="Y229">
        <f t="shared" si="45"/>
        <v>4</v>
      </c>
      <c r="Z229">
        <f t="shared" si="46"/>
        <v>0</v>
      </c>
      <c r="AA229">
        <f t="shared" si="47"/>
        <v>0</v>
      </c>
      <c r="AB229">
        <f t="shared" si="48"/>
        <v>0</v>
      </c>
      <c r="AC229">
        <f t="shared" si="49"/>
        <v>0</v>
      </c>
      <c r="AD229">
        <f t="shared" si="50"/>
        <v>0</v>
      </c>
      <c r="AE229">
        <f t="shared" si="51"/>
        <v>0</v>
      </c>
      <c r="AF229">
        <f t="shared" si="52"/>
        <v>0</v>
      </c>
      <c r="AG229">
        <f t="shared" si="53"/>
        <v>0</v>
      </c>
      <c r="AH229" t="s">
        <v>521</v>
      </c>
      <c r="AI229" t="s">
        <v>535</v>
      </c>
      <c r="AJ229" t="s">
        <v>536</v>
      </c>
    </row>
    <row r="230" spans="1:36" x14ac:dyDescent="0.2">
      <c r="A230" t="s">
        <v>221</v>
      </c>
      <c r="B230" t="s">
        <v>381</v>
      </c>
      <c r="C230" t="s">
        <v>41</v>
      </c>
      <c r="D230" t="s">
        <v>658</v>
      </c>
      <c r="E230" s="6" t="s">
        <v>30</v>
      </c>
      <c r="F230" s="6">
        <v>0.5</v>
      </c>
      <c r="G230" s="6" t="s">
        <v>24</v>
      </c>
      <c r="H230" s="6">
        <v>0.5</v>
      </c>
      <c r="I230" t="s">
        <v>665</v>
      </c>
      <c r="J230" t="s">
        <v>666</v>
      </c>
      <c r="L230" t="s">
        <v>52</v>
      </c>
      <c r="M230">
        <v>1</v>
      </c>
      <c r="P230" t="s">
        <v>1495</v>
      </c>
      <c r="Q230">
        <v>2</v>
      </c>
      <c r="R230" t="s">
        <v>1496</v>
      </c>
      <c r="S230">
        <v>1</v>
      </c>
      <c r="T230" t="s">
        <v>174</v>
      </c>
      <c r="U230" t="s">
        <v>60</v>
      </c>
      <c r="V230" t="s">
        <v>1497</v>
      </c>
      <c r="W230" t="s">
        <v>222</v>
      </c>
      <c r="X230" t="s">
        <v>1498</v>
      </c>
      <c r="Y230">
        <f t="shared" si="45"/>
        <v>0</v>
      </c>
      <c r="Z230">
        <f t="shared" si="46"/>
        <v>0</v>
      </c>
      <c r="AA230">
        <f t="shared" si="47"/>
        <v>0</v>
      </c>
      <c r="AB230">
        <f t="shared" si="48"/>
        <v>0</v>
      </c>
      <c r="AC230">
        <f t="shared" si="49"/>
        <v>0</v>
      </c>
      <c r="AD230">
        <f t="shared" si="50"/>
        <v>0</v>
      </c>
      <c r="AE230">
        <f t="shared" si="51"/>
        <v>0</v>
      </c>
      <c r="AF230">
        <f t="shared" si="52"/>
        <v>0</v>
      </c>
      <c r="AG230">
        <f t="shared" si="53"/>
        <v>0</v>
      </c>
      <c r="AH230" t="s">
        <v>521</v>
      </c>
      <c r="AI230" t="s">
        <v>535</v>
      </c>
      <c r="AJ230" t="s">
        <v>536</v>
      </c>
    </row>
    <row r="231" spans="1:36" x14ac:dyDescent="0.2">
      <c r="A231" t="s">
        <v>221</v>
      </c>
      <c r="B231" t="s">
        <v>381</v>
      </c>
      <c r="C231" t="s">
        <v>41</v>
      </c>
      <c r="D231" t="s">
        <v>658</v>
      </c>
      <c r="E231" s="6" t="s">
        <v>30</v>
      </c>
      <c r="F231" s="6">
        <v>0.5</v>
      </c>
      <c r="G231" s="6" t="s">
        <v>24</v>
      </c>
      <c r="H231" s="6">
        <v>0.5</v>
      </c>
      <c r="I231" t="s">
        <v>665</v>
      </c>
      <c r="J231" t="s">
        <v>666</v>
      </c>
      <c r="L231" t="s">
        <v>52</v>
      </c>
      <c r="M231">
        <v>1</v>
      </c>
      <c r="P231" t="s">
        <v>1499</v>
      </c>
      <c r="Q231">
        <v>3</v>
      </c>
      <c r="R231" t="s">
        <v>1500</v>
      </c>
      <c r="S231">
        <v>2</v>
      </c>
      <c r="U231" t="s">
        <v>60</v>
      </c>
      <c r="V231" t="s">
        <v>1501</v>
      </c>
      <c r="W231" t="s">
        <v>222</v>
      </c>
      <c r="X231" t="s">
        <v>1502</v>
      </c>
      <c r="Y231">
        <f t="shared" si="45"/>
        <v>0</v>
      </c>
      <c r="Z231">
        <f t="shared" si="46"/>
        <v>0</v>
      </c>
      <c r="AA231">
        <f t="shared" si="47"/>
        <v>0</v>
      </c>
      <c r="AB231">
        <f t="shared" si="48"/>
        <v>0.5</v>
      </c>
      <c r="AC231">
        <f t="shared" si="49"/>
        <v>0</v>
      </c>
      <c r="AD231">
        <f t="shared" si="50"/>
        <v>0</v>
      </c>
      <c r="AE231">
        <f t="shared" si="51"/>
        <v>0.5</v>
      </c>
      <c r="AF231">
        <f t="shared" si="52"/>
        <v>0</v>
      </c>
      <c r="AG231">
        <f t="shared" si="53"/>
        <v>0</v>
      </c>
      <c r="AH231" t="s">
        <v>521</v>
      </c>
      <c r="AI231" t="s">
        <v>535</v>
      </c>
      <c r="AJ231" t="s">
        <v>536</v>
      </c>
    </row>
    <row r="232" spans="1:36" x14ac:dyDescent="0.2">
      <c r="A232" t="s">
        <v>221</v>
      </c>
      <c r="B232" t="s">
        <v>381</v>
      </c>
      <c r="C232" t="s">
        <v>41</v>
      </c>
      <c r="D232" t="s">
        <v>658</v>
      </c>
      <c r="E232" s="6" t="s">
        <v>30</v>
      </c>
      <c r="F232" s="6">
        <v>0.5</v>
      </c>
      <c r="G232" s="6" t="s">
        <v>24</v>
      </c>
      <c r="H232" s="6">
        <v>0.5</v>
      </c>
      <c r="I232" t="s">
        <v>665</v>
      </c>
      <c r="J232" t="s">
        <v>666</v>
      </c>
      <c r="L232" t="s">
        <v>52</v>
      </c>
      <c r="M232">
        <v>1</v>
      </c>
      <c r="P232" t="s">
        <v>1503</v>
      </c>
      <c r="Q232">
        <v>4</v>
      </c>
      <c r="R232" t="s">
        <v>1504</v>
      </c>
      <c r="S232">
        <v>3</v>
      </c>
      <c r="U232" t="s">
        <v>59</v>
      </c>
      <c r="V232" t="s">
        <v>1505</v>
      </c>
      <c r="W232" t="s">
        <v>222</v>
      </c>
      <c r="X232" t="s">
        <v>1506</v>
      </c>
      <c r="Y232">
        <f t="shared" si="45"/>
        <v>0</v>
      </c>
      <c r="Z232">
        <f t="shared" si="46"/>
        <v>0</v>
      </c>
      <c r="AA232">
        <f t="shared" si="47"/>
        <v>0</v>
      </c>
      <c r="AB232">
        <f t="shared" si="48"/>
        <v>1</v>
      </c>
      <c r="AC232">
        <f t="shared" si="49"/>
        <v>0</v>
      </c>
      <c r="AD232">
        <f t="shared" si="50"/>
        <v>0</v>
      </c>
      <c r="AE232">
        <f t="shared" si="51"/>
        <v>1</v>
      </c>
      <c r="AF232">
        <f t="shared" si="52"/>
        <v>0</v>
      </c>
      <c r="AG232">
        <f t="shared" si="53"/>
        <v>0</v>
      </c>
      <c r="AH232" t="s">
        <v>521</v>
      </c>
      <c r="AI232" t="s">
        <v>535</v>
      </c>
      <c r="AJ232" t="s">
        <v>536</v>
      </c>
    </row>
    <row r="233" spans="1:36" x14ac:dyDescent="0.2">
      <c r="A233" t="s">
        <v>221</v>
      </c>
      <c r="B233" t="s">
        <v>381</v>
      </c>
      <c r="C233" t="s">
        <v>41</v>
      </c>
      <c r="D233" t="s">
        <v>658</v>
      </c>
      <c r="E233" s="6" t="s">
        <v>30</v>
      </c>
      <c r="F233" s="6">
        <v>0.5</v>
      </c>
      <c r="G233" s="6" t="s">
        <v>24</v>
      </c>
      <c r="H233" s="6">
        <v>0.5</v>
      </c>
      <c r="I233" t="s">
        <v>665</v>
      </c>
      <c r="J233" t="s">
        <v>666</v>
      </c>
      <c r="L233" t="s">
        <v>52</v>
      </c>
      <c r="M233">
        <v>1</v>
      </c>
      <c r="P233" t="s">
        <v>1507</v>
      </c>
      <c r="Q233">
        <v>5</v>
      </c>
      <c r="R233" t="s">
        <v>1508</v>
      </c>
      <c r="S233">
        <v>4</v>
      </c>
      <c r="U233" t="s">
        <v>59</v>
      </c>
      <c r="V233" t="s">
        <v>1509</v>
      </c>
      <c r="W233" t="s">
        <v>222</v>
      </c>
      <c r="X233" t="s">
        <v>1510</v>
      </c>
      <c r="Y233">
        <f t="shared" si="45"/>
        <v>0</v>
      </c>
      <c r="Z233">
        <f t="shared" si="46"/>
        <v>0</v>
      </c>
      <c r="AA233">
        <f t="shared" si="47"/>
        <v>0</v>
      </c>
      <c r="AB233">
        <f t="shared" si="48"/>
        <v>1.5</v>
      </c>
      <c r="AC233">
        <f t="shared" si="49"/>
        <v>0</v>
      </c>
      <c r="AD233">
        <f t="shared" si="50"/>
        <v>0</v>
      </c>
      <c r="AE233">
        <f t="shared" si="51"/>
        <v>1.5</v>
      </c>
      <c r="AF233">
        <f t="shared" si="52"/>
        <v>0</v>
      </c>
      <c r="AG233">
        <f t="shared" si="53"/>
        <v>0</v>
      </c>
      <c r="AH233" t="s">
        <v>521</v>
      </c>
      <c r="AI233" t="s">
        <v>535</v>
      </c>
      <c r="AJ233" t="s">
        <v>536</v>
      </c>
    </row>
    <row r="234" spans="1:36" x14ac:dyDescent="0.2">
      <c r="A234" t="s">
        <v>221</v>
      </c>
      <c r="B234" t="s">
        <v>382</v>
      </c>
      <c r="C234" t="s">
        <v>37</v>
      </c>
      <c r="D234" t="s">
        <v>668</v>
      </c>
      <c r="E234" s="6" t="s">
        <v>26</v>
      </c>
      <c r="F234" s="6">
        <v>0.6</v>
      </c>
      <c r="G234" s="6" t="s">
        <v>24</v>
      </c>
      <c r="H234" s="6">
        <v>0.4</v>
      </c>
      <c r="I234" t="s">
        <v>669</v>
      </c>
      <c r="J234" t="s">
        <v>670</v>
      </c>
      <c r="L234" t="s">
        <v>52</v>
      </c>
      <c r="M234">
        <v>1</v>
      </c>
      <c r="P234" t="s">
        <v>1511</v>
      </c>
      <c r="Q234">
        <v>1</v>
      </c>
      <c r="R234" t="s">
        <v>1438</v>
      </c>
      <c r="S234">
        <v>0</v>
      </c>
      <c r="T234" t="s">
        <v>251</v>
      </c>
      <c r="U234" t="s">
        <v>58</v>
      </c>
      <c r="V234" t="s">
        <v>1512</v>
      </c>
      <c r="W234" t="s">
        <v>222</v>
      </c>
      <c r="Y234">
        <f t="shared" si="45"/>
        <v>0</v>
      </c>
      <c r="Z234">
        <f t="shared" si="46"/>
        <v>0</v>
      </c>
      <c r="AA234">
        <f t="shared" si="47"/>
        <v>0</v>
      </c>
      <c r="AB234">
        <f t="shared" si="48"/>
        <v>2</v>
      </c>
      <c r="AC234">
        <f t="shared" si="49"/>
        <v>0</v>
      </c>
      <c r="AD234">
        <f t="shared" si="50"/>
        <v>0</v>
      </c>
      <c r="AE234">
        <f t="shared" si="51"/>
        <v>2</v>
      </c>
      <c r="AF234">
        <f t="shared" si="52"/>
        <v>0</v>
      </c>
      <c r="AG234">
        <f t="shared" si="53"/>
        <v>0</v>
      </c>
      <c r="AH234" t="s">
        <v>570</v>
      </c>
      <c r="AI234" t="s">
        <v>571</v>
      </c>
      <c r="AJ234" t="s">
        <v>604</v>
      </c>
    </row>
    <row r="235" spans="1:36" x14ac:dyDescent="0.2">
      <c r="A235" t="s">
        <v>221</v>
      </c>
      <c r="B235" t="s">
        <v>382</v>
      </c>
      <c r="C235" t="s">
        <v>37</v>
      </c>
      <c r="D235" t="s">
        <v>668</v>
      </c>
      <c r="E235" s="6" t="s">
        <v>26</v>
      </c>
      <c r="F235" s="6">
        <v>0.6</v>
      </c>
      <c r="G235" s="6" t="s">
        <v>24</v>
      </c>
      <c r="H235" s="6">
        <v>0.4</v>
      </c>
      <c r="I235" t="s">
        <v>669</v>
      </c>
      <c r="J235" t="s">
        <v>670</v>
      </c>
      <c r="L235" t="s">
        <v>52</v>
      </c>
      <c r="M235">
        <v>1</v>
      </c>
      <c r="P235" t="s">
        <v>1513</v>
      </c>
      <c r="Q235">
        <v>2</v>
      </c>
      <c r="R235" t="s">
        <v>1514</v>
      </c>
      <c r="S235">
        <v>0</v>
      </c>
      <c r="T235" t="s">
        <v>1239</v>
      </c>
      <c r="U235" t="s">
        <v>58</v>
      </c>
      <c r="V235" t="s">
        <v>1515</v>
      </c>
      <c r="W235" t="s">
        <v>222</v>
      </c>
      <c r="Y235">
        <f t="shared" si="45"/>
        <v>0</v>
      </c>
      <c r="Z235">
        <f t="shared" si="46"/>
        <v>0</v>
      </c>
      <c r="AA235">
        <f t="shared" si="47"/>
        <v>0</v>
      </c>
      <c r="AB235">
        <f t="shared" si="48"/>
        <v>0</v>
      </c>
      <c r="AC235">
        <f t="shared" si="49"/>
        <v>0</v>
      </c>
      <c r="AD235">
        <f t="shared" si="50"/>
        <v>0</v>
      </c>
      <c r="AE235">
        <f t="shared" si="51"/>
        <v>0</v>
      </c>
      <c r="AF235">
        <f t="shared" si="52"/>
        <v>0</v>
      </c>
      <c r="AG235">
        <f t="shared" si="53"/>
        <v>0</v>
      </c>
      <c r="AH235" t="s">
        <v>570</v>
      </c>
      <c r="AI235" t="s">
        <v>571</v>
      </c>
      <c r="AJ235" t="s">
        <v>604</v>
      </c>
    </row>
    <row r="236" spans="1:36" x14ac:dyDescent="0.2">
      <c r="A236" t="s">
        <v>221</v>
      </c>
      <c r="B236" t="s">
        <v>382</v>
      </c>
      <c r="C236" t="s">
        <v>37</v>
      </c>
      <c r="D236" t="s">
        <v>668</v>
      </c>
      <c r="E236" s="6" t="s">
        <v>26</v>
      </c>
      <c r="F236" s="6">
        <v>0.6</v>
      </c>
      <c r="G236" s="6" t="s">
        <v>24</v>
      </c>
      <c r="H236" s="6">
        <v>0.4</v>
      </c>
      <c r="I236" t="s">
        <v>669</v>
      </c>
      <c r="J236" t="s">
        <v>670</v>
      </c>
      <c r="L236" t="s">
        <v>52</v>
      </c>
      <c r="M236">
        <v>1</v>
      </c>
      <c r="P236" t="s">
        <v>1516</v>
      </c>
      <c r="Q236">
        <v>3</v>
      </c>
      <c r="R236" t="s">
        <v>1517</v>
      </c>
      <c r="S236">
        <v>1</v>
      </c>
      <c r="T236" t="s">
        <v>237</v>
      </c>
      <c r="U236" t="s">
        <v>58</v>
      </c>
      <c r="V236" t="s">
        <v>1518</v>
      </c>
      <c r="W236" t="s">
        <v>222</v>
      </c>
      <c r="X236" t="s">
        <v>1519</v>
      </c>
      <c r="Y236">
        <f t="shared" si="45"/>
        <v>0</v>
      </c>
      <c r="Z236">
        <f t="shared" si="46"/>
        <v>0</v>
      </c>
      <c r="AA236">
        <f t="shared" si="47"/>
        <v>0</v>
      </c>
      <c r="AB236">
        <f t="shared" si="48"/>
        <v>0</v>
      </c>
      <c r="AC236">
        <f t="shared" si="49"/>
        <v>0</v>
      </c>
      <c r="AD236">
        <f t="shared" si="50"/>
        <v>0</v>
      </c>
      <c r="AE236">
        <f t="shared" si="51"/>
        <v>0</v>
      </c>
      <c r="AF236">
        <f t="shared" si="52"/>
        <v>0</v>
      </c>
      <c r="AG236">
        <f t="shared" si="53"/>
        <v>0</v>
      </c>
      <c r="AH236" t="s">
        <v>570</v>
      </c>
      <c r="AI236" t="s">
        <v>571</v>
      </c>
      <c r="AJ236" t="s">
        <v>604</v>
      </c>
    </row>
    <row r="237" spans="1:36" x14ac:dyDescent="0.2">
      <c r="A237" t="s">
        <v>221</v>
      </c>
      <c r="B237" t="s">
        <v>382</v>
      </c>
      <c r="C237" t="s">
        <v>37</v>
      </c>
      <c r="D237" t="s">
        <v>668</v>
      </c>
      <c r="E237" s="6" t="s">
        <v>26</v>
      </c>
      <c r="F237" s="6">
        <v>0.6</v>
      </c>
      <c r="G237" s="6" t="s">
        <v>24</v>
      </c>
      <c r="H237" s="6">
        <v>0.4</v>
      </c>
      <c r="I237" t="s">
        <v>669</v>
      </c>
      <c r="J237" t="s">
        <v>670</v>
      </c>
      <c r="L237" t="s">
        <v>52</v>
      </c>
      <c r="M237">
        <v>1</v>
      </c>
      <c r="P237" t="s">
        <v>1520</v>
      </c>
      <c r="Q237">
        <v>4</v>
      </c>
      <c r="R237" t="s">
        <v>1521</v>
      </c>
      <c r="S237">
        <v>2</v>
      </c>
      <c r="U237" t="s">
        <v>58</v>
      </c>
      <c r="V237" t="s">
        <v>1522</v>
      </c>
      <c r="W237" t="s">
        <v>222</v>
      </c>
      <c r="X237" t="s">
        <v>1523</v>
      </c>
      <c r="Y237">
        <f t="shared" si="45"/>
        <v>0</v>
      </c>
      <c r="Z237">
        <f t="shared" si="46"/>
        <v>0</v>
      </c>
      <c r="AA237">
        <f t="shared" si="47"/>
        <v>0</v>
      </c>
      <c r="AB237">
        <f t="shared" si="48"/>
        <v>0.4</v>
      </c>
      <c r="AC237">
        <f t="shared" si="49"/>
        <v>0.6</v>
      </c>
      <c r="AD237">
        <f t="shared" si="50"/>
        <v>0</v>
      </c>
      <c r="AE237">
        <f t="shared" si="51"/>
        <v>0</v>
      </c>
      <c r="AF237">
        <f t="shared" si="52"/>
        <v>0</v>
      </c>
      <c r="AG237">
        <f t="shared" si="53"/>
        <v>0</v>
      </c>
      <c r="AH237" t="s">
        <v>570</v>
      </c>
      <c r="AI237" t="s">
        <v>571</v>
      </c>
      <c r="AJ237" t="s">
        <v>604</v>
      </c>
    </row>
    <row r="238" spans="1:36" x14ac:dyDescent="0.2">
      <c r="A238" t="s">
        <v>221</v>
      </c>
      <c r="B238" t="s">
        <v>382</v>
      </c>
      <c r="C238" t="s">
        <v>37</v>
      </c>
      <c r="D238" t="s">
        <v>668</v>
      </c>
      <c r="E238" s="6" t="s">
        <v>26</v>
      </c>
      <c r="F238" s="6">
        <v>0.6</v>
      </c>
      <c r="G238" s="6" t="s">
        <v>24</v>
      </c>
      <c r="H238" s="6">
        <v>0.4</v>
      </c>
      <c r="I238" t="s">
        <v>669</v>
      </c>
      <c r="J238" t="s">
        <v>670</v>
      </c>
      <c r="L238" t="s">
        <v>52</v>
      </c>
      <c r="M238">
        <v>1</v>
      </c>
      <c r="P238" t="s">
        <v>1524</v>
      </c>
      <c r="Q238">
        <v>5</v>
      </c>
      <c r="R238" t="s">
        <v>1525</v>
      </c>
      <c r="S238">
        <v>3</v>
      </c>
      <c r="U238" t="s">
        <v>58</v>
      </c>
      <c r="V238" t="s">
        <v>1526</v>
      </c>
      <c r="W238" t="s">
        <v>222</v>
      </c>
      <c r="X238" t="s">
        <v>1527</v>
      </c>
      <c r="Y238">
        <f t="shared" si="45"/>
        <v>0</v>
      </c>
      <c r="Z238">
        <f t="shared" si="46"/>
        <v>0</v>
      </c>
      <c r="AA238">
        <f t="shared" si="47"/>
        <v>0</v>
      </c>
      <c r="AB238">
        <f t="shared" si="48"/>
        <v>0.8</v>
      </c>
      <c r="AC238">
        <f t="shared" si="49"/>
        <v>1.2</v>
      </c>
      <c r="AD238">
        <f t="shared" si="50"/>
        <v>0</v>
      </c>
      <c r="AE238">
        <f t="shared" si="51"/>
        <v>0</v>
      </c>
      <c r="AF238">
        <f t="shared" si="52"/>
        <v>0</v>
      </c>
      <c r="AG238">
        <f t="shared" si="53"/>
        <v>0</v>
      </c>
      <c r="AH238" t="s">
        <v>570</v>
      </c>
      <c r="AI238" t="s">
        <v>571</v>
      </c>
      <c r="AJ238" t="s">
        <v>604</v>
      </c>
    </row>
    <row r="239" spans="1:36" x14ac:dyDescent="0.2">
      <c r="A239" t="s">
        <v>221</v>
      </c>
      <c r="B239" t="s">
        <v>382</v>
      </c>
      <c r="C239" t="s">
        <v>37</v>
      </c>
      <c r="D239" t="s">
        <v>668</v>
      </c>
      <c r="E239" s="6" t="s">
        <v>26</v>
      </c>
      <c r="F239" s="6">
        <v>0.6</v>
      </c>
      <c r="G239" s="6" t="s">
        <v>24</v>
      </c>
      <c r="H239" s="6">
        <v>0.4</v>
      </c>
      <c r="I239" t="s">
        <v>669</v>
      </c>
      <c r="J239" t="s">
        <v>670</v>
      </c>
      <c r="L239" t="s">
        <v>52</v>
      </c>
      <c r="M239">
        <v>1</v>
      </c>
      <c r="P239" t="s">
        <v>1528</v>
      </c>
      <c r="Q239">
        <v>6</v>
      </c>
      <c r="R239" t="s">
        <v>1529</v>
      </c>
      <c r="S239">
        <v>4</v>
      </c>
      <c r="U239" t="s">
        <v>58</v>
      </c>
      <c r="V239" t="s">
        <v>1530</v>
      </c>
      <c r="W239" t="s">
        <v>222</v>
      </c>
      <c r="X239" t="s">
        <v>1531</v>
      </c>
      <c r="Y239">
        <f t="shared" si="45"/>
        <v>0</v>
      </c>
      <c r="Z239">
        <f t="shared" si="46"/>
        <v>0</v>
      </c>
      <c r="AA239">
        <f t="shared" si="47"/>
        <v>0</v>
      </c>
      <c r="AB239">
        <f t="shared" si="48"/>
        <v>1.2000000000000002</v>
      </c>
      <c r="AC239">
        <f t="shared" si="49"/>
        <v>1.7999999999999998</v>
      </c>
      <c r="AD239">
        <f t="shared" si="50"/>
        <v>0</v>
      </c>
      <c r="AE239">
        <f t="shared" si="51"/>
        <v>0</v>
      </c>
      <c r="AF239">
        <f t="shared" si="52"/>
        <v>0</v>
      </c>
      <c r="AG239">
        <f t="shared" si="53"/>
        <v>0</v>
      </c>
      <c r="AH239" t="s">
        <v>570</v>
      </c>
      <c r="AI239" t="s">
        <v>571</v>
      </c>
      <c r="AJ239" t="s">
        <v>604</v>
      </c>
    </row>
    <row r="240" spans="1:36" x14ac:dyDescent="0.2">
      <c r="A240" t="s">
        <v>221</v>
      </c>
      <c r="B240" t="s">
        <v>383</v>
      </c>
      <c r="C240" t="s">
        <v>39</v>
      </c>
      <c r="D240" t="s">
        <v>668</v>
      </c>
      <c r="E240" s="6" t="s">
        <v>26</v>
      </c>
      <c r="F240" s="6">
        <v>1</v>
      </c>
      <c r="G240" s="6" t="s">
        <v>522</v>
      </c>
      <c r="I240" t="s">
        <v>671</v>
      </c>
      <c r="J240" t="s">
        <v>672</v>
      </c>
      <c r="L240" t="s">
        <v>50</v>
      </c>
      <c r="M240">
        <v>1.5</v>
      </c>
      <c r="N240">
        <v>0.5</v>
      </c>
      <c r="P240" t="s">
        <v>1532</v>
      </c>
      <c r="Q240">
        <v>1</v>
      </c>
      <c r="R240" t="s">
        <v>1533</v>
      </c>
      <c r="S240">
        <v>0</v>
      </c>
      <c r="T240" t="s">
        <v>237</v>
      </c>
      <c r="U240" t="s">
        <v>58</v>
      </c>
      <c r="V240" t="s">
        <v>1534</v>
      </c>
      <c r="W240" t="s">
        <v>222</v>
      </c>
      <c r="Y240">
        <f t="shared" si="45"/>
        <v>0</v>
      </c>
      <c r="Z240">
        <f t="shared" si="46"/>
        <v>0</v>
      </c>
      <c r="AA240">
        <f t="shared" si="47"/>
        <v>0</v>
      </c>
      <c r="AB240">
        <f t="shared" si="48"/>
        <v>1.6</v>
      </c>
      <c r="AC240">
        <f t="shared" si="49"/>
        <v>2.4</v>
      </c>
      <c r="AD240">
        <f t="shared" si="50"/>
        <v>0</v>
      </c>
      <c r="AE240">
        <f t="shared" si="51"/>
        <v>0</v>
      </c>
      <c r="AF240">
        <f t="shared" si="52"/>
        <v>0</v>
      </c>
      <c r="AG240">
        <f t="shared" si="53"/>
        <v>0</v>
      </c>
      <c r="AH240" t="s">
        <v>599</v>
      </c>
      <c r="AI240" t="s">
        <v>600</v>
      </c>
      <c r="AJ240" t="s">
        <v>673</v>
      </c>
    </row>
    <row r="241" spans="1:36" x14ac:dyDescent="0.2">
      <c r="A241" t="s">
        <v>221</v>
      </c>
      <c r="B241" t="s">
        <v>383</v>
      </c>
      <c r="C241" t="s">
        <v>39</v>
      </c>
      <c r="D241" t="s">
        <v>668</v>
      </c>
      <c r="E241" s="6" t="s">
        <v>26</v>
      </c>
      <c r="F241" s="6">
        <v>1</v>
      </c>
      <c r="G241" s="6" t="s">
        <v>522</v>
      </c>
      <c r="I241" t="s">
        <v>671</v>
      </c>
      <c r="J241" t="s">
        <v>672</v>
      </c>
      <c r="L241" t="s">
        <v>50</v>
      </c>
      <c r="M241">
        <v>1.5</v>
      </c>
      <c r="N241">
        <v>0.5</v>
      </c>
      <c r="P241" t="s">
        <v>1535</v>
      </c>
      <c r="Q241">
        <v>2</v>
      </c>
      <c r="R241" t="s">
        <v>1536</v>
      </c>
      <c r="S241">
        <v>1</v>
      </c>
      <c r="T241" t="s">
        <v>247</v>
      </c>
      <c r="U241" t="s">
        <v>58</v>
      </c>
      <c r="V241" t="s">
        <v>1537</v>
      </c>
      <c r="W241" t="s">
        <v>222</v>
      </c>
      <c r="Y241">
        <f t="shared" si="45"/>
        <v>0</v>
      </c>
      <c r="Z241">
        <f t="shared" si="46"/>
        <v>0</v>
      </c>
      <c r="AA241">
        <f t="shared" si="47"/>
        <v>0</v>
      </c>
      <c r="AB241">
        <f t="shared" si="48"/>
        <v>0</v>
      </c>
      <c r="AC241">
        <f t="shared" si="49"/>
        <v>0</v>
      </c>
      <c r="AD241">
        <f t="shared" si="50"/>
        <v>0</v>
      </c>
      <c r="AE241">
        <f t="shared" si="51"/>
        <v>0</v>
      </c>
      <c r="AF241">
        <f t="shared" si="52"/>
        <v>0</v>
      </c>
      <c r="AG241">
        <f t="shared" si="53"/>
        <v>0</v>
      </c>
      <c r="AH241" t="s">
        <v>599</v>
      </c>
      <c r="AI241" t="s">
        <v>600</v>
      </c>
      <c r="AJ241" t="s">
        <v>673</v>
      </c>
    </row>
    <row r="242" spans="1:36" x14ac:dyDescent="0.2">
      <c r="A242" t="s">
        <v>221</v>
      </c>
      <c r="B242" t="s">
        <v>383</v>
      </c>
      <c r="C242" t="s">
        <v>39</v>
      </c>
      <c r="D242" t="s">
        <v>668</v>
      </c>
      <c r="E242" s="6" t="s">
        <v>26</v>
      </c>
      <c r="F242" s="6">
        <v>1</v>
      </c>
      <c r="G242" s="6" t="s">
        <v>522</v>
      </c>
      <c r="I242" t="s">
        <v>671</v>
      </c>
      <c r="J242" t="s">
        <v>672</v>
      </c>
      <c r="L242" t="s">
        <v>50</v>
      </c>
      <c r="M242">
        <v>1.5</v>
      </c>
      <c r="N242">
        <v>0.5</v>
      </c>
      <c r="P242" t="s">
        <v>1538</v>
      </c>
      <c r="Q242">
        <v>3</v>
      </c>
      <c r="R242" t="s">
        <v>1539</v>
      </c>
      <c r="S242">
        <v>2</v>
      </c>
      <c r="T242" t="s">
        <v>174</v>
      </c>
      <c r="U242" t="s">
        <v>60</v>
      </c>
      <c r="V242" t="s">
        <v>1540</v>
      </c>
      <c r="W242" t="s">
        <v>222</v>
      </c>
      <c r="Y242">
        <f t="shared" si="45"/>
        <v>0</v>
      </c>
      <c r="Z242">
        <f t="shared" si="46"/>
        <v>0</v>
      </c>
      <c r="AA242">
        <f t="shared" si="47"/>
        <v>0</v>
      </c>
      <c r="AB242">
        <f t="shared" si="48"/>
        <v>0</v>
      </c>
      <c r="AC242">
        <f t="shared" si="49"/>
        <v>1</v>
      </c>
      <c r="AD242">
        <f t="shared" si="50"/>
        <v>0</v>
      </c>
      <c r="AE242">
        <f t="shared" si="51"/>
        <v>0</v>
      </c>
      <c r="AF242">
        <f t="shared" si="52"/>
        <v>0</v>
      </c>
      <c r="AG242">
        <f t="shared" si="53"/>
        <v>0</v>
      </c>
      <c r="AH242" t="s">
        <v>599</v>
      </c>
      <c r="AI242" t="s">
        <v>600</v>
      </c>
      <c r="AJ242" t="s">
        <v>673</v>
      </c>
    </row>
    <row r="243" spans="1:36" x14ac:dyDescent="0.2">
      <c r="A243" t="s">
        <v>221</v>
      </c>
      <c r="B243" t="s">
        <v>383</v>
      </c>
      <c r="C243" t="s">
        <v>39</v>
      </c>
      <c r="D243" t="s">
        <v>668</v>
      </c>
      <c r="E243" s="6" t="s">
        <v>26</v>
      </c>
      <c r="F243" s="6">
        <v>1</v>
      </c>
      <c r="G243" s="6" t="s">
        <v>522</v>
      </c>
      <c r="I243" t="s">
        <v>671</v>
      </c>
      <c r="J243" t="s">
        <v>672</v>
      </c>
      <c r="L243" t="s">
        <v>50</v>
      </c>
      <c r="M243">
        <v>1.5</v>
      </c>
      <c r="N243">
        <v>0.5</v>
      </c>
      <c r="P243" t="s">
        <v>1541</v>
      </c>
      <c r="Q243">
        <v>4</v>
      </c>
      <c r="R243" t="s">
        <v>1542</v>
      </c>
      <c r="S243">
        <v>3</v>
      </c>
      <c r="T243" t="s">
        <v>174</v>
      </c>
      <c r="U243" t="s">
        <v>58</v>
      </c>
      <c r="V243" t="s">
        <v>1543</v>
      </c>
      <c r="W243" t="s">
        <v>222</v>
      </c>
      <c r="X243" t="s">
        <v>1544</v>
      </c>
      <c r="Y243">
        <f t="shared" si="45"/>
        <v>0</v>
      </c>
      <c r="Z243">
        <f t="shared" si="46"/>
        <v>0</v>
      </c>
      <c r="AA243">
        <f t="shared" si="47"/>
        <v>0</v>
      </c>
      <c r="AB243">
        <f t="shared" si="48"/>
        <v>0</v>
      </c>
      <c r="AC243">
        <f t="shared" si="49"/>
        <v>2</v>
      </c>
      <c r="AD243">
        <f t="shared" si="50"/>
        <v>0</v>
      </c>
      <c r="AE243">
        <f t="shared" si="51"/>
        <v>0</v>
      </c>
      <c r="AF243">
        <f t="shared" si="52"/>
        <v>0</v>
      </c>
      <c r="AG243">
        <f t="shared" si="53"/>
        <v>0</v>
      </c>
      <c r="AH243" t="s">
        <v>599</v>
      </c>
      <c r="AI243" t="s">
        <v>600</v>
      </c>
      <c r="AJ243" t="s">
        <v>673</v>
      </c>
    </row>
    <row r="244" spans="1:36" x14ac:dyDescent="0.2">
      <c r="A244" t="s">
        <v>221</v>
      </c>
      <c r="B244" t="s">
        <v>384</v>
      </c>
      <c r="C244" t="s">
        <v>39</v>
      </c>
      <c r="D244" t="s">
        <v>668</v>
      </c>
      <c r="E244" s="6" t="s">
        <v>24</v>
      </c>
      <c r="F244" s="6">
        <v>0.5</v>
      </c>
      <c r="G244" s="6" t="s">
        <v>26</v>
      </c>
      <c r="H244" s="6">
        <v>0.5</v>
      </c>
      <c r="I244" t="s">
        <v>674</v>
      </c>
      <c r="J244" t="s">
        <v>675</v>
      </c>
      <c r="L244" t="s">
        <v>52</v>
      </c>
      <c r="M244">
        <v>1.5</v>
      </c>
      <c r="N244">
        <v>0.5</v>
      </c>
      <c r="P244" t="s">
        <v>1545</v>
      </c>
      <c r="Q244">
        <v>1</v>
      </c>
      <c r="R244" t="s">
        <v>1546</v>
      </c>
      <c r="S244">
        <v>0</v>
      </c>
      <c r="T244" t="s">
        <v>1547</v>
      </c>
      <c r="U244" t="s">
        <v>59</v>
      </c>
      <c r="V244" t="s">
        <v>1548</v>
      </c>
      <c r="W244" t="s">
        <v>222</v>
      </c>
      <c r="Y244">
        <f t="shared" si="45"/>
        <v>0</v>
      </c>
      <c r="Z244">
        <f t="shared" si="46"/>
        <v>0</v>
      </c>
      <c r="AA244">
        <f t="shared" si="47"/>
        <v>0</v>
      </c>
      <c r="AB244">
        <f t="shared" si="48"/>
        <v>0</v>
      </c>
      <c r="AC244">
        <f t="shared" si="49"/>
        <v>3</v>
      </c>
      <c r="AD244">
        <f t="shared" si="50"/>
        <v>0</v>
      </c>
      <c r="AE244">
        <f t="shared" si="51"/>
        <v>0</v>
      </c>
      <c r="AF244">
        <f t="shared" si="52"/>
        <v>0</v>
      </c>
      <c r="AG244">
        <f t="shared" si="53"/>
        <v>0</v>
      </c>
      <c r="AH244" t="s">
        <v>530</v>
      </c>
      <c r="AI244" t="s">
        <v>676</v>
      </c>
      <c r="AJ244" t="s">
        <v>677</v>
      </c>
    </row>
    <row r="245" spans="1:36" x14ac:dyDescent="0.2">
      <c r="A245" t="s">
        <v>221</v>
      </c>
      <c r="B245" t="s">
        <v>384</v>
      </c>
      <c r="C245" t="s">
        <v>39</v>
      </c>
      <c r="D245" t="s">
        <v>668</v>
      </c>
      <c r="E245" s="6" t="s">
        <v>24</v>
      </c>
      <c r="F245" s="6">
        <v>0.5</v>
      </c>
      <c r="G245" s="6" t="s">
        <v>26</v>
      </c>
      <c r="H245" s="6">
        <v>0.5</v>
      </c>
      <c r="I245" t="s">
        <v>674</v>
      </c>
      <c r="J245" t="s">
        <v>675</v>
      </c>
      <c r="L245" t="s">
        <v>52</v>
      </c>
      <c r="M245">
        <v>1.5</v>
      </c>
      <c r="N245">
        <v>0.5</v>
      </c>
      <c r="P245" t="s">
        <v>1549</v>
      </c>
      <c r="Q245">
        <v>2</v>
      </c>
      <c r="R245" t="s">
        <v>1550</v>
      </c>
      <c r="S245">
        <v>1</v>
      </c>
      <c r="T245" t="s">
        <v>172</v>
      </c>
      <c r="U245" t="s">
        <v>61</v>
      </c>
      <c r="V245" t="s">
        <v>1551</v>
      </c>
      <c r="W245" t="s">
        <v>222</v>
      </c>
      <c r="X245" t="s">
        <v>1552</v>
      </c>
      <c r="Y245">
        <f t="shared" si="45"/>
        <v>0</v>
      </c>
      <c r="Z245">
        <f t="shared" si="46"/>
        <v>0</v>
      </c>
      <c r="AA245">
        <f t="shared" si="47"/>
        <v>0</v>
      </c>
      <c r="AB245">
        <f t="shared" si="48"/>
        <v>0</v>
      </c>
      <c r="AC245">
        <f t="shared" si="49"/>
        <v>0</v>
      </c>
      <c r="AD245">
        <f t="shared" si="50"/>
        <v>0</v>
      </c>
      <c r="AE245">
        <f t="shared" si="51"/>
        <v>0</v>
      </c>
      <c r="AF245">
        <f t="shared" si="52"/>
        <v>0</v>
      </c>
      <c r="AG245">
        <f t="shared" si="53"/>
        <v>0</v>
      </c>
      <c r="AH245" t="s">
        <v>530</v>
      </c>
      <c r="AI245" t="s">
        <v>676</v>
      </c>
      <c r="AJ245" t="s">
        <v>677</v>
      </c>
    </row>
    <row r="246" spans="1:36" x14ac:dyDescent="0.2">
      <c r="A246" t="s">
        <v>221</v>
      </c>
      <c r="B246" t="s">
        <v>384</v>
      </c>
      <c r="C246" t="s">
        <v>39</v>
      </c>
      <c r="D246" t="s">
        <v>668</v>
      </c>
      <c r="E246" s="6" t="s">
        <v>24</v>
      </c>
      <c r="F246" s="6">
        <v>0.5</v>
      </c>
      <c r="G246" s="6" t="s">
        <v>26</v>
      </c>
      <c r="H246" s="6">
        <v>0.5</v>
      </c>
      <c r="I246" t="s">
        <v>674</v>
      </c>
      <c r="J246" t="s">
        <v>675</v>
      </c>
      <c r="L246" t="s">
        <v>52</v>
      </c>
      <c r="M246">
        <v>1.5</v>
      </c>
      <c r="N246">
        <v>0.5</v>
      </c>
      <c r="P246" t="s">
        <v>1553</v>
      </c>
      <c r="Q246">
        <v>3</v>
      </c>
      <c r="R246" t="s">
        <v>1554</v>
      </c>
      <c r="S246">
        <v>2</v>
      </c>
      <c r="U246" t="s">
        <v>58</v>
      </c>
      <c r="V246" t="s">
        <v>1555</v>
      </c>
      <c r="W246" t="s">
        <v>222</v>
      </c>
      <c r="X246" t="s">
        <v>1556</v>
      </c>
      <c r="Y246">
        <f t="shared" si="45"/>
        <v>0</v>
      </c>
      <c r="Z246">
        <f t="shared" si="46"/>
        <v>0</v>
      </c>
      <c r="AA246">
        <f t="shared" si="47"/>
        <v>0</v>
      </c>
      <c r="AB246">
        <f t="shared" si="48"/>
        <v>0.5</v>
      </c>
      <c r="AC246">
        <f t="shared" si="49"/>
        <v>0.5</v>
      </c>
      <c r="AD246">
        <f t="shared" si="50"/>
        <v>0</v>
      </c>
      <c r="AE246">
        <f t="shared" si="51"/>
        <v>0</v>
      </c>
      <c r="AF246">
        <f t="shared" si="52"/>
        <v>0</v>
      </c>
      <c r="AG246">
        <f t="shared" si="53"/>
        <v>0</v>
      </c>
      <c r="AH246" t="s">
        <v>530</v>
      </c>
      <c r="AI246" t="s">
        <v>676</v>
      </c>
      <c r="AJ246" t="s">
        <v>677</v>
      </c>
    </row>
    <row r="247" spans="1:36" x14ac:dyDescent="0.2">
      <c r="A247" t="s">
        <v>221</v>
      </c>
      <c r="B247" t="s">
        <v>384</v>
      </c>
      <c r="C247" t="s">
        <v>39</v>
      </c>
      <c r="D247" t="s">
        <v>668</v>
      </c>
      <c r="E247" s="6" t="s">
        <v>24</v>
      </c>
      <c r="F247" s="6">
        <v>0.5</v>
      </c>
      <c r="G247" s="6" t="s">
        <v>26</v>
      </c>
      <c r="H247" s="6">
        <v>0.5</v>
      </c>
      <c r="I247" t="s">
        <v>674</v>
      </c>
      <c r="J247" t="s">
        <v>675</v>
      </c>
      <c r="L247" t="s">
        <v>52</v>
      </c>
      <c r="M247">
        <v>1.5</v>
      </c>
      <c r="N247">
        <v>0.5</v>
      </c>
      <c r="P247" t="s">
        <v>1557</v>
      </c>
      <c r="Q247">
        <v>4</v>
      </c>
      <c r="R247" t="s">
        <v>1558</v>
      </c>
      <c r="S247">
        <v>3</v>
      </c>
      <c r="U247" t="s">
        <v>58</v>
      </c>
      <c r="V247" t="s">
        <v>1559</v>
      </c>
      <c r="W247" t="s">
        <v>222</v>
      </c>
      <c r="X247" t="s">
        <v>1560</v>
      </c>
      <c r="Y247">
        <f t="shared" si="45"/>
        <v>0</v>
      </c>
      <c r="Z247">
        <f t="shared" si="46"/>
        <v>0</v>
      </c>
      <c r="AA247">
        <f t="shared" si="47"/>
        <v>0</v>
      </c>
      <c r="AB247">
        <f t="shared" si="48"/>
        <v>1</v>
      </c>
      <c r="AC247">
        <f t="shared" si="49"/>
        <v>1</v>
      </c>
      <c r="AD247">
        <f t="shared" si="50"/>
        <v>0</v>
      </c>
      <c r="AE247">
        <f t="shared" si="51"/>
        <v>0</v>
      </c>
      <c r="AF247">
        <f t="shared" si="52"/>
        <v>0</v>
      </c>
      <c r="AG247">
        <f t="shared" si="53"/>
        <v>0</v>
      </c>
      <c r="AH247" t="s">
        <v>530</v>
      </c>
      <c r="AI247" t="s">
        <v>676</v>
      </c>
      <c r="AJ247" t="s">
        <v>677</v>
      </c>
    </row>
    <row r="248" spans="1:36" x14ac:dyDescent="0.2">
      <c r="A248" t="s">
        <v>221</v>
      </c>
      <c r="B248" t="s">
        <v>384</v>
      </c>
      <c r="C248" t="s">
        <v>39</v>
      </c>
      <c r="D248" t="s">
        <v>668</v>
      </c>
      <c r="E248" s="6" t="s">
        <v>24</v>
      </c>
      <c r="F248" s="6">
        <v>0.5</v>
      </c>
      <c r="G248" s="6" t="s">
        <v>26</v>
      </c>
      <c r="H248" s="6">
        <v>0.5</v>
      </c>
      <c r="I248" t="s">
        <v>674</v>
      </c>
      <c r="J248" t="s">
        <v>675</v>
      </c>
      <c r="L248" t="s">
        <v>52</v>
      </c>
      <c r="M248">
        <v>1.5</v>
      </c>
      <c r="N248">
        <v>0.5</v>
      </c>
      <c r="P248" t="s">
        <v>1561</v>
      </c>
      <c r="Q248">
        <v>5</v>
      </c>
      <c r="R248" t="s">
        <v>1562</v>
      </c>
      <c r="S248">
        <v>4</v>
      </c>
      <c r="U248" t="s">
        <v>58</v>
      </c>
      <c r="V248" t="s">
        <v>1563</v>
      </c>
      <c r="W248" t="s">
        <v>222</v>
      </c>
      <c r="X248" t="s">
        <v>1564</v>
      </c>
      <c r="Y248">
        <f t="shared" si="45"/>
        <v>0</v>
      </c>
      <c r="Z248">
        <f t="shared" si="46"/>
        <v>0</v>
      </c>
      <c r="AA248">
        <f t="shared" si="47"/>
        <v>0</v>
      </c>
      <c r="AB248">
        <f t="shared" si="48"/>
        <v>1.5</v>
      </c>
      <c r="AC248">
        <f t="shared" si="49"/>
        <v>1.5</v>
      </c>
      <c r="AD248">
        <f t="shared" si="50"/>
        <v>0</v>
      </c>
      <c r="AE248">
        <f t="shared" si="51"/>
        <v>0</v>
      </c>
      <c r="AF248">
        <f t="shared" si="52"/>
        <v>0</v>
      </c>
      <c r="AG248">
        <f t="shared" si="53"/>
        <v>0</v>
      </c>
      <c r="AH248" t="s">
        <v>530</v>
      </c>
      <c r="AI248" t="s">
        <v>676</v>
      </c>
      <c r="AJ248" t="s">
        <v>677</v>
      </c>
    </row>
    <row r="249" spans="1:36" x14ac:dyDescent="0.2">
      <c r="A249" t="s">
        <v>221</v>
      </c>
      <c r="B249" t="s">
        <v>385</v>
      </c>
      <c r="C249" t="s">
        <v>41</v>
      </c>
      <c r="D249" t="s">
        <v>668</v>
      </c>
      <c r="E249" s="6" t="s">
        <v>20</v>
      </c>
      <c r="F249" s="6">
        <v>1</v>
      </c>
      <c r="G249" s="6" t="s">
        <v>522</v>
      </c>
      <c r="I249" t="s">
        <v>678</v>
      </c>
      <c r="J249" t="s">
        <v>679</v>
      </c>
      <c r="L249" t="s">
        <v>48</v>
      </c>
      <c r="M249">
        <v>1</v>
      </c>
      <c r="P249" t="s">
        <v>1565</v>
      </c>
      <c r="Q249">
        <v>1</v>
      </c>
      <c r="R249" t="s">
        <v>1566</v>
      </c>
      <c r="S249">
        <v>0</v>
      </c>
      <c r="T249" t="s">
        <v>237</v>
      </c>
      <c r="U249" t="s">
        <v>58</v>
      </c>
      <c r="V249" t="s">
        <v>1567</v>
      </c>
      <c r="W249" t="s">
        <v>222</v>
      </c>
      <c r="Y249">
        <f t="shared" si="45"/>
        <v>0</v>
      </c>
      <c r="Z249">
        <f t="shared" si="46"/>
        <v>0</v>
      </c>
      <c r="AA249">
        <f t="shared" si="47"/>
        <v>0</v>
      </c>
      <c r="AB249">
        <f t="shared" si="48"/>
        <v>2</v>
      </c>
      <c r="AC249">
        <f t="shared" si="49"/>
        <v>2</v>
      </c>
      <c r="AD249">
        <f t="shared" si="50"/>
        <v>0</v>
      </c>
      <c r="AE249">
        <f t="shared" si="51"/>
        <v>0</v>
      </c>
      <c r="AF249">
        <f t="shared" si="52"/>
        <v>0</v>
      </c>
      <c r="AG249">
        <f t="shared" si="53"/>
        <v>0</v>
      </c>
      <c r="AH249" t="s">
        <v>561</v>
      </c>
      <c r="AI249" t="s">
        <v>587</v>
      </c>
      <c r="AJ249" t="s">
        <v>591</v>
      </c>
    </row>
    <row r="250" spans="1:36" x14ac:dyDescent="0.2">
      <c r="A250" t="s">
        <v>221</v>
      </c>
      <c r="B250" t="s">
        <v>385</v>
      </c>
      <c r="C250" t="s">
        <v>41</v>
      </c>
      <c r="D250" t="s">
        <v>668</v>
      </c>
      <c r="E250" s="6" t="s">
        <v>20</v>
      </c>
      <c r="F250" s="6">
        <v>1</v>
      </c>
      <c r="G250" s="6" t="s">
        <v>522</v>
      </c>
      <c r="I250" t="s">
        <v>678</v>
      </c>
      <c r="J250" t="s">
        <v>679</v>
      </c>
      <c r="L250" t="s">
        <v>48</v>
      </c>
      <c r="M250">
        <v>1</v>
      </c>
      <c r="P250" t="s">
        <v>1568</v>
      </c>
      <c r="Q250">
        <v>2</v>
      </c>
      <c r="R250" t="s">
        <v>1569</v>
      </c>
      <c r="S250">
        <v>1</v>
      </c>
      <c r="T250" t="s">
        <v>255</v>
      </c>
      <c r="U250" t="s">
        <v>60</v>
      </c>
      <c r="V250" t="s">
        <v>1570</v>
      </c>
      <c r="W250" t="s">
        <v>222</v>
      </c>
      <c r="Y250">
        <f t="shared" si="45"/>
        <v>0</v>
      </c>
      <c r="Z250">
        <f t="shared" si="46"/>
        <v>0</v>
      </c>
      <c r="AA250">
        <f t="shared" si="47"/>
        <v>0</v>
      </c>
      <c r="AB250">
        <f t="shared" si="48"/>
        <v>0</v>
      </c>
      <c r="AC250">
        <f t="shared" si="49"/>
        <v>0</v>
      </c>
      <c r="AD250">
        <f t="shared" si="50"/>
        <v>0</v>
      </c>
      <c r="AE250">
        <f t="shared" si="51"/>
        <v>0</v>
      </c>
      <c r="AF250">
        <f t="shared" si="52"/>
        <v>0</v>
      </c>
      <c r="AG250">
        <f t="shared" si="53"/>
        <v>0</v>
      </c>
      <c r="AH250" t="s">
        <v>561</v>
      </c>
      <c r="AI250" t="s">
        <v>587</v>
      </c>
      <c r="AJ250" t="s">
        <v>591</v>
      </c>
    </row>
    <row r="251" spans="1:36" x14ac:dyDescent="0.2">
      <c r="A251" t="s">
        <v>221</v>
      </c>
      <c r="B251" t="s">
        <v>385</v>
      </c>
      <c r="C251" t="s">
        <v>41</v>
      </c>
      <c r="D251" t="s">
        <v>668</v>
      </c>
      <c r="E251" s="6" t="s">
        <v>20</v>
      </c>
      <c r="F251" s="6">
        <v>1</v>
      </c>
      <c r="G251" s="6" t="s">
        <v>522</v>
      </c>
      <c r="I251" t="s">
        <v>678</v>
      </c>
      <c r="J251" t="s">
        <v>679</v>
      </c>
      <c r="L251" t="s">
        <v>48</v>
      </c>
      <c r="M251">
        <v>1</v>
      </c>
      <c r="P251" t="s">
        <v>1571</v>
      </c>
      <c r="Q251">
        <v>3</v>
      </c>
      <c r="R251" t="s">
        <v>1572</v>
      </c>
      <c r="S251">
        <v>2</v>
      </c>
      <c r="U251" t="s">
        <v>60</v>
      </c>
      <c r="V251" t="s">
        <v>1573</v>
      </c>
      <c r="W251" t="s">
        <v>222</v>
      </c>
      <c r="X251" t="s">
        <v>1574</v>
      </c>
      <c r="Y251">
        <f t="shared" si="45"/>
        <v>0</v>
      </c>
      <c r="Z251">
        <f t="shared" si="46"/>
        <v>1</v>
      </c>
      <c r="AA251">
        <f t="shared" si="47"/>
        <v>0</v>
      </c>
      <c r="AB251">
        <f t="shared" si="48"/>
        <v>0</v>
      </c>
      <c r="AC251">
        <f t="shared" si="49"/>
        <v>0</v>
      </c>
      <c r="AD251">
        <f t="shared" si="50"/>
        <v>0</v>
      </c>
      <c r="AE251">
        <f t="shared" si="51"/>
        <v>0</v>
      </c>
      <c r="AF251">
        <f t="shared" si="52"/>
        <v>0</v>
      </c>
      <c r="AG251">
        <f t="shared" si="53"/>
        <v>0</v>
      </c>
      <c r="AH251" t="s">
        <v>561</v>
      </c>
      <c r="AI251" t="s">
        <v>587</v>
      </c>
      <c r="AJ251" t="s">
        <v>591</v>
      </c>
    </row>
    <row r="252" spans="1:36" x14ac:dyDescent="0.2">
      <c r="A252" t="s">
        <v>221</v>
      </c>
      <c r="B252" t="s">
        <v>385</v>
      </c>
      <c r="C252" t="s">
        <v>41</v>
      </c>
      <c r="D252" t="s">
        <v>668</v>
      </c>
      <c r="E252" s="6" t="s">
        <v>20</v>
      </c>
      <c r="F252" s="6">
        <v>1</v>
      </c>
      <c r="G252" s="6" t="s">
        <v>522</v>
      </c>
      <c r="I252" t="s">
        <v>678</v>
      </c>
      <c r="J252" t="s">
        <v>679</v>
      </c>
      <c r="L252" t="s">
        <v>48</v>
      </c>
      <c r="M252">
        <v>1</v>
      </c>
      <c r="P252" t="s">
        <v>1575</v>
      </c>
      <c r="Q252">
        <v>4</v>
      </c>
      <c r="R252" t="s">
        <v>1576</v>
      </c>
      <c r="S252">
        <v>3</v>
      </c>
      <c r="U252" t="s">
        <v>60</v>
      </c>
      <c r="V252" t="s">
        <v>1577</v>
      </c>
      <c r="W252" t="s">
        <v>222</v>
      </c>
      <c r="X252" t="s">
        <v>1578</v>
      </c>
      <c r="Y252">
        <f t="shared" si="45"/>
        <v>0</v>
      </c>
      <c r="Z252">
        <f t="shared" si="46"/>
        <v>2</v>
      </c>
      <c r="AA252">
        <f t="shared" si="47"/>
        <v>0</v>
      </c>
      <c r="AB252">
        <f t="shared" si="48"/>
        <v>0</v>
      </c>
      <c r="AC252">
        <f t="shared" si="49"/>
        <v>0</v>
      </c>
      <c r="AD252">
        <f t="shared" si="50"/>
        <v>0</v>
      </c>
      <c r="AE252">
        <f t="shared" si="51"/>
        <v>0</v>
      </c>
      <c r="AF252">
        <f t="shared" si="52"/>
        <v>0</v>
      </c>
      <c r="AG252">
        <f t="shared" si="53"/>
        <v>0</v>
      </c>
      <c r="AH252" t="s">
        <v>561</v>
      </c>
      <c r="AI252" t="s">
        <v>587</v>
      </c>
      <c r="AJ252" t="s">
        <v>591</v>
      </c>
    </row>
    <row r="253" spans="1:36" x14ac:dyDescent="0.2">
      <c r="A253" t="s">
        <v>221</v>
      </c>
      <c r="B253" t="s">
        <v>385</v>
      </c>
      <c r="C253" t="s">
        <v>41</v>
      </c>
      <c r="D253" t="s">
        <v>668</v>
      </c>
      <c r="E253" s="6" t="s">
        <v>20</v>
      </c>
      <c r="F253" s="6">
        <v>1</v>
      </c>
      <c r="G253" s="6" t="s">
        <v>522</v>
      </c>
      <c r="I253" t="s">
        <v>678</v>
      </c>
      <c r="J253" t="s">
        <v>679</v>
      </c>
      <c r="L253" t="s">
        <v>48</v>
      </c>
      <c r="M253">
        <v>1</v>
      </c>
      <c r="P253" t="s">
        <v>1579</v>
      </c>
      <c r="Q253">
        <v>5</v>
      </c>
      <c r="R253" t="s">
        <v>1580</v>
      </c>
      <c r="S253">
        <v>4</v>
      </c>
      <c r="U253" t="s">
        <v>60</v>
      </c>
      <c r="V253" t="s">
        <v>1581</v>
      </c>
      <c r="W253" t="s">
        <v>222</v>
      </c>
      <c r="X253" t="s">
        <v>1582</v>
      </c>
      <c r="Y253">
        <f t="shared" si="45"/>
        <v>0</v>
      </c>
      <c r="Z253">
        <f t="shared" si="46"/>
        <v>3</v>
      </c>
      <c r="AA253">
        <f t="shared" si="47"/>
        <v>0</v>
      </c>
      <c r="AB253">
        <f t="shared" si="48"/>
        <v>0</v>
      </c>
      <c r="AC253">
        <f t="shared" si="49"/>
        <v>0</v>
      </c>
      <c r="AD253">
        <f t="shared" si="50"/>
        <v>0</v>
      </c>
      <c r="AE253">
        <f t="shared" si="51"/>
        <v>0</v>
      </c>
      <c r="AF253">
        <f t="shared" si="52"/>
        <v>0</v>
      </c>
      <c r="AG253">
        <f t="shared" si="53"/>
        <v>0</v>
      </c>
      <c r="AH253" t="s">
        <v>561</v>
      </c>
      <c r="AI253" t="s">
        <v>587</v>
      </c>
      <c r="AJ253" t="s">
        <v>591</v>
      </c>
    </row>
    <row r="254" spans="1:36" x14ac:dyDescent="0.2">
      <c r="A254" t="s">
        <v>221</v>
      </c>
      <c r="B254" t="s">
        <v>386</v>
      </c>
      <c r="C254" t="s">
        <v>37</v>
      </c>
      <c r="D254" t="s">
        <v>680</v>
      </c>
      <c r="E254" s="6" t="s">
        <v>26</v>
      </c>
      <c r="F254" s="6">
        <v>0.5</v>
      </c>
      <c r="G254" s="6" t="s">
        <v>20</v>
      </c>
      <c r="H254" s="6">
        <v>0.5</v>
      </c>
      <c r="I254" t="s">
        <v>681</v>
      </c>
      <c r="J254" t="s">
        <v>682</v>
      </c>
      <c r="L254" t="s">
        <v>50</v>
      </c>
      <c r="M254">
        <v>1</v>
      </c>
      <c r="P254" t="s">
        <v>1583</v>
      </c>
      <c r="Q254">
        <v>1</v>
      </c>
      <c r="R254" t="s">
        <v>1438</v>
      </c>
      <c r="S254">
        <v>0</v>
      </c>
      <c r="T254" t="s">
        <v>251</v>
      </c>
      <c r="U254" t="s">
        <v>58</v>
      </c>
      <c r="V254" t="s">
        <v>1584</v>
      </c>
      <c r="W254" t="s">
        <v>222</v>
      </c>
      <c r="Y254">
        <f t="shared" si="45"/>
        <v>0</v>
      </c>
      <c r="Z254">
        <f t="shared" si="46"/>
        <v>4</v>
      </c>
      <c r="AA254">
        <f t="shared" si="47"/>
        <v>0</v>
      </c>
      <c r="AB254">
        <f t="shared" si="48"/>
        <v>0</v>
      </c>
      <c r="AC254">
        <f t="shared" si="49"/>
        <v>0</v>
      </c>
      <c r="AD254">
        <f t="shared" si="50"/>
        <v>0</v>
      </c>
      <c r="AE254">
        <f t="shared" si="51"/>
        <v>0</v>
      </c>
      <c r="AF254">
        <f t="shared" si="52"/>
        <v>0</v>
      </c>
      <c r="AG254">
        <f t="shared" si="53"/>
        <v>0</v>
      </c>
      <c r="AH254" t="s">
        <v>550</v>
      </c>
      <c r="AI254" t="s">
        <v>683</v>
      </c>
      <c r="AJ254" t="s">
        <v>684</v>
      </c>
    </row>
    <row r="255" spans="1:36" x14ac:dyDescent="0.2">
      <c r="A255" t="s">
        <v>221</v>
      </c>
      <c r="B255" t="s">
        <v>386</v>
      </c>
      <c r="C255" t="s">
        <v>37</v>
      </c>
      <c r="D255" t="s">
        <v>680</v>
      </c>
      <c r="E255" s="6" t="s">
        <v>26</v>
      </c>
      <c r="F255" s="6">
        <v>0.5</v>
      </c>
      <c r="G255" s="6" t="s">
        <v>20</v>
      </c>
      <c r="H255" s="6">
        <v>0.5</v>
      </c>
      <c r="I255" t="s">
        <v>681</v>
      </c>
      <c r="J255" t="s">
        <v>682</v>
      </c>
      <c r="L255" t="s">
        <v>50</v>
      </c>
      <c r="M255">
        <v>1</v>
      </c>
      <c r="P255" t="s">
        <v>1585</v>
      </c>
      <c r="Q255">
        <v>2</v>
      </c>
      <c r="R255" t="s">
        <v>1586</v>
      </c>
      <c r="S255">
        <v>0</v>
      </c>
      <c r="T255" t="s">
        <v>237</v>
      </c>
      <c r="U255" t="s">
        <v>58</v>
      </c>
      <c r="V255" t="s">
        <v>1587</v>
      </c>
      <c r="W255" t="s">
        <v>222</v>
      </c>
      <c r="Y255">
        <f t="shared" si="45"/>
        <v>0</v>
      </c>
      <c r="Z255">
        <f t="shared" si="46"/>
        <v>0</v>
      </c>
      <c r="AA255">
        <f t="shared" si="47"/>
        <v>0</v>
      </c>
      <c r="AB255">
        <f t="shared" si="48"/>
        <v>0</v>
      </c>
      <c r="AC255">
        <f t="shared" si="49"/>
        <v>0</v>
      </c>
      <c r="AD255">
        <f t="shared" si="50"/>
        <v>0</v>
      </c>
      <c r="AE255">
        <f t="shared" si="51"/>
        <v>0</v>
      </c>
      <c r="AF255">
        <f t="shared" si="52"/>
        <v>0</v>
      </c>
      <c r="AG255">
        <f t="shared" si="53"/>
        <v>0</v>
      </c>
      <c r="AH255" t="s">
        <v>550</v>
      </c>
      <c r="AI255" t="s">
        <v>683</v>
      </c>
      <c r="AJ255" t="s">
        <v>684</v>
      </c>
    </row>
    <row r="256" spans="1:36" x14ac:dyDescent="0.2">
      <c r="A256" t="s">
        <v>221</v>
      </c>
      <c r="B256" t="s">
        <v>386</v>
      </c>
      <c r="C256" t="s">
        <v>37</v>
      </c>
      <c r="D256" t="s">
        <v>680</v>
      </c>
      <c r="E256" s="6" t="s">
        <v>26</v>
      </c>
      <c r="F256" s="6">
        <v>0.5</v>
      </c>
      <c r="G256" s="6" t="s">
        <v>20</v>
      </c>
      <c r="H256" s="6">
        <v>0.5</v>
      </c>
      <c r="I256" t="s">
        <v>681</v>
      </c>
      <c r="J256" t="s">
        <v>682</v>
      </c>
      <c r="L256" t="s">
        <v>50</v>
      </c>
      <c r="M256">
        <v>1</v>
      </c>
      <c r="P256" t="s">
        <v>1588</v>
      </c>
      <c r="Q256">
        <v>3</v>
      </c>
      <c r="R256" t="s">
        <v>1589</v>
      </c>
      <c r="S256">
        <v>1</v>
      </c>
      <c r="T256" t="s">
        <v>247</v>
      </c>
      <c r="U256" t="s">
        <v>60</v>
      </c>
      <c r="V256" t="s">
        <v>1590</v>
      </c>
      <c r="W256" t="s">
        <v>222</v>
      </c>
      <c r="Y256">
        <f t="shared" si="45"/>
        <v>0</v>
      </c>
      <c r="Z256">
        <f t="shared" si="46"/>
        <v>0</v>
      </c>
      <c r="AA256">
        <f t="shared" si="47"/>
        <v>0</v>
      </c>
      <c r="AB256">
        <f t="shared" si="48"/>
        <v>0</v>
      </c>
      <c r="AC256">
        <f t="shared" si="49"/>
        <v>0</v>
      </c>
      <c r="AD256">
        <f t="shared" si="50"/>
        <v>0</v>
      </c>
      <c r="AE256">
        <f t="shared" si="51"/>
        <v>0</v>
      </c>
      <c r="AF256">
        <f t="shared" si="52"/>
        <v>0</v>
      </c>
      <c r="AG256">
        <f t="shared" si="53"/>
        <v>0</v>
      </c>
      <c r="AH256" t="s">
        <v>550</v>
      </c>
      <c r="AI256" t="s">
        <v>683</v>
      </c>
      <c r="AJ256" t="s">
        <v>684</v>
      </c>
    </row>
    <row r="257" spans="1:36" x14ac:dyDescent="0.2">
      <c r="A257" t="s">
        <v>221</v>
      </c>
      <c r="B257" t="s">
        <v>386</v>
      </c>
      <c r="C257" t="s">
        <v>37</v>
      </c>
      <c r="D257" t="s">
        <v>680</v>
      </c>
      <c r="E257" s="6" t="s">
        <v>26</v>
      </c>
      <c r="F257" s="6">
        <v>0.5</v>
      </c>
      <c r="G257" s="6" t="s">
        <v>20</v>
      </c>
      <c r="H257" s="6">
        <v>0.5</v>
      </c>
      <c r="I257" t="s">
        <v>681</v>
      </c>
      <c r="J257" t="s">
        <v>682</v>
      </c>
      <c r="L257" t="s">
        <v>50</v>
      </c>
      <c r="M257">
        <v>1</v>
      </c>
      <c r="P257" t="s">
        <v>1591</v>
      </c>
      <c r="Q257">
        <v>4</v>
      </c>
      <c r="R257" t="s">
        <v>1592</v>
      </c>
      <c r="S257">
        <v>2</v>
      </c>
      <c r="T257" t="s">
        <v>172</v>
      </c>
      <c r="U257" t="s">
        <v>61</v>
      </c>
      <c r="V257" t="s">
        <v>1593</v>
      </c>
      <c r="W257" t="s">
        <v>222</v>
      </c>
      <c r="X257" t="s">
        <v>1594</v>
      </c>
      <c r="Y257">
        <f t="shared" si="45"/>
        <v>0</v>
      </c>
      <c r="Z257">
        <f t="shared" si="46"/>
        <v>0.5</v>
      </c>
      <c r="AA257">
        <f t="shared" si="47"/>
        <v>0</v>
      </c>
      <c r="AB257">
        <f t="shared" si="48"/>
        <v>0</v>
      </c>
      <c r="AC257">
        <f t="shared" si="49"/>
        <v>0.5</v>
      </c>
      <c r="AD257">
        <f t="shared" si="50"/>
        <v>0</v>
      </c>
      <c r="AE257">
        <f t="shared" si="51"/>
        <v>0</v>
      </c>
      <c r="AF257">
        <f t="shared" si="52"/>
        <v>0</v>
      </c>
      <c r="AG257">
        <f t="shared" si="53"/>
        <v>0</v>
      </c>
      <c r="AH257" t="s">
        <v>550</v>
      </c>
      <c r="AI257" t="s">
        <v>683</v>
      </c>
      <c r="AJ257" t="s">
        <v>684</v>
      </c>
    </row>
    <row r="258" spans="1:36" x14ac:dyDescent="0.2">
      <c r="A258" t="s">
        <v>221</v>
      </c>
      <c r="B258" t="s">
        <v>386</v>
      </c>
      <c r="C258" t="s">
        <v>37</v>
      </c>
      <c r="D258" t="s">
        <v>680</v>
      </c>
      <c r="E258" s="6" t="s">
        <v>26</v>
      </c>
      <c r="F258" s="6">
        <v>0.5</v>
      </c>
      <c r="G258" s="6" t="s">
        <v>20</v>
      </c>
      <c r="H258" s="6">
        <v>0.5</v>
      </c>
      <c r="I258" t="s">
        <v>681</v>
      </c>
      <c r="J258" t="s">
        <v>682</v>
      </c>
      <c r="L258" t="s">
        <v>50</v>
      </c>
      <c r="M258">
        <v>1</v>
      </c>
      <c r="P258" t="s">
        <v>1595</v>
      </c>
      <c r="Q258">
        <v>5</v>
      </c>
      <c r="R258" t="s">
        <v>1596</v>
      </c>
      <c r="S258">
        <v>3</v>
      </c>
      <c r="U258" t="s">
        <v>58</v>
      </c>
      <c r="V258" t="s">
        <v>1597</v>
      </c>
      <c r="W258" t="s">
        <v>222</v>
      </c>
      <c r="X258" t="s">
        <v>1556</v>
      </c>
      <c r="Y258">
        <f t="shared" si="45"/>
        <v>0</v>
      </c>
      <c r="Z258">
        <f t="shared" si="46"/>
        <v>1</v>
      </c>
      <c r="AA258">
        <f t="shared" si="47"/>
        <v>0</v>
      </c>
      <c r="AB258">
        <f t="shared" si="48"/>
        <v>0</v>
      </c>
      <c r="AC258">
        <f t="shared" si="49"/>
        <v>1</v>
      </c>
      <c r="AD258">
        <f t="shared" si="50"/>
        <v>0</v>
      </c>
      <c r="AE258">
        <f t="shared" si="51"/>
        <v>0</v>
      </c>
      <c r="AF258">
        <f t="shared" si="52"/>
        <v>0</v>
      </c>
      <c r="AG258">
        <f t="shared" si="53"/>
        <v>0</v>
      </c>
      <c r="AH258" t="s">
        <v>550</v>
      </c>
      <c r="AI258" t="s">
        <v>683</v>
      </c>
      <c r="AJ258" t="s">
        <v>684</v>
      </c>
    </row>
    <row r="259" spans="1:36" x14ac:dyDescent="0.2">
      <c r="A259" t="s">
        <v>221</v>
      </c>
      <c r="B259" t="s">
        <v>386</v>
      </c>
      <c r="C259" t="s">
        <v>37</v>
      </c>
      <c r="D259" t="s">
        <v>680</v>
      </c>
      <c r="E259" s="6" t="s">
        <v>26</v>
      </c>
      <c r="F259" s="6">
        <v>0.5</v>
      </c>
      <c r="G259" s="6" t="s">
        <v>20</v>
      </c>
      <c r="H259" s="6">
        <v>0.5</v>
      </c>
      <c r="I259" t="s">
        <v>681</v>
      </c>
      <c r="J259" t="s">
        <v>682</v>
      </c>
      <c r="L259" t="s">
        <v>50</v>
      </c>
      <c r="M259">
        <v>1</v>
      </c>
      <c r="P259" t="s">
        <v>1598</v>
      </c>
      <c r="Q259">
        <v>6</v>
      </c>
      <c r="R259" t="s">
        <v>1599</v>
      </c>
      <c r="S259">
        <v>4</v>
      </c>
      <c r="U259" t="s">
        <v>58</v>
      </c>
      <c r="V259" t="s">
        <v>1559</v>
      </c>
      <c r="W259" t="s">
        <v>222</v>
      </c>
      <c r="X259" t="s">
        <v>1600</v>
      </c>
      <c r="Y259">
        <f t="shared" si="45"/>
        <v>0</v>
      </c>
      <c r="Z259">
        <f t="shared" si="46"/>
        <v>1.5</v>
      </c>
      <c r="AA259">
        <f t="shared" si="47"/>
        <v>0</v>
      </c>
      <c r="AB259">
        <f t="shared" si="48"/>
        <v>0</v>
      </c>
      <c r="AC259">
        <f t="shared" si="49"/>
        <v>1.5</v>
      </c>
      <c r="AD259">
        <f t="shared" si="50"/>
        <v>0</v>
      </c>
      <c r="AE259">
        <f t="shared" si="51"/>
        <v>0</v>
      </c>
      <c r="AF259">
        <f t="shared" si="52"/>
        <v>0</v>
      </c>
      <c r="AG259">
        <f t="shared" si="53"/>
        <v>0</v>
      </c>
      <c r="AH259" t="s">
        <v>550</v>
      </c>
      <c r="AI259" t="s">
        <v>683</v>
      </c>
      <c r="AJ259" t="s">
        <v>684</v>
      </c>
    </row>
    <row r="260" spans="1:36" x14ac:dyDescent="0.2">
      <c r="A260" t="s">
        <v>221</v>
      </c>
      <c r="B260" t="s">
        <v>387</v>
      </c>
      <c r="C260" t="s">
        <v>39</v>
      </c>
      <c r="D260" t="s">
        <v>680</v>
      </c>
      <c r="E260" s="6" t="s">
        <v>20</v>
      </c>
      <c r="F260" s="6">
        <v>1</v>
      </c>
      <c r="G260" s="6" t="s">
        <v>522</v>
      </c>
      <c r="I260" t="s">
        <v>685</v>
      </c>
      <c r="J260" t="s">
        <v>686</v>
      </c>
      <c r="L260" t="s">
        <v>48</v>
      </c>
      <c r="M260">
        <v>1</v>
      </c>
      <c r="P260" t="s">
        <v>1601</v>
      </c>
      <c r="Q260">
        <v>1</v>
      </c>
      <c r="R260" t="s">
        <v>1602</v>
      </c>
      <c r="S260">
        <v>0</v>
      </c>
      <c r="T260" t="s">
        <v>237</v>
      </c>
      <c r="U260" t="s">
        <v>60</v>
      </c>
      <c r="V260" t="s">
        <v>1603</v>
      </c>
      <c r="W260" t="s">
        <v>222</v>
      </c>
      <c r="Y260">
        <f t="shared" si="45"/>
        <v>0</v>
      </c>
      <c r="Z260">
        <f t="shared" si="46"/>
        <v>2</v>
      </c>
      <c r="AA260">
        <f t="shared" si="47"/>
        <v>0</v>
      </c>
      <c r="AB260">
        <f t="shared" si="48"/>
        <v>0</v>
      </c>
      <c r="AC260">
        <f t="shared" si="49"/>
        <v>2</v>
      </c>
      <c r="AD260">
        <f t="shared" si="50"/>
        <v>0</v>
      </c>
      <c r="AE260">
        <f t="shared" si="51"/>
        <v>0</v>
      </c>
      <c r="AF260">
        <f t="shared" si="52"/>
        <v>0</v>
      </c>
      <c r="AG260">
        <f t="shared" si="53"/>
        <v>0</v>
      </c>
      <c r="AH260" t="s">
        <v>570</v>
      </c>
      <c r="AI260" t="s">
        <v>607</v>
      </c>
      <c r="AJ260" t="s">
        <v>687</v>
      </c>
    </row>
    <row r="261" spans="1:36" x14ac:dyDescent="0.2">
      <c r="A261" t="s">
        <v>221</v>
      </c>
      <c r="B261" t="s">
        <v>387</v>
      </c>
      <c r="C261" t="s">
        <v>39</v>
      </c>
      <c r="D261" t="s">
        <v>680</v>
      </c>
      <c r="E261" s="6" t="s">
        <v>20</v>
      </c>
      <c r="F261" s="6">
        <v>1</v>
      </c>
      <c r="G261" s="6" t="s">
        <v>522</v>
      </c>
      <c r="I261" t="s">
        <v>685</v>
      </c>
      <c r="J261" t="s">
        <v>686</v>
      </c>
      <c r="L261" t="s">
        <v>48</v>
      </c>
      <c r="M261">
        <v>1</v>
      </c>
      <c r="P261" t="s">
        <v>1604</v>
      </c>
      <c r="Q261">
        <v>2</v>
      </c>
      <c r="R261" t="s">
        <v>1605</v>
      </c>
      <c r="S261">
        <v>1</v>
      </c>
      <c r="T261" t="s">
        <v>1464</v>
      </c>
      <c r="U261" t="s">
        <v>60</v>
      </c>
      <c r="V261" t="s">
        <v>1606</v>
      </c>
      <c r="W261" t="s">
        <v>222</v>
      </c>
      <c r="Y261">
        <f t="shared" si="45"/>
        <v>0</v>
      </c>
      <c r="Z261">
        <f t="shared" si="46"/>
        <v>0</v>
      </c>
      <c r="AA261">
        <f t="shared" si="47"/>
        <v>0</v>
      </c>
      <c r="AB261">
        <f t="shared" si="48"/>
        <v>0</v>
      </c>
      <c r="AC261">
        <f t="shared" si="49"/>
        <v>0</v>
      </c>
      <c r="AD261">
        <f t="shared" si="50"/>
        <v>0</v>
      </c>
      <c r="AE261">
        <f t="shared" si="51"/>
        <v>0</v>
      </c>
      <c r="AF261">
        <f t="shared" si="52"/>
        <v>0</v>
      </c>
      <c r="AG261">
        <f t="shared" si="53"/>
        <v>0</v>
      </c>
      <c r="AH261" t="s">
        <v>570</v>
      </c>
      <c r="AI261" t="s">
        <v>607</v>
      </c>
      <c r="AJ261" t="s">
        <v>687</v>
      </c>
    </row>
    <row r="262" spans="1:36" x14ac:dyDescent="0.2">
      <c r="A262" t="s">
        <v>221</v>
      </c>
      <c r="B262" t="s">
        <v>387</v>
      </c>
      <c r="C262" t="s">
        <v>39</v>
      </c>
      <c r="D262" t="s">
        <v>680</v>
      </c>
      <c r="E262" s="6" t="s">
        <v>20</v>
      </c>
      <c r="F262" s="6">
        <v>1</v>
      </c>
      <c r="G262" s="6" t="s">
        <v>522</v>
      </c>
      <c r="I262" t="s">
        <v>685</v>
      </c>
      <c r="J262" t="s">
        <v>686</v>
      </c>
      <c r="L262" t="s">
        <v>48</v>
      </c>
      <c r="M262">
        <v>1</v>
      </c>
      <c r="P262" t="s">
        <v>1607</v>
      </c>
      <c r="Q262">
        <v>3</v>
      </c>
      <c r="R262" t="s">
        <v>1608</v>
      </c>
      <c r="S262">
        <v>2</v>
      </c>
      <c r="T262" t="s">
        <v>174</v>
      </c>
      <c r="U262" t="s">
        <v>60</v>
      </c>
      <c r="V262" t="s">
        <v>1609</v>
      </c>
      <c r="W262" t="s">
        <v>222</v>
      </c>
      <c r="X262" t="s">
        <v>1610</v>
      </c>
      <c r="Y262">
        <f t="shared" si="45"/>
        <v>0</v>
      </c>
      <c r="Z262">
        <f t="shared" si="46"/>
        <v>1</v>
      </c>
      <c r="AA262">
        <f t="shared" si="47"/>
        <v>0</v>
      </c>
      <c r="AB262">
        <f t="shared" si="48"/>
        <v>0</v>
      </c>
      <c r="AC262">
        <f t="shared" si="49"/>
        <v>0</v>
      </c>
      <c r="AD262">
        <f t="shared" si="50"/>
        <v>0</v>
      </c>
      <c r="AE262">
        <f t="shared" si="51"/>
        <v>0</v>
      </c>
      <c r="AF262">
        <f t="shared" si="52"/>
        <v>0</v>
      </c>
      <c r="AG262">
        <f t="shared" si="53"/>
        <v>0</v>
      </c>
      <c r="AH262" t="s">
        <v>570</v>
      </c>
      <c r="AI262" t="s">
        <v>607</v>
      </c>
      <c r="AJ262" t="s">
        <v>687</v>
      </c>
    </row>
    <row r="263" spans="1:36" x14ac:dyDescent="0.2">
      <c r="A263" t="s">
        <v>221</v>
      </c>
      <c r="B263" t="s">
        <v>387</v>
      </c>
      <c r="C263" t="s">
        <v>39</v>
      </c>
      <c r="D263" t="s">
        <v>680</v>
      </c>
      <c r="E263" s="6" t="s">
        <v>20</v>
      </c>
      <c r="F263" s="6">
        <v>1</v>
      </c>
      <c r="G263" s="6" t="s">
        <v>522</v>
      </c>
      <c r="I263" t="s">
        <v>685</v>
      </c>
      <c r="J263" t="s">
        <v>686</v>
      </c>
      <c r="L263" t="s">
        <v>48</v>
      </c>
      <c r="M263">
        <v>1</v>
      </c>
      <c r="P263" t="s">
        <v>1611</v>
      </c>
      <c r="Q263">
        <v>4</v>
      </c>
      <c r="R263" t="s">
        <v>1612</v>
      </c>
      <c r="S263">
        <v>3</v>
      </c>
      <c r="U263" t="s">
        <v>60</v>
      </c>
      <c r="V263" t="s">
        <v>1613</v>
      </c>
      <c r="W263" t="s">
        <v>222</v>
      </c>
      <c r="X263" t="s">
        <v>1614</v>
      </c>
      <c r="Y263">
        <f t="shared" si="45"/>
        <v>0</v>
      </c>
      <c r="Z263">
        <f t="shared" si="46"/>
        <v>2</v>
      </c>
      <c r="AA263">
        <f t="shared" si="47"/>
        <v>0</v>
      </c>
      <c r="AB263">
        <f t="shared" si="48"/>
        <v>0</v>
      </c>
      <c r="AC263">
        <f t="shared" si="49"/>
        <v>0</v>
      </c>
      <c r="AD263">
        <f t="shared" si="50"/>
        <v>0</v>
      </c>
      <c r="AE263">
        <f t="shared" si="51"/>
        <v>0</v>
      </c>
      <c r="AF263">
        <f t="shared" si="52"/>
        <v>0</v>
      </c>
      <c r="AG263">
        <f t="shared" si="53"/>
        <v>0</v>
      </c>
      <c r="AH263" t="s">
        <v>570</v>
      </c>
      <c r="AI263" t="s">
        <v>607</v>
      </c>
      <c r="AJ263" t="s">
        <v>687</v>
      </c>
    </row>
    <row r="264" spans="1:36" x14ac:dyDescent="0.2">
      <c r="A264" t="s">
        <v>221</v>
      </c>
      <c r="B264" t="s">
        <v>388</v>
      </c>
      <c r="C264" t="s">
        <v>39</v>
      </c>
      <c r="D264" t="s">
        <v>680</v>
      </c>
      <c r="E264" s="6" t="s">
        <v>26</v>
      </c>
      <c r="F264" s="6">
        <v>1</v>
      </c>
      <c r="G264" s="6" t="s">
        <v>522</v>
      </c>
      <c r="I264" t="s">
        <v>688</v>
      </c>
      <c r="J264" t="s">
        <v>689</v>
      </c>
      <c r="L264" t="s">
        <v>50</v>
      </c>
      <c r="M264">
        <v>1.5</v>
      </c>
      <c r="N264">
        <v>0.5</v>
      </c>
      <c r="P264" t="s">
        <v>1615</v>
      </c>
      <c r="Q264">
        <v>1</v>
      </c>
      <c r="R264" t="s">
        <v>1616</v>
      </c>
      <c r="S264">
        <v>0</v>
      </c>
      <c r="T264" t="s">
        <v>237</v>
      </c>
      <c r="U264" t="s">
        <v>58</v>
      </c>
      <c r="V264" t="s">
        <v>1617</v>
      </c>
      <c r="W264" t="s">
        <v>222</v>
      </c>
      <c r="Y264">
        <f t="shared" si="45"/>
        <v>0</v>
      </c>
      <c r="Z264">
        <f t="shared" si="46"/>
        <v>3</v>
      </c>
      <c r="AA264">
        <f t="shared" si="47"/>
        <v>0</v>
      </c>
      <c r="AB264">
        <f t="shared" si="48"/>
        <v>0</v>
      </c>
      <c r="AC264">
        <f t="shared" si="49"/>
        <v>0</v>
      </c>
      <c r="AD264">
        <f t="shared" si="50"/>
        <v>0</v>
      </c>
      <c r="AE264">
        <f t="shared" si="51"/>
        <v>0</v>
      </c>
      <c r="AF264">
        <f t="shared" si="52"/>
        <v>0</v>
      </c>
      <c r="AG264">
        <f t="shared" si="53"/>
        <v>0</v>
      </c>
      <c r="AH264" t="s">
        <v>530</v>
      </c>
      <c r="AI264" t="s">
        <v>676</v>
      </c>
      <c r="AJ264" t="s">
        <v>690</v>
      </c>
    </row>
    <row r="265" spans="1:36" x14ac:dyDescent="0.2">
      <c r="A265" t="s">
        <v>221</v>
      </c>
      <c r="B265" t="s">
        <v>388</v>
      </c>
      <c r="C265" t="s">
        <v>39</v>
      </c>
      <c r="D265" t="s">
        <v>680</v>
      </c>
      <c r="E265" s="6" t="s">
        <v>26</v>
      </c>
      <c r="F265" s="6">
        <v>1</v>
      </c>
      <c r="G265" s="6" t="s">
        <v>522</v>
      </c>
      <c r="I265" t="s">
        <v>688</v>
      </c>
      <c r="J265" t="s">
        <v>689</v>
      </c>
      <c r="L265" t="s">
        <v>50</v>
      </c>
      <c r="M265">
        <v>1.5</v>
      </c>
      <c r="N265">
        <v>0.5</v>
      </c>
      <c r="P265" t="s">
        <v>1618</v>
      </c>
      <c r="Q265">
        <v>2</v>
      </c>
      <c r="R265" t="s">
        <v>1619</v>
      </c>
      <c r="S265">
        <v>1</v>
      </c>
      <c r="T265" t="s">
        <v>172</v>
      </c>
      <c r="U265" t="s">
        <v>61</v>
      </c>
      <c r="V265" t="s">
        <v>1620</v>
      </c>
      <c r="W265" t="s">
        <v>222</v>
      </c>
      <c r="X265" t="s">
        <v>1621</v>
      </c>
      <c r="Y265">
        <f t="shared" si="45"/>
        <v>0</v>
      </c>
      <c r="Z265">
        <f t="shared" si="46"/>
        <v>0</v>
      </c>
      <c r="AA265">
        <f t="shared" si="47"/>
        <v>0</v>
      </c>
      <c r="AB265">
        <f t="shared" si="48"/>
        <v>0</v>
      </c>
      <c r="AC265">
        <f t="shared" si="49"/>
        <v>0</v>
      </c>
      <c r="AD265">
        <f t="shared" si="50"/>
        <v>0</v>
      </c>
      <c r="AE265">
        <f t="shared" si="51"/>
        <v>0</v>
      </c>
      <c r="AF265">
        <f t="shared" si="52"/>
        <v>0</v>
      </c>
      <c r="AG265">
        <f t="shared" si="53"/>
        <v>0</v>
      </c>
      <c r="AH265" t="s">
        <v>530</v>
      </c>
      <c r="AI265" t="s">
        <v>676</v>
      </c>
      <c r="AJ265" t="s">
        <v>690</v>
      </c>
    </row>
    <row r="266" spans="1:36" x14ac:dyDescent="0.2">
      <c r="A266" t="s">
        <v>221</v>
      </c>
      <c r="B266" t="s">
        <v>388</v>
      </c>
      <c r="C266" t="s">
        <v>39</v>
      </c>
      <c r="D266" t="s">
        <v>680</v>
      </c>
      <c r="E266" s="6" t="s">
        <v>26</v>
      </c>
      <c r="F266" s="6">
        <v>1</v>
      </c>
      <c r="G266" s="6" t="s">
        <v>522</v>
      </c>
      <c r="I266" t="s">
        <v>688</v>
      </c>
      <c r="J266" t="s">
        <v>689</v>
      </c>
      <c r="L266" t="s">
        <v>50</v>
      </c>
      <c r="M266">
        <v>1.5</v>
      </c>
      <c r="N266">
        <v>0.5</v>
      </c>
      <c r="P266" t="s">
        <v>1622</v>
      </c>
      <c r="Q266">
        <v>3</v>
      </c>
      <c r="R266" t="s">
        <v>1623</v>
      </c>
      <c r="S266">
        <v>2</v>
      </c>
      <c r="U266" t="s">
        <v>58</v>
      </c>
      <c r="V266" t="s">
        <v>1624</v>
      </c>
      <c r="W266" t="s">
        <v>222</v>
      </c>
      <c r="X266" t="s">
        <v>1625</v>
      </c>
      <c r="Y266">
        <f t="shared" si="45"/>
        <v>0</v>
      </c>
      <c r="Z266">
        <f t="shared" si="46"/>
        <v>0</v>
      </c>
      <c r="AA266">
        <f t="shared" si="47"/>
        <v>0</v>
      </c>
      <c r="AB266">
        <f t="shared" si="48"/>
        <v>0</v>
      </c>
      <c r="AC266">
        <f t="shared" si="49"/>
        <v>1</v>
      </c>
      <c r="AD266">
        <f t="shared" si="50"/>
        <v>0</v>
      </c>
      <c r="AE266">
        <f t="shared" si="51"/>
        <v>0</v>
      </c>
      <c r="AF266">
        <f t="shared" si="52"/>
        <v>0</v>
      </c>
      <c r="AG266">
        <f t="shared" si="53"/>
        <v>0</v>
      </c>
      <c r="AH266" t="s">
        <v>530</v>
      </c>
      <c r="AI266" t="s">
        <v>676</v>
      </c>
      <c r="AJ266" t="s">
        <v>690</v>
      </c>
    </row>
    <row r="267" spans="1:36" x14ac:dyDescent="0.2">
      <c r="A267" t="s">
        <v>221</v>
      </c>
      <c r="B267" t="s">
        <v>388</v>
      </c>
      <c r="C267" t="s">
        <v>39</v>
      </c>
      <c r="D267" t="s">
        <v>680</v>
      </c>
      <c r="E267" s="6" t="s">
        <v>26</v>
      </c>
      <c r="F267" s="6">
        <v>1</v>
      </c>
      <c r="G267" s="6" t="s">
        <v>522</v>
      </c>
      <c r="I267" t="s">
        <v>688</v>
      </c>
      <c r="J267" t="s">
        <v>689</v>
      </c>
      <c r="L267" t="s">
        <v>50</v>
      </c>
      <c r="M267">
        <v>1.5</v>
      </c>
      <c r="N267">
        <v>0.5</v>
      </c>
      <c r="P267" t="s">
        <v>1626</v>
      </c>
      <c r="Q267">
        <v>4</v>
      </c>
      <c r="R267" t="s">
        <v>1627</v>
      </c>
      <c r="S267">
        <v>3</v>
      </c>
      <c r="U267" t="s">
        <v>58</v>
      </c>
      <c r="V267" t="s">
        <v>1628</v>
      </c>
      <c r="W267" t="s">
        <v>222</v>
      </c>
      <c r="X267" t="s">
        <v>1629</v>
      </c>
      <c r="Y267">
        <f t="shared" si="45"/>
        <v>0</v>
      </c>
      <c r="Z267">
        <f t="shared" si="46"/>
        <v>0</v>
      </c>
      <c r="AA267">
        <f t="shared" si="47"/>
        <v>0</v>
      </c>
      <c r="AB267">
        <f t="shared" si="48"/>
        <v>0</v>
      </c>
      <c r="AC267">
        <f t="shared" si="49"/>
        <v>2</v>
      </c>
      <c r="AD267">
        <f t="shared" si="50"/>
        <v>0</v>
      </c>
      <c r="AE267">
        <f t="shared" si="51"/>
        <v>0</v>
      </c>
      <c r="AF267">
        <f t="shared" si="52"/>
        <v>0</v>
      </c>
      <c r="AG267">
        <f t="shared" si="53"/>
        <v>0</v>
      </c>
      <c r="AH267" t="s">
        <v>530</v>
      </c>
      <c r="AI267" t="s">
        <v>676</v>
      </c>
      <c r="AJ267" t="s">
        <v>690</v>
      </c>
    </row>
    <row r="268" spans="1:36" x14ac:dyDescent="0.2">
      <c r="A268" t="s">
        <v>221</v>
      </c>
      <c r="B268" t="s">
        <v>388</v>
      </c>
      <c r="C268" t="s">
        <v>39</v>
      </c>
      <c r="D268" t="s">
        <v>680</v>
      </c>
      <c r="E268" s="6" t="s">
        <v>26</v>
      </c>
      <c r="F268" s="6">
        <v>1</v>
      </c>
      <c r="G268" s="6" t="s">
        <v>522</v>
      </c>
      <c r="I268" t="s">
        <v>688</v>
      </c>
      <c r="J268" t="s">
        <v>689</v>
      </c>
      <c r="L268" t="s">
        <v>50</v>
      </c>
      <c r="M268">
        <v>1.5</v>
      </c>
      <c r="N268">
        <v>0.5</v>
      </c>
      <c r="P268" t="s">
        <v>1630</v>
      </c>
      <c r="Q268">
        <v>5</v>
      </c>
      <c r="R268" t="s">
        <v>1631</v>
      </c>
      <c r="S268">
        <v>4</v>
      </c>
      <c r="U268" t="s">
        <v>58</v>
      </c>
      <c r="V268" t="s">
        <v>1530</v>
      </c>
      <c r="W268" t="s">
        <v>222</v>
      </c>
      <c r="X268" t="s">
        <v>1632</v>
      </c>
      <c r="Y268">
        <f t="shared" si="45"/>
        <v>0</v>
      </c>
      <c r="Z268">
        <f t="shared" si="46"/>
        <v>0</v>
      </c>
      <c r="AA268">
        <f t="shared" si="47"/>
        <v>0</v>
      </c>
      <c r="AB268">
        <f t="shared" si="48"/>
        <v>0</v>
      </c>
      <c r="AC268">
        <f t="shared" si="49"/>
        <v>3</v>
      </c>
      <c r="AD268">
        <f t="shared" si="50"/>
        <v>0</v>
      </c>
      <c r="AE268">
        <f t="shared" si="51"/>
        <v>0</v>
      </c>
      <c r="AF268">
        <f t="shared" si="52"/>
        <v>0</v>
      </c>
      <c r="AG268">
        <f t="shared" si="53"/>
        <v>0</v>
      </c>
      <c r="AH268" t="s">
        <v>530</v>
      </c>
      <c r="AI268" t="s">
        <v>676</v>
      </c>
      <c r="AJ268" t="s">
        <v>690</v>
      </c>
    </row>
    <row r="269" spans="1:36" x14ac:dyDescent="0.2">
      <c r="A269" t="s">
        <v>221</v>
      </c>
      <c r="B269" t="s">
        <v>389</v>
      </c>
      <c r="C269" t="s">
        <v>41</v>
      </c>
      <c r="D269" t="s">
        <v>680</v>
      </c>
      <c r="E269" s="6" t="s">
        <v>26</v>
      </c>
      <c r="F269" s="6">
        <v>0.7</v>
      </c>
      <c r="G269" s="6" t="s">
        <v>32</v>
      </c>
      <c r="H269" s="6">
        <v>0.3</v>
      </c>
      <c r="I269" t="s">
        <v>691</v>
      </c>
      <c r="J269" t="s">
        <v>692</v>
      </c>
      <c r="L269" t="s">
        <v>50</v>
      </c>
      <c r="M269">
        <v>1</v>
      </c>
      <c r="P269" t="s">
        <v>1633</v>
      </c>
      <c r="Q269">
        <v>1</v>
      </c>
      <c r="R269" t="s">
        <v>1634</v>
      </c>
      <c r="S269">
        <v>0</v>
      </c>
      <c r="T269" t="s">
        <v>1635</v>
      </c>
      <c r="U269" t="s">
        <v>58</v>
      </c>
      <c r="V269" t="s">
        <v>1636</v>
      </c>
      <c r="W269" t="s">
        <v>222</v>
      </c>
      <c r="Y269">
        <f t="shared" si="45"/>
        <v>0</v>
      </c>
      <c r="Z269">
        <f t="shared" si="46"/>
        <v>0</v>
      </c>
      <c r="AA269">
        <f t="shared" si="47"/>
        <v>0</v>
      </c>
      <c r="AB269">
        <f t="shared" si="48"/>
        <v>0</v>
      </c>
      <c r="AC269">
        <f t="shared" si="49"/>
        <v>4</v>
      </c>
      <c r="AD269">
        <f t="shared" si="50"/>
        <v>0</v>
      </c>
      <c r="AE269">
        <f t="shared" si="51"/>
        <v>0</v>
      </c>
      <c r="AF269">
        <f t="shared" si="52"/>
        <v>0</v>
      </c>
      <c r="AG269">
        <f t="shared" si="53"/>
        <v>0</v>
      </c>
      <c r="AH269" t="s">
        <v>599</v>
      </c>
      <c r="AI269" t="s">
        <v>600</v>
      </c>
      <c r="AJ269" t="s">
        <v>601</v>
      </c>
    </row>
    <row r="270" spans="1:36" x14ac:dyDescent="0.2">
      <c r="A270" t="s">
        <v>221</v>
      </c>
      <c r="B270" t="s">
        <v>389</v>
      </c>
      <c r="C270" t="s">
        <v>41</v>
      </c>
      <c r="D270" t="s">
        <v>680</v>
      </c>
      <c r="E270" s="6" t="s">
        <v>26</v>
      </c>
      <c r="F270" s="6">
        <v>0.7</v>
      </c>
      <c r="G270" s="6" t="s">
        <v>32</v>
      </c>
      <c r="H270" s="6">
        <v>0.3</v>
      </c>
      <c r="I270" t="s">
        <v>691</v>
      </c>
      <c r="J270" t="s">
        <v>692</v>
      </c>
      <c r="L270" t="s">
        <v>50</v>
      </c>
      <c r="M270">
        <v>1</v>
      </c>
      <c r="P270" t="s">
        <v>1637</v>
      </c>
      <c r="Q270">
        <v>2</v>
      </c>
      <c r="R270" t="s">
        <v>1638</v>
      </c>
      <c r="S270">
        <v>1</v>
      </c>
      <c r="T270" t="s">
        <v>247</v>
      </c>
      <c r="U270" t="s">
        <v>58</v>
      </c>
      <c r="V270" t="s">
        <v>1639</v>
      </c>
      <c r="W270" t="s">
        <v>222</v>
      </c>
      <c r="Y270">
        <f t="shared" si="45"/>
        <v>0</v>
      </c>
      <c r="Z270">
        <f t="shared" si="46"/>
        <v>0</v>
      </c>
      <c r="AA270">
        <f t="shared" si="47"/>
        <v>0</v>
      </c>
      <c r="AB270">
        <f t="shared" si="48"/>
        <v>0</v>
      </c>
      <c r="AC270">
        <f t="shared" si="49"/>
        <v>0</v>
      </c>
      <c r="AD270">
        <f t="shared" si="50"/>
        <v>0</v>
      </c>
      <c r="AE270">
        <f t="shared" si="51"/>
        <v>0</v>
      </c>
      <c r="AF270">
        <f t="shared" si="52"/>
        <v>0</v>
      </c>
      <c r="AG270">
        <f t="shared" si="53"/>
        <v>0</v>
      </c>
      <c r="AH270" t="s">
        <v>599</v>
      </c>
      <c r="AI270" t="s">
        <v>600</v>
      </c>
      <c r="AJ270" t="s">
        <v>601</v>
      </c>
    </row>
    <row r="271" spans="1:36" x14ac:dyDescent="0.2">
      <c r="A271" t="s">
        <v>221</v>
      </c>
      <c r="B271" t="s">
        <v>389</v>
      </c>
      <c r="C271" t="s">
        <v>41</v>
      </c>
      <c r="D271" t="s">
        <v>680</v>
      </c>
      <c r="E271" s="6" t="s">
        <v>26</v>
      </c>
      <c r="F271" s="6">
        <v>0.7</v>
      </c>
      <c r="G271" s="6" t="s">
        <v>32</v>
      </c>
      <c r="H271" s="6">
        <v>0.3</v>
      </c>
      <c r="I271" t="s">
        <v>691</v>
      </c>
      <c r="J271" t="s">
        <v>692</v>
      </c>
      <c r="L271" t="s">
        <v>50</v>
      </c>
      <c r="M271">
        <v>1</v>
      </c>
      <c r="P271" t="s">
        <v>1640</v>
      </c>
      <c r="Q271">
        <v>3</v>
      </c>
      <c r="R271" t="s">
        <v>1641</v>
      </c>
      <c r="S271">
        <v>2</v>
      </c>
      <c r="T271" t="s">
        <v>172</v>
      </c>
      <c r="U271" t="s">
        <v>61</v>
      </c>
      <c r="V271" t="s">
        <v>1642</v>
      </c>
      <c r="W271" t="s">
        <v>222</v>
      </c>
      <c r="Y271">
        <f t="shared" si="45"/>
        <v>0</v>
      </c>
      <c r="Z271">
        <f t="shared" si="46"/>
        <v>0</v>
      </c>
      <c r="AA271">
        <f t="shared" si="47"/>
        <v>0</v>
      </c>
      <c r="AB271">
        <f t="shared" si="48"/>
        <v>0</v>
      </c>
      <c r="AC271">
        <f t="shared" si="49"/>
        <v>0.7</v>
      </c>
      <c r="AD271">
        <f t="shared" si="50"/>
        <v>0</v>
      </c>
      <c r="AE271">
        <f t="shared" si="51"/>
        <v>0</v>
      </c>
      <c r="AF271">
        <f t="shared" si="52"/>
        <v>0.3</v>
      </c>
      <c r="AG271">
        <f t="shared" si="53"/>
        <v>0</v>
      </c>
      <c r="AH271" t="s">
        <v>599</v>
      </c>
      <c r="AI271" t="s">
        <v>600</v>
      </c>
      <c r="AJ271" t="s">
        <v>601</v>
      </c>
    </row>
    <row r="272" spans="1:36" x14ac:dyDescent="0.2">
      <c r="A272" t="s">
        <v>221</v>
      </c>
      <c r="B272" t="s">
        <v>389</v>
      </c>
      <c r="C272" t="s">
        <v>41</v>
      </c>
      <c r="D272" t="s">
        <v>680</v>
      </c>
      <c r="E272" s="6" t="s">
        <v>26</v>
      </c>
      <c r="F272" s="6">
        <v>0.7</v>
      </c>
      <c r="G272" s="6" t="s">
        <v>32</v>
      </c>
      <c r="H272" s="6">
        <v>0.3</v>
      </c>
      <c r="I272" t="s">
        <v>691</v>
      </c>
      <c r="J272" t="s">
        <v>692</v>
      </c>
      <c r="L272" t="s">
        <v>50</v>
      </c>
      <c r="M272">
        <v>1</v>
      </c>
      <c r="P272" t="s">
        <v>1643</v>
      </c>
      <c r="Q272">
        <v>4</v>
      </c>
      <c r="R272" t="s">
        <v>1644</v>
      </c>
      <c r="S272">
        <v>3</v>
      </c>
      <c r="U272" t="s">
        <v>58</v>
      </c>
      <c r="V272" t="s">
        <v>1645</v>
      </c>
      <c r="W272" t="s">
        <v>222</v>
      </c>
      <c r="X272" t="s">
        <v>1646</v>
      </c>
      <c r="Y272">
        <f t="shared" si="45"/>
        <v>0</v>
      </c>
      <c r="Z272">
        <f t="shared" si="46"/>
        <v>0</v>
      </c>
      <c r="AA272">
        <f t="shared" si="47"/>
        <v>0</v>
      </c>
      <c r="AB272">
        <f t="shared" si="48"/>
        <v>0</v>
      </c>
      <c r="AC272">
        <f t="shared" si="49"/>
        <v>1.4</v>
      </c>
      <c r="AD272">
        <f t="shared" si="50"/>
        <v>0</v>
      </c>
      <c r="AE272">
        <f t="shared" si="51"/>
        <v>0</v>
      </c>
      <c r="AF272">
        <f t="shared" si="52"/>
        <v>0.6</v>
      </c>
      <c r="AG272">
        <f t="shared" si="53"/>
        <v>0</v>
      </c>
      <c r="AH272" t="s">
        <v>599</v>
      </c>
      <c r="AI272" t="s">
        <v>600</v>
      </c>
      <c r="AJ272" t="s">
        <v>601</v>
      </c>
    </row>
    <row r="273" spans="1:36" x14ac:dyDescent="0.2">
      <c r="A273" t="s">
        <v>221</v>
      </c>
      <c r="B273" t="s">
        <v>389</v>
      </c>
      <c r="C273" t="s">
        <v>41</v>
      </c>
      <c r="D273" t="s">
        <v>680</v>
      </c>
      <c r="E273" s="6" t="s">
        <v>26</v>
      </c>
      <c r="F273" s="6">
        <v>0.7</v>
      </c>
      <c r="G273" s="6" t="s">
        <v>32</v>
      </c>
      <c r="H273" s="6">
        <v>0.3</v>
      </c>
      <c r="I273" t="s">
        <v>691</v>
      </c>
      <c r="J273" t="s">
        <v>692</v>
      </c>
      <c r="L273" t="s">
        <v>50</v>
      </c>
      <c r="M273">
        <v>1</v>
      </c>
      <c r="P273" t="s">
        <v>1647</v>
      </c>
      <c r="Q273">
        <v>5</v>
      </c>
      <c r="R273" t="s">
        <v>1648</v>
      </c>
      <c r="S273">
        <v>4</v>
      </c>
      <c r="U273" t="s">
        <v>58</v>
      </c>
      <c r="V273" t="s">
        <v>1530</v>
      </c>
      <c r="W273" t="s">
        <v>222</v>
      </c>
      <c r="X273" t="s">
        <v>1649</v>
      </c>
      <c r="Y273">
        <f t="shared" si="45"/>
        <v>0</v>
      </c>
      <c r="Z273">
        <f t="shared" si="46"/>
        <v>0</v>
      </c>
      <c r="AA273">
        <f t="shared" si="47"/>
        <v>0</v>
      </c>
      <c r="AB273">
        <f t="shared" si="48"/>
        <v>0</v>
      </c>
      <c r="AC273">
        <f t="shared" si="49"/>
        <v>2.0999999999999996</v>
      </c>
      <c r="AD273">
        <f t="shared" si="50"/>
        <v>0</v>
      </c>
      <c r="AE273">
        <f t="shared" si="51"/>
        <v>0</v>
      </c>
      <c r="AF273">
        <f t="shared" si="52"/>
        <v>0.89999999999999991</v>
      </c>
      <c r="AG273">
        <f t="shared" si="53"/>
        <v>0</v>
      </c>
      <c r="AH273" t="s">
        <v>599</v>
      </c>
      <c r="AI273" t="s">
        <v>600</v>
      </c>
      <c r="AJ273" t="s">
        <v>601</v>
      </c>
    </row>
    <row r="274" spans="1:36" x14ac:dyDescent="0.2">
      <c r="A274" t="s">
        <v>221</v>
      </c>
      <c r="B274" t="s">
        <v>390</v>
      </c>
      <c r="C274" t="s">
        <v>37</v>
      </c>
      <c r="D274" t="s">
        <v>693</v>
      </c>
      <c r="E274" s="6" t="s">
        <v>20</v>
      </c>
      <c r="F274" s="6">
        <v>0.8</v>
      </c>
      <c r="G274" s="6" t="s">
        <v>30</v>
      </c>
      <c r="H274" s="6">
        <v>0.2</v>
      </c>
      <c r="I274" t="s">
        <v>694</v>
      </c>
      <c r="J274" t="s">
        <v>695</v>
      </c>
      <c r="L274" t="s">
        <v>48</v>
      </c>
      <c r="M274">
        <v>1</v>
      </c>
      <c r="P274" t="s">
        <v>1650</v>
      </c>
      <c r="Q274">
        <v>1</v>
      </c>
      <c r="R274" t="s">
        <v>1438</v>
      </c>
      <c r="S274">
        <v>0</v>
      </c>
      <c r="T274" t="s">
        <v>251</v>
      </c>
      <c r="U274" t="s">
        <v>60</v>
      </c>
      <c r="V274" t="s">
        <v>1651</v>
      </c>
      <c r="W274" t="s">
        <v>222</v>
      </c>
      <c r="Y274">
        <f t="shared" si="45"/>
        <v>0</v>
      </c>
      <c r="Z274">
        <f t="shared" si="46"/>
        <v>0</v>
      </c>
      <c r="AA274">
        <f t="shared" si="47"/>
        <v>0</v>
      </c>
      <c r="AB274">
        <f t="shared" si="48"/>
        <v>0</v>
      </c>
      <c r="AC274">
        <f t="shared" si="49"/>
        <v>2.8</v>
      </c>
      <c r="AD274">
        <f t="shared" si="50"/>
        <v>0</v>
      </c>
      <c r="AE274">
        <f t="shared" si="51"/>
        <v>0</v>
      </c>
      <c r="AF274">
        <f t="shared" si="52"/>
        <v>1.2</v>
      </c>
      <c r="AG274">
        <f t="shared" si="53"/>
        <v>0</v>
      </c>
      <c r="AH274" t="s">
        <v>530</v>
      </c>
      <c r="AI274" t="s">
        <v>531</v>
      </c>
      <c r="AJ274" t="s">
        <v>532</v>
      </c>
    </row>
    <row r="275" spans="1:36" x14ac:dyDescent="0.2">
      <c r="A275" t="s">
        <v>221</v>
      </c>
      <c r="B275" t="s">
        <v>390</v>
      </c>
      <c r="C275" t="s">
        <v>37</v>
      </c>
      <c r="D275" t="s">
        <v>693</v>
      </c>
      <c r="E275" s="6" t="s">
        <v>20</v>
      </c>
      <c r="F275" s="6">
        <v>0.8</v>
      </c>
      <c r="G275" s="6" t="s">
        <v>30</v>
      </c>
      <c r="H275" s="6">
        <v>0.2</v>
      </c>
      <c r="I275" t="s">
        <v>694</v>
      </c>
      <c r="J275" t="s">
        <v>695</v>
      </c>
      <c r="L275" t="s">
        <v>48</v>
      </c>
      <c r="M275">
        <v>1</v>
      </c>
      <c r="P275" t="s">
        <v>1652</v>
      </c>
      <c r="Q275">
        <v>2</v>
      </c>
      <c r="R275" t="s">
        <v>1653</v>
      </c>
      <c r="S275">
        <v>0</v>
      </c>
      <c r="T275" t="s">
        <v>1654</v>
      </c>
      <c r="U275" t="s">
        <v>57</v>
      </c>
      <c r="V275" t="s">
        <v>1655</v>
      </c>
      <c r="W275" t="s">
        <v>222</v>
      </c>
      <c r="Y275">
        <f t="shared" si="45"/>
        <v>0</v>
      </c>
      <c r="Z275">
        <f t="shared" si="46"/>
        <v>0</v>
      </c>
      <c r="AA275">
        <f t="shared" si="47"/>
        <v>0</v>
      </c>
      <c r="AB275">
        <f t="shared" si="48"/>
        <v>0</v>
      </c>
      <c r="AC275">
        <f t="shared" si="49"/>
        <v>0</v>
      </c>
      <c r="AD275">
        <f t="shared" si="50"/>
        <v>0</v>
      </c>
      <c r="AE275">
        <f t="shared" si="51"/>
        <v>0</v>
      </c>
      <c r="AF275">
        <f t="shared" si="52"/>
        <v>0</v>
      </c>
      <c r="AG275">
        <f t="shared" si="53"/>
        <v>0</v>
      </c>
      <c r="AH275" t="s">
        <v>530</v>
      </c>
      <c r="AI275" t="s">
        <v>531</v>
      </c>
      <c r="AJ275" t="s">
        <v>532</v>
      </c>
    </row>
    <row r="276" spans="1:36" x14ac:dyDescent="0.2">
      <c r="A276" t="s">
        <v>221</v>
      </c>
      <c r="B276" t="s">
        <v>390</v>
      </c>
      <c r="C276" t="s">
        <v>37</v>
      </c>
      <c r="D276" t="s">
        <v>693</v>
      </c>
      <c r="E276" s="6" t="s">
        <v>20</v>
      </c>
      <c r="F276" s="6">
        <v>0.8</v>
      </c>
      <c r="G276" s="6" t="s">
        <v>30</v>
      </c>
      <c r="H276" s="6">
        <v>0.2</v>
      </c>
      <c r="I276" t="s">
        <v>694</v>
      </c>
      <c r="J276" t="s">
        <v>695</v>
      </c>
      <c r="L276" t="s">
        <v>48</v>
      </c>
      <c r="M276">
        <v>1</v>
      </c>
      <c r="P276" t="s">
        <v>1656</v>
      </c>
      <c r="Q276">
        <v>3</v>
      </c>
      <c r="R276" t="s">
        <v>1657</v>
      </c>
      <c r="S276">
        <v>1</v>
      </c>
      <c r="T276" t="s">
        <v>174</v>
      </c>
      <c r="U276" t="s">
        <v>60</v>
      </c>
      <c r="V276" t="s">
        <v>1658</v>
      </c>
      <c r="W276" t="s">
        <v>222</v>
      </c>
      <c r="Y276">
        <f t="shared" si="45"/>
        <v>0</v>
      </c>
      <c r="Z276">
        <f t="shared" si="46"/>
        <v>0</v>
      </c>
      <c r="AA276">
        <f t="shared" si="47"/>
        <v>0</v>
      </c>
      <c r="AB276">
        <f t="shared" si="48"/>
        <v>0</v>
      </c>
      <c r="AC276">
        <f t="shared" si="49"/>
        <v>0</v>
      </c>
      <c r="AD276">
        <f t="shared" si="50"/>
        <v>0</v>
      </c>
      <c r="AE276">
        <f t="shared" si="51"/>
        <v>0</v>
      </c>
      <c r="AF276">
        <f t="shared" si="52"/>
        <v>0</v>
      </c>
      <c r="AG276">
        <f t="shared" si="53"/>
        <v>0</v>
      </c>
      <c r="AH276" t="s">
        <v>530</v>
      </c>
      <c r="AI276" t="s">
        <v>531</v>
      </c>
      <c r="AJ276" t="s">
        <v>532</v>
      </c>
    </row>
    <row r="277" spans="1:36" x14ac:dyDescent="0.2">
      <c r="A277" t="s">
        <v>221</v>
      </c>
      <c r="B277" t="s">
        <v>390</v>
      </c>
      <c r="C277" t="s">
        <v>37</v>
      </c>
      <c r="D277" t="s">
        <v>693</v>
      </c>
      <c r="E277" s="6" t="s">
        <v>20</v>
      </c>
      <c r="F277" s="6">
        <v>0.8</v>
      </c>
      <c r="G277" s="6" t="s">
        <v>30</v>
      </c>
      <c r="H277" s="6">
        <v>0.2</v>
      </c>
      <c r="I277" t="s">
        <v>694</v>
      </c>
      <c r="J277" t="s">
        <v>695</v>
      </c>
      <c r="L277" t="s">
        <v>48</v>
      </c>
      <c r="M277">
        <v>1</v>
      </c>
      <c r="P277" t="s">
        <v>1659</v>
      </c>
      <c r="Q277">
        <v>4</v>
      </c>
      <c r="R277" t="s">
        <v>1660</v>
      </c>
      <c r="S277">
        <v>2</v>
      </c>
      <c r="U277" t="s">
        <v>60</v>
      </c>
      <c r="V277" t="s">
        <v>1573</v>
      </c>
      <c r="W277" t="s">
        <v>222</v>
      </c>
      <c r="X277" t="s">
        <v>1661</v>
      </c>
      <c r="Y277">
        <f t="shared" si="45"/>
        <v>0</v>
      </c>
      <c r="Z277">
        <f t="shared" si="46"/>
        <v>0.8</v>
      </c>
      <c r="AA277">
        <f t="shared" si="47"/>
        <v>0</v>
      </c>
      <c r="AB277">
        <f t="shared" si="48"/>
        <v>0</v>
      </c>
      <c r="AC277">
        <f t="shared" si="49"/>
        <v>0</v>
      </c>
      <c r="AD277">
        <f t="shared" si="50"/>
        <v>0</v>
      </c>
      <c r="AE277">
        <f t="shared" si="51"/>
        <v>0.2</v>
      </c>
      <c r="AF277">
        <f t="shared" si="52"/>
        <v>0</v>
      </c>
      <c r="AG277">
        <f t="shared" si="53"/>
        <v>0</v>
      </c>
      <c r="AH277" t="s">
        <v>530</v>
      </c>
      <c r="AI277" t="s">
        <v>531</v>
      </c>
      <c r="AJ277" t="s">
        <v>532</v>
      </c>
    </row>
    <row r="278" spans="1:36" x14ac:dyDescent="0.2">
      <c r="A278" t="s">
        <v>221</v>
      </c>
      <c r="B278" t="s">
        <v>390</v>
      </c>
      <c r="C278" t="s">
        <v>37</v>
      </c>
      <c r="D278" t="s">
        <v>693</v>
      </c>
      <c r="E278" s="6" t="s">
        <v>20</v>
      </c>
      <c r="F278" s="6">
        <v>0.8</v>
      </c>
      <c r="G278" s="6" t="s">
        <v>30</v>
      </c>
      <c r="H278" s="6">
        <v>0.2</v>
      </c>
      <c r="I278" t="s">
        <v>694</v>
      </c>
      <c r="J278" t="s">
        <v>695</v>
      </c>
      <c r="L278" t="s">
        <v>48</v>
      </c>
      <c r="M278">
        <v>1</v>
      </c>
      <c r="P278" t="s">
        <v>1662</v>
      </c>
      <c r="Q278">
        <v>5</v>
      </c>
      <c r="R278" t="s">
        <v>1663</v>
      </c>
      <c r="S278">
        <v>3</v>
      </c>
      <c r="U278" t="s">
        <v>60</v>
      </c>
      <c r="V278" t="s">
        <v>1559</v>
      </c>
      <c r="W278" t="s">
        <v>222</v>
      </c>
      <c r="X278" t="s">
        <v>1664</v>
      </c>
      <c r="Y278">
        <f t="shared" si="45"/>
        <v>0</v>
      </c>
      <c r="Z278">
        <f t="shared" si="46"/>
        <v>1.6</v>
      </c>
      <c r="AA278">
        <f t="shared" si="47"/>
        <v>0</v>
      </c>
      <c r="AB278">
        <f t="shared" si="48"/>
        <v>0</v>
      </c>
      <c r="AC278">
        <f t="shared" si="49"/>
        <v>0</v>
      </c>
      <c r="AD278">
        <f t="shared" si="50"/>
        <v>0</v>
      </c>
      <c r="AE278">
        <f t="shared" si="51"/>
        <v>0.4</v>
      </c>
      <c r="AF278">
        <f t="shared" si="52"/>
        <v>0</v>
      </c>
      <c r="AG278">
        <f t="shared" si="53"/>
        <v>0</v>
      </c>
      <c r="AH278" t="s">
        <v>530</v>
      </c>
      <c r="AI278" t="s">
        <v>531</v>
      </c>
      <c r="AJ278" t="s">
        <v>532</v>
      </c>
    </row>
    <row r="279" spans="1:36" x14ac:dyDescent="0.2">
      <c r="A279" t="s">
        <v>221</v>
      </c>
      <c r="B279" t="s">
        <v>390</v>
      </c>
      <c r="C279" t="s">
        <v>37</v>
      </c>
      <c r="D279" t="s">
        <v>693</v>
      </c>
      <c r="E279" s="6" t="s">
        <v>20</v>
      </c>
      <c r="F279" s="6">
        <v>0.8</v>
      </c>
      <c r="G279" s="6" t="s">
        <v>30</v>
      </c>
      <c r="H279" s="6">
        <v>0.2</v>
      </c>
      <c r="I279" t="s">
        <v>694</v>
      </c>
      <c r="J279" t="s">
        <v>695</v>
      </c>
      <c r="L279" t="s">
        <v>48</v>
      </c>
      <c r="M279">
        <v>1</v>
      </c>
      <c r="P279" t="s">
        <v>1665</v>
      </c>
      <c r="Q279">
        <v>6</v>
      </c>
      <c r="R279" t="s">
        <v>1666</v>
      </c>
      <c r="S279">
        <v>4</v>
      </c>
      <c r="U279" t="s">
        <v>60</v>
      </c>
      <c r="V279" t="s">
        <v>1530</v>
      </c>
      <c r="W279" t="s">
        <v>222</v>
      </c>
      <c r="X279" t="s">
        <v>1667</v>
      </c>
      <c r="Y279">
        <f t="shared" si="45"/>
        <v>0</v>
      </c>
      <c r="Z279">
        <f t="shared" si="46"/>
        <v>2.4000000000000004</v>
      </c>
      <c r="AA279">
        <f t="shared" si="47"/>
        <v>0</v>
      </c>
      <c r="AB279">
        <f t="shared" si="48"/>
        <v>0</v>
      </c>
      <c r="AC279">
        <f t="shared" si="49"/>
        <v>0</v>
      </c>
      <c r="AD279">
        <f t="shared" si="50"/>
        <v>0</v>
      </c>
      <c r="AE279">
        <f t="shared" si="51"/>
        <v>0.60000000000000009</v>
      </c>
      <c r="AF279">
        <f t="shared" si="52"/>
        <v>0</v>
      </c>
      <c r="AG279">
        <f t="shared" si="53"/>
        <v>0</v>
      </c>
      <c r="AH279" t="s">
        <v>530</v>
      </c>
      <c r="AI279" t="s">
        <v>531</v>
      </c>
      <c r="AJ279" t="s">
        <v>532</v>
      </c>
    </row>
    <row r="280" spans="1:36" x14ac:dyDescent="0.2">
      <c r="A280" t="s">
        <v>221</v>
      </c>
      <c r="B280" t="s">
        <v>391</v>
      </c>
      <c r="C280" t="s">
        <v>39</v>
      </c>
      <c r="D280" t="s">
        <v>693</v>
      </c>
      <c r="E280" s="6" t="s">
        <v>20</v>
      </c>
      <c r="F280" s="6">
        <v>1</v>
      </c>
      <c r="G280" s="6" t="s">
        <v>522</v>
      </c>
      <c r="I280" t="s">
        <v>696</v>
      </c>
      <c r="J280" t="s">
        <v>697</v>
      </c>
      <c r="L280" t="s">
        <v>48</v>
      </c>
      <c r="M280">
        <v>1</v>
      </c>
      <c r="P280" t="s">
        <v>1668</v>
      </c>
      <c r="Q280">
        <v>1</v>
      </c>
      <c r="R280" t="s">
        <v>1669</v>
      </c>
      <c r="S280">
        <v>0</v>
      </c>
      <c r="T280" t="s">
        <v>236</v>
      </c>
      <c r="U280" t="s">
        <v>57</v>
      </c>
      <c r="V280" t="s">
        <v>1670</v>
      </c>
      <c r="W280" t="s">
        <v>222</v>
      </c>
      <c r="Y280">
        <f t="shared" ref="Y280:Y343" si="54">(S279*IF(E279="G",F279,0))+(S279*IF(G279="G",H279,0))</f>
        <v>0</v>
      </c>
      <c r="Z280">
        <f t="shared" ref="Z280:Z343" si="55">(S279*IF(E279="E",F279,0))+(S279*IF(G279="E",H279,0))</f>
        <v>3.2</v>
      </c>
      <c r="AA280">
        <f t="shared" ref="AA280:AA343" si="56">(S279*IF(E279="T",F279,0))+(S279*IF(G279="T",H279,0))</f>
        <v>0</v>
      </c>
      <c r="AB280">
        <f t="shared" ref="AB280:AB343" si="57">(S279*IF(E279="L",F279,0))+(S279*IF(G279="L",H279,0))</f>
        <v>0</v>
      </c>
      <c r="AC280">
        <f t="shared" ref="AC280:AC343" si="58">(S279*IF(E279="H",F279,0))+(S279*IF(G279="H",H279,0))</f>
        <v>0</v>
      </c>
      <c r="AD280">
        <f t="shared" ref="AD280:AD343" si="59">(S279*IF(E279="V",F279,0))+(S279*IF(G279="V",H279,0))</f>
        <v>0</v>
      </c>
      <c r="AE280">
        <f t="shared" ref="AE280:AE343" si="60">(S279*IF(E279="R",F279,0))+(S279*IF(G279="R",H279,0))</f>
        <v>0.8</v>
      </c>
      <c r="AF280">
        <f t="shared" ref="AF280:AF343" si="61">(S279*IF(E279="F",F279,0))+(S279*IF(G279="F",H279,0))</f>
        <v>0</v>
      </c>
      <c r="AG280">
        <f t="shared" ref="AG280:AG343" si="62">(S279*IF(E279="W",F279,0))+(S279*IF(G279="W",H279,0))</f>
        <v>0</v>
      </c>
      <c r="AH280" t="s">
        <v>530</v>
      </c>
      <c r="AI280" t="s">
        <v>531</v>
      </c>
      <c r="AJ280" t="s">
        <v>532</v>
      </c>
    </row>
    <row r="281" spans="1:36" x14ac:dyDescent="0.2">
      <c r="A281" t="s">
        <v>221</v>
      </c>
      <c r="B281" t="s">
        <v>391</v>
      </c>
      <c r="C281" t="s">
        <v>39</v>
      </c>
      <c r="D281" t="s">
        <v>693</v>
      </c>
      <c r="E281" s="6" t="s">
        <v>20</v>
      </c>
      <c r="F281" s="6">
        <v>1</v>
      </c>
      <c r="G281" s="6" t="s">
        <v>522</v>
      </c>
      <c r="I281" t="s">
        <v>696</v>
      </c>
      <c r="J281" t="s">
        <v>697</v>
      </c>
      <c r="L281" t="s">
        <v>48</v>
      </c>
      <c r="M281">
        <v>1</v>
      </c>
      <c r="P281" t="s">
        <v>1671</v>
      </c>
      <c r="Q281">
        <v>2</v>
      </c>
      <c r="R281" t="s">
        <v>1672</v>
      </c>
      <c r="S281">
        <v>1</v>
      </c>
      <c r="T281" t="s">
        <v>1464</v>
      </c>
      <c r="U281" t="s">
        <v>57</v>
      </c>
      <c r="V281" t="s">
        <v>1673</v>
      </c>
      <c r="W281" t="s">
        <v>222</v>
      </c>
      <c r="Y281">
        <f t="shared" si="54"/>
        <v>0</v>
      </c>
      <c r="Z281">
        <f t="shared" si="55"/>
        <v>0</v>
      </c>
      <c r="AA281">
        <f t="shared" si="56"/>
        <v>0</v>
      </c>
      <c r="AB281">
        <f t="shared" si="57"/>
        <v>0</v>
      </c>
      <c r="AC281">
        <f t="shared" si="58"/>
        <v>0</v>
      </c>
      <c r="AD281">
        <f t="shared" si="59"/>
        <v>0</v>
      </c>
      <c r="AE281">
        <f t="shared" si="60"/>
        <v>0</v>
      </c>
      <c r="AF281">
        <f t="shared" si="61"/>
        <v>0</v>
      </c>
      <c r="AG281">
        <f t="shared" si="62"/>
        <v>0</v>
      </c>
      <c r="AH281" t="s">
        <v>530</v>
      </c>
      <c r="AI281" t="s">
        <v>531</v>
      </c>
      <c r="AJ281" t="s">
        <v>532</v>
      </c>
    </row>
    <row r="282" spans="1:36" x14ac:dyDescent="0.2">
      <c r="A282" t="s">
        <v>221</v>
      </c>
      <c r="B282" t="s">
        <v>391</v>
      </c>
      <c r="C282" t="s">
        <v>39</v>
      </c>
      <c r="D282" t="s">
        <v>693</v>
      </c>
      <c r="E282" s="6" t="s">
        <v>20</v>
      </c>
      <c r="F282" s="6">
        <v>1</v>
      </c>
      <c r="G282" s="6" t="s">
        <v>522</v>
      </c>
      <c r="I282" t="s">
        <v>696</v>
      </c>
      <c r="J282" t="s">
        <v>697</v>
      </c>
      <c r="L282" t="s">
        <v>48</v>
      </c>
      <c r="M282">
        <v>1</v>
      </c>
      <c r="P282" t="s">
        <v>1674</v>
      </c>
      <c r="Q282">
        <v>3</v>
      </c>
      <c r="R282" t="s">
        <v>1675</v>
      </c>
      <c r="S282">
        <v>2</v>
      </c>
      <c r="U282" t="s">
        <v>60</v>
      </c>
      <c r="V282" t="s">
        <v>1676</v>
      </c>
      <c r="W282" t="s">
        <v>222</v>
      </c>
      <c r="X282" t="s">
        <v>1677</v>
      </c>
      <c r="Y282">
        <f t="shared" si="54"/>
        <v>0</v>
      </c>
      <c r="Z282">
        <f t="shared" si="55"/>
        <v>1</v>
      </c>
      <c r="AA282">
        <f t="shared" si="56"/>
        <v>0</v>
      </c>
      <c r="AB282">
        <f t="shared" si="57"/>
        <v>0</v>
      </c>
      <c r="AC282">
        <f t="shared" si="58"/>
        <v>0</v>
      </c>
      <c r="AD282">
        <f t="shared" si="59"/>
        <v>0</v>
      </c>
      <c r="AE282">
        <f t="shared" si="60"/>
        <v>0</v>
      </c>
      <c r="AF282">
        <f t="shared" si="61"/>
        <v>0</v>
      </c>
      <c r="AG282">
        <f t="shared" si="62"/>
        <v>0</v>
      </c>
      <c r="AH282" t="s">
        <v>530</v>
      </c>
      <c r="AI282" t="s">
        <v>531</v>
      </c>
      <c r="AJ282" t="s">
        <v>532</v>
      </c>
    </row>
    <row r="283" spans="1:36" x14ac:dyDescent="0.2">
      <c r="A283" t="s">
        <v>221</v>
      </c>
      <c r="B283" t="s">
        <v>391</v>
      </c>
      <c r="C283" t="s">
        <v>39</v>
      </c>
      <c r="D283" t="s">
        <v>693</v>
      </c>
      <c r="E283" s="6" t="s">
        <v>20</v>
      </c>
      <c r="F283" s="6">
        <v>1</v>
      </c>
      <c r="G283" s="6" t="s">
        <v>522</v>
      </c>
      <c r="I283" t="s">
        <v>696</v>
      </c>
      <c r="J283" t="s">
        <v>697</v>
      </c>
      <c r="L283" t="s">
        <v>48</v>
      </c>
      <c r="M283">
        <v>1</v>
      </c>
      <c r="P283" t="s">
        <v>1678</v>
      </c>
      <c r="Q283">
        <v>4</v>
      </c>
      <c r="R283" t="s">
        <v>1679</v>
      </c>
      <c r="S283">
        <v>3</v>
      </c>
      <c r="U283" t="s">
        <v>60</v>
      </c>
      <c r="V283" t="s">
        <v>1680</v>
      </c>
      <c r="W283" t="s">
        <v>222</v>
      </c>
      <c r="X283" t="s">
        <v>1681</v>
      </c>
      <c r="Y283">
        <f t="shared" si="54"/>
        <v>0</v>
      </c>
      <c r="Z283">
        <f t="shared" si="55"/>
        <v>2</v>
      </c>
      <c r="AA283">
        <f t="shared" si="56"/>
        <v>0</v>
      </c>
      <c r="AB283">
        <f t="shared" si="57"/>
        <v>0</v>
      </c>
      <c r="AC283">
        <f t="shared" si="58"/>
        <v>0</v>
      </c>
      <c r="AD283">
        <f t="shared" si="59"/>
        <v>0</v>
      </c>
      <c r="AE283">
        <f t="shared" si="60"/>
        <v>0</v>
      </c>
      <c r="AF283">
        <f t="shared" si="61"/>
        <v>0</v>
      </c>
      <c r="AG283">
        <f t="shared" si="62"/>
        <v>0</v>
      </c>
      <c r="AH283" t="s">
        <v>530</v>
      </c>
      <c r="AI283" t="s">
        <v>531</v>
      </c>
      <c r="AJ283" t="s">
        <v>532</v>
      </c>
    </row>
    <row r="284" spans="1:36" x14ac:dyDescent="0.2">
      <c r="A284" t="s">
        <v>221</v>
      </c>
      <c r="B284" t="s">
        <v>392</v>
      </c>
      <c r="C284" t="s">
        <v>39</v>
      </c>
      <c r="D284" t="s">
        <v>693</v>
      </c>
      <c r="E284" s="6" t="s">
        <v>34</v>
      </c>
      <c r="F284" s="6">
        <v>0.6</v>
      </c>
      <c r="G284" s="6" t="s">
        <v>24</v>
      </c>
      <c r="H284" s="6">
        <v>0.4</v>
      </c>
      <c r="I284" t="s">
        <v>698</v>
      </c>
      <c r="J284" t="s">
        <v>699</v>
      </c>
      <c r="L284" t="s">
        <v>46</v>
      </c>
      <c r="M284">
        <v>1.5</v>
      </c>
      <c r="N284">
        <v>0.5</v>
      </c>
      <c r="P284" t="s">
        <v>1682</v>
      </c>
      <c r="Q284">
        <v>1</v>
      </c>
      <c r="R284" t="s">
        <v>1683</v>
      </c>
      <c r="S284">
        <v>0</v>
      </c>
      <c r="T284" t="s">
        <v>236</v>
      </c>
      <c r="U284" t="s">
        <v>57</v>
      </c>
      <c r="V284" t="s">
        <v>1684</v>
      </c>
      <c r="W284" t="s">
        <v>222</v>
      </c>
      <c r="Y284">
        <f t="shared" si="54"/>
        <v>0</v>
      </c>
      <c r="Z284">
        <f t="shared" si="55"/>
        <v>3</v>
      </c>
      <c r="AA284">
        <f t="shared" si="56"/>
        <v>0</v>
      </c>
      <c r="AB284">
        <f t="shared" si="57"/>
        <v>0</v>
      </c>
      <c r="AC284">
        <f t="shared" si="58"/>
        <v>0</v>
      </c>
      <c r="AD284">
        <f t="shared" si="59"/>
        <v>0</v>
      </c>
      <c r="AE284">
        <f t="shared" si="60"/>
        <v>0</v>
      </c>
      <c r="AF284">
        <f t="shared" si="61"/>
        <v>0</v>
      </c>
      <c r="AG284">
        <f t="shared" si="62"/>
        <v>0</v>
      </c>
      <c r="AH284" t="s">
        <v>614</v>
      </c>
      <c r="AI284" t="s">
        <v>700</v>
      </c>
      <c r="AJ284" t="s">
        <v>701</v>
      </c>
    </row>
    <row r="285" spans="1:36" x14ac:dyDescent="0.2">
      <c r="A285" t="s">
        <v>221</v>
      </c>
      <c r="B285" t="s">
        <v>392</v>
      </c>
      <c r="C285" t="s">
        <v>39</v>
      </c>
      <c r="D285" t="s">
        <v>693</v>
      </c>
      <c r="E285" s="6" t="s">
        <v>34</v>
      </c>
      <c r="F285" s="6">
        <v>0.6</v>
      </c>
      <c r="G285" s="6" t="s">
        <v>24</v>
      </c>
      <c r="H285" s="6">
        <v>0.4</v>
      </c>
      <c r="I285" t="s">
        <v>698</v>
      </c>
      <c r="J285" t="s">
        <v>699</v>
      </c>
      <c r="L285" t="s">
        <v>46</v>
      </c>
      <c r="M285">
        <v>1.5</v>
      </c>
      <c r="N285">
        <v>0.5</v>
      </c>
      <c r="P285" t="s">
        <v>1685</v>
      </c>
      <c r="Q285">
        <v>2</v>
      </c>
      <c r="R285" t="s">
        <v>1686</v>
      </c>
      <c r="S285">
        <v>1</v>
      </c>
      <c r="T285" t="s">
        <v>174</v>
      </c>
      <c r="U285" t="s">
        <v>60</v>
      </c>
      <c r="V285" t="s">
        <v>1687</v>
      </c>
      <c r="W285" t="s">
        <v>222</v>
      </c>
      <c r="Y285">
        <f t="shared" si="54"/>
        <v>0</v>
      </c>
      <c r="Z285">
        <f t="shared" si="55"/>
        <v>0</v>
      </c>
      <c r="AA285">
        <f t="shared" si="56"/>
        <v>0</v>
      </c>
      <c r="AB285">
        <f t="shared" si="57"/>
        <v>0</v>
      </c>
      <c r="AC285">
        <f t="shared" si="58"/>
        <v>0</v>
      </c>
      <c r="AD285">
        <f t="shared" si="59"/>
        <v>0</v>
      </c>
      <c r="AE285">
        <f t="shared" si="60"/>
        <v>0</v>
      </c>
      <c r="AF285">
        <f t="shared" si="61"/>
        <v>0</v>
      </c>
      <c r="AG285">
        <f t="shared" si="62"/>
        <v>0</v>
      </c>
      <c r="AH285" t="s">
        <v>614</v>
      </c>
      <c r="AI285" t="s">
        <v>700</v>
      </c>
      <c r="AJ285" t="s">
        <v>701</v>
      </c>
    </row>
    <row r="286" spans="1:36" x14ac:dyDescent="0.2">
      <c r="A286" t="s">
        <v>221</v>
      </c>
      <c r="B286" t="s">
        <v>392</v>
      </c>
      <c r="C286" t="s">
        <v>39</v>
      </c>
      <c r="D286" t="s">
        <v>693</v>
      </c>
      <c r="E286" s="6" t="s">
        <v>34</v>
      </c>
      <c r="F286" s="6">
        <v>0.6</v>
      </c>
      <c r="G286" s="6" t="s">
        <v>24</v>
      </c>
      <c r="H286" s="6">
        <v>0.4</v>
      </c>
      <c r="I286" t="s">
        <v>698</v>
      </c>
      <c r="J286" t="s">
        <v>699</v>
      </c>
      <c r="L286" t="s">
        <v>46</v>
      </c>
      <c r="M286">
        <v>1.5</v>
      </c>
      <c r="N286">
        <v>0.5</v>
      </c>
      <c r="P286" t="s">
        <v>1688</v>
      </c>
      <c r="Q286">
        <v>3</v>
      </c>
      <c r="R286" t="s">
        <v>1689</v>
      </c>
      <c r="S286">
        <v>2</v>
      </c>
      <c r="T286" t="s">
        <v>172</v>
      </c>
      <c r="U286" t="s">
        <v>61</v>
      </c>
      <c r="V286" t="s">
        <v>1501</v>
      </c>
      <c r="W286" t="s">
        <v>222</v>
      </c>
      <c r="X286" t="s">
        <v>1690</v>
      </c>
      <c r="Y286">
        <f t="shared" si="54"/>
        <v>0</v>
      </c>
      <c r="Z286">
        <f t="shared" si="55"/>
        <v>0</v>
      </c>
      <c r="AA286">
        <f t="shared" si="56"/>
        <v>0</v>
      </c>
      <c r="AB286">
        <f t="shared" si="57"/>
        <v>0.4</v>
      </c>
      <c r="AC286">
        <f t="shared" si="58"/>
        <v>0</v>
      </c>
      <c r="AD286">
        <f t="shared" si="59"/>
        <v>0</v>
      </c>
      <c r="AE286">
        <f t="shared" si="60"/>
        <v>0</v>
      </c>
      <c r="AF286">
        <f t="shared" si="61"/>
        <v>0</v>
      </c>
      <c r="AG286">
        <f t="shared" si="62"/>
        <v>0.6</v>
      </c>
      <c r="AH286" t="s">
        <v>614</v>
      </c>
      <c r="AI286" t="s">
        <v>700</v>
      </c>
      <c r="AJ286" t="s">
        <v>701</v>
      </c>
    </row>
    <row r="287" spans="1:36" x14ac:dyDescent="0.2">
      <c r="A287" t="s">
        <v>221</v>
      </c>
      <c r="B287" t="s">
        <v>392</v>
      </c>
      <c r="C287" t="s">
        <v>39</v>
      </c>
      <c r="D287" t="s">
        <v>693</v>
      </c>
      <c r="E287" s="6" t="s">
        <v>34</v>
      </c>
      <c r="F287" s="6">
        <v>0.6</v>
      </c>
      <c r="G287" s="6" t="s">
        <v>24</v>
      </c>
      <c r="H287" s="6">
        <v>0.4</v>
      </c>
      <c r="I287" t="s">
        <v>698</v>
      </c>
      <c r="J287" t="s">
        <v>699</v>
      </c>
      <c r="L287" t="s">
        <v>46</v>
      </c>
      <c r="M287">
        <v>1.5</v>
      </c>
      <c r="N287">
        <v>0.5</v>
      </c>
      <c r="P287" t="s">
        <v>1691</v>
      </c>
      <c r="Q287">
        <v>4</v>
      </c>
      <c r="R287" t="s">
        <v>1692</v>
      </c>
      <c r="S287">
        <v>3</v>
      </c>
      <c r="U287" t="s">
        <v>57</v>
      </c>
      <c r="V287" t="s">
        <v>1693</v>
      </c>
      <c r="W287" t="s">
        <v>222</v>
      </c>
      <c r="X287" t="s">
        <v>1694</v>
      </c>
      <c r="Y287">
        <f t="shared" si="54"/>
        <v>0</v>
      </c>
      <c r="Z287">
        <f t="shared" si="55"/>
        <v>0</v>
      </c>
      <c r="AA287">
        <f t="shared" si="56"/>
        <v>0</v>
      </c>
      <c r="AB287">
        <f t="shared" si="57"/>
        <v>0.8</v>
      </c>
      <c r="AC287">
        <f t="shared" si="58"/>
        <v>0</v>
      </c>
      <c r="AD287">
        <f t="shared" si="59"/>
        <v>0</v>
      </c>
      <c r="AE287">
        <f t="shared" si="60"/>
        <v>0</v>
      </c>
      <c r="AF287">
        <f t="shared" si="61"/>
        <v>0</v>
      </c>
      <c r="AG287">
        <f t="shared" si="62"/>
        <v>1.2</v>
      </c>
      <c r="AH287" t="s">
        <v>614</v>
      </c>
      <c r="AI287" t="s">
        <v>700</v>
      </c>
      <c r="AJ287" t="s">
        <v>701</v>
      </c>
    </row>
    <row r="288" spans="1:36" x14ac:dyDescent="0.2">
      <c r="A288" t="s">
        <v>221</v>
      </c>
      <c r="B288" t="s">
        <v>392</v>
      </c>
      <c r="C288" t="s">
        <v>39</v>
      </c>
      <c r="D288" t="s">
        <v>693</v>
      </c>
      <c r="E288" s="6" t="s">
        <v>34</v>
      </c>
      <c r="F288" s="6">
        <v>0.6</v>
      </c>
      <c r="G288" s="6" t="s">
        <v>24</v>
      </c>
      <c r="H288" s="6">
        <v>0.4</v>
      </c>
      <c r="I288" t="s">
        <v>698</v>
      </c>
      <c r="J288" t="s">
        <v>699</v>
      </c>
      <c r="L288" t="s">
        <v>46</v>
      </c>
      <c r="M288">
        <v>1.5</v>
      </c>
      <c r="N288">
        <v>0.5</v>
      </c>
      <c r="P288" t="s">
        <v>1695</v>
      </c>
      <c r="Q288">
        <v>5</v>
      </c>
      <c r="R288" t="s">
        <v>1696</v>
      </c>
      <c r="S288">
        <v>4</v>
      </c>
      <c r="U288" t="s">
        <v>59</v>
      </c>
      <c r="V288" t="s">
        <v>1530</v>
      </c>
      <c r="W288" t="s">
        <v>222</v>
      </c>
      <c r="X288" t="s">
        <v>1697</v>
      </c>
      <c r="Y288">
        <f t="shared" si="54"/>
        <v>0</v>
      </c>
      <c r="Z288">
        <f t="shared" si="55"/>
        <v>0</v>
      </c>
      <c r="AA288">
        <f t="shared" si="56"/>
        <v>0</v>
      </c>
      <c r="AB288">
        <f t="shared" si="57"/>
        <v>1.2000000000000002</v>
      </c>
      <c r="AC288">
        <f t="shared" si="58"/>
        <v>0</v>
      </c>
      <c r="AD288">
        <f t="shared" si="59"/>
        <v>0</v>
      </c>
      <c r="AE288">
        <f t="shared" si="60"/>
        <v>0</v>
      </c>
      <c r="AF288">
        <f t="shared" si="61"/>
        <v>0</v>
      </c>
      <c r="AG288">
        <f t="shared" si="62"/>
        <v>1.7999999999999998</v>
      </c>
      <c r="AH288" t="s">
        <v>614</v>
      </c>
      <c r="AI288" t="s">
        <v>700</v>
      </c>
      <c r="AJ288" t="s">
        <v>701</v>
      </c>
    </row>
    <row r="289" spans="1:36" x14ac:dyDescent="0.2">
      <c r="A289" t="s">
        <v>221</v>
      </c>
      <c r="B289" t="s">
        <v>393</v>
      </c>
      <c r="C289" t="s">
        <v>41</v>
      </c>
      <c r="D289" t="s">
        <v>693</v>
      </c>
      <c r="E289" s="6" t="s">
        <v>24</v>
      </c>
      <c r="F289" s="6">
        <v>0.6</v>
      </c>
      <c r="G289" s="6" t="s">
        <v>26</v>
      </c>
      <c r="H289" s="6">
        <v>0.4</v>
      </c>
      <c r="I289" t="s">
        <v>702</v>
      </c>
      <c r="J289" t="s">
        <v>703</v>
      </c>
      <c r="L289" t="s">
        <v>52</v>
      </c>
      <c r="M289">
        <v>1.5</v>
      </c>
      <c r="N289">
        <v>0.5</v>
      </c>
      <c r="P289" t="s">
        <v>1698</v>
      </c>
      <c r="Q289">
        <v>1</v>
      </c>
      <c r="R289" t="s">
        <v>1699</v>
      </c>
      <c r="S289">
        <v>0</v>
      </c>
      <c r="T289" t="s">
        <v>248</v>
      </c>
      <c r="U289" t="s">
        <v>59</v>
      </c>
      <c r="V289" t="s">
        <v>1700</v>
      </c>
      <c r="W289" t="s">
        <v>222</v>
      </c>
      <c r="Y289">
        <f t="shared" si="54"/>
        <v>0</v>
      </c>
      <c r="Z289">
        <f t="shared" si="55"/>
        <v>0</v>
      </c>
      <c r="AA289">
        <f t="shared" si="56"/>
        <v>0</v>
      </c>
      <c r="AB289">
        <f t="shared" si="57"/>
        <v>1.6</v>
      </c>
      <c r="AC289">
        <f t="shared" si="58"/>
        <v>0</v>
      </c>
      <c r="AD289">
        <f t="shared" si="59"/>
        <v>0</v>
      </c>
      <c r="AE289">
        <f t="shared" si="60"/>
        <v>0</v>
      </c>
      <c r="AF289">
        <f t="shared" si="61"/>
        <v>0</v>
      </c>
      <c r="AG289">
        <f t="shared" si="62"/>
        <v>2.4</v>
      </c>
      <c r="AH289" t="s">
        <v>570</v>
      </c>
      <c r="AI289" t="s">
        <v>594</v>
      </c>
      <c r="AJ289" t="s">
        <v>704</v>
      </c>
    </row>
    <row r="290" spans="1:36" x14ac:dyDescent="0.2">
      <c r="A290" t="s">
        <v>221</v>
      </c>
      <c r="B290" t="s">
        <v>393</v>
      </c>
      <c r="C290" t="s">
        <v>41</v>
      </c>
      <c r="D290" t="s">
        <v>693</v>
      </c>
      <c r="E290" s="6" t="s">
        <v>24</v>
      </c>
      <c r="F290" s="6">
        <v>0.6</v>
      </c>
      <c r="G290" s="6" t="s">
        <v>26</v>
      </c>
      <c r="H290" s="6">
        <v>0.4</v>
      </c>
      <c r="I290" t="s">
        <v>702</v>
      </c>
      <c r="J290" t="s">
        <v>703</v>
      </c>
      <c r="L290" t="s">
        <v>52</v>
      </c>
      <c r="M290">
        <v>1.5</v>
      </c>
      <c r="N290">
        <v>0.5</v>
      </c>
      <c r="P290" t="s">
        <v>1701</v>
      </c>
      <c r="Q290">
        <v>2</v>
      </c>
      <c r="R290" t="s">
        <v>1702</v>
      </c>
      <c r="S290">
        <v>1</v>
      </c>
      <c r="T290" t="s">
        <v>172</v>
      </c>
      <c r="U290" t="s">
        <v>61</v>
      </c>
      <c r="V290" t="s">
        <v>1703</v>
      </c>
      <c r="W290" t="s">
        <v>222</v>
      </c>
      <c r="X290" t="s">
        <v>1704</v>
      </c>
      <c r="Y290">
        <f t="shared" si="54"/>
        <v>0</v>
      </c>
      <c r="Z290">
        <f t="shared" si="55"/>
        <v>0</v>
      </c>
      <c r="AA290">
        <f t="shared" si="56"/>
        <v>0</v>
      </c>
      <c r="AB290">
        <f t="shared" si="57"/>
        <v>0</v>
      </c>
      <c r="AC290">
        <f t="shared" si="58"/>
        <v>0</v>
      </c>
      <c r="AD290">
        <f t="shared" si="59"/>
        <v>0</v>
      </c>
      <c r="AE290">
        <f t="shared" si="60"/>
        <v>0</v>
      </c>
      <c r="AF290">
        <f t="shared" si="61"/>
        <v>0</v>
      </c>
      <c r="AG290">
        <f t="shared" si="62"/>
        <v>0</v>
      </c>
      <c r="AH290" t="s">
        <v>570</v>
      </c>
      <c r="AI290" t="s">
        <v>594</v>
      </c>
      <c r="AJ290" t="s">
        <v>704</v>
      </c>
    </row>
    <row r="291" spans="1:36" x14ac:dyDescent="0.2">
      <c r="A291" t="s">
        <v>221</v>
      </c>
      <c r="B291" t="s">
        <v>393</v>
      </c>
      <c r="C291" t="s">
        <v>41</v>
      </c>
      <c r="D291" t="s">
        <v>693</v>
      </c>
      <c r="E291" s="6" t="s">
        <v>24</v>
      </c>
      <c r="F291" s="6">
        <v>0.6</v>
      </c>
      <c r="G291" s="6" t="s">
        <v>26</v>
      </c>
      <c r="H291" s="6">
        <v>0.4</v>
      </c>
      <c r="I291" t="s">
        <v>702</v>
      </c>
      <c r="J291" t="s">
        <v>703</v>
      </c>
      <c r="L291" t="s">
        <v>52</v>
      </c>
      <c r="M291">
        <v>1.5</v>
      </c>
      <c r="N291">
        <v>0.5</v>
      </c>
      <c r="P291" t="s">
        <v>1705</v>
      </c>
      <c r="Q291">
        <v>3</v>
      </c>
      <c r="R291" t="s">
        <v>1706</v>
      </c>
      <c r="S291">
        <v>2</v>
      </c>
      <c r="U291" t="s">
        <v>59</v>
      </c>
      <c r="V291" t="s">
        <v>1707</v>
      </c>
      <c r="W291" t="s">
        <v>222</v>
      </c>
      <c r="Y291">
        <f t="shared" si="54"/>
        <v>0</v>
      </c>
      <c r="Z291">
        <f t="shared" si="55"/>
        <v>0</v>
      </c>
      <c r="AA291">
        <f t="shared" si="56"/>
        <v>0</v>
      </c>
      <c r="AB291">
        <f t="shared" si="57"/>
        <v>0.6</v>
      </c>
      <c r="AC291">
        <f t="shared" si="58"/>
        <v>0.4</v>
      </c>
      <c r="AD291">
        <f t="shared" si="59"/>
        <v>0</v>
      </c>
      <c r="AE291">
        <f t="shared" si="60"/>
        <v>0</v>
      </c>
      <c r="AF291">
        <f t="shared" si="61"/>
        <v>0</v>
      </c>
      <c r="AG291">
        <f t="shared" si="62"/>
        <v>0</v>
      </c>
      <c r="AH291" t="s">
        <v>570</v>
      </c>
      <c r="AI291" t="s">
        <v>594</v>
      </c>
      <c r="AJ291" t="s">
        <v>704</v>
      </c>
    </row>
    <row r="292" spans="1:36" x14ac:dyDescent="0.2">
      <c r="A292" t="s">
        <v>221</v>
      </c>
      <c r="B292" t="s">
        <v>393</v>
      </c>
      <c r="C292" t="s">
        <v>41</v>
      </c>
      <c r="D292" t="s">
        <v>693</v>
      </c>
      <c r="E292" s="6" t="s">
        <v>24</v>
      </c>
      <c r="F292" s="6">
        <v>0.6</v>
      </c>
      <c r="G292" s="6" t="s">
        <v>26</v>
      </c>
      <c r="H292" s="6">
        <v>0.4</v>
      </c>
      <c r="I292" t="s">
        <v>702</v>
      </c>
      <c r="J292" t="s">
        <v>703</v>
      </c>
      <c r="L292" t="s">
        <v>52</v>
      </c>
      <c r="M292">
        <v>1.5</v>
      </c>
      <c r="N292">
        <v>0.5</v>
      </c>
      <c r="P292" t="s">
        <v>1708</v>
      </c>
      <c r="Q292">
        <v>4</v>
      </c>
      <c r="R292" t="s">
        <v>1709</v>
      </c>
      <c r="S292">
        <v>3</v>
      </c>
      <c r="U292" t="s">
        <v>59</v>
      </c>
      <c r="V292" t="s">
        <v>1710</v>
      </c>
      <c r="W292" t="s">
        <v>222</v>
      </c>
      <c r="X292" t="s">
        <v>1711</v>
      </c>
      <c r="Y292">
        <f t="shared" si="54"/>
        <v>0</v>
      </c>
      <c r="Z292">
        <f t="shared" si="55"/>
        <v>0</v>
      </c>
      <c r="AA292">
        <f t="shared" si="56"/>
        <v>0</v>
      </c>
      <c r="AB292">
        <f t="shared" si="57"/>
        <v>1.2</v>
      </c>
      <c r="AC292">
        <f t="shared" si="58"/>
        <v>0.8</v>
      </c>
      <c r="AD292">
        <f t="shared" si="59"/>
        <v>0</v>
      </c>
      <c r="AE292">
        <f t="shared" si="60"/>
        <v>0</v>
      </c>
      <c r="AF292">
        <f t="shared" si="61"/>
        <v>0</v>
      </c>
      <c r="AG292">
        <f t="shared" si="62"/>
        <v>0</v>
      </c>
      <c r="AH292" t="s">
        <v>570</v>
      </c>
      <c r="AI292" t="s">
        <v>594</v>
      </c>
      <c r="AJ292" t="s">
        <v>704</v>
      </c>
    </row>
    <row r="293" spans="1:36" x14ac:dyDescent="0.2">
      <c r="A293" t="s">
        <v>221</v>
      </c>
      <c r="B293" t="s">
        <v>393</v>
      </c>
      <c r="C293" t="s">
        <v>41</v>
      </c>
      <c r="D293" t="s">
        <v>693</v>
      </c>
      <c r="E293" s="6" t="s">
        <v>24</v>
      </c>
      <c r="F293" s="6">
        <v>0.6</v>
      </c>
      <c r="G293" s="6" t="s">
        <v>26</v>
      </c>
      <c r="H293" s="6">
        <v>0.4</v>
      </c>
      <c r="I293" t="s">
        <v>702</v>
      </c>
      <c r="J293" t="s">
        <v>703</v>
      </c>
      <c r="L293" t="s">
        <v>52</v>
      </c>
      <c r="M293">
        <v>1.5</v>
      </c>
      <c r="N293">
        <v>0.5</v>
      </c>
      <c r="P293" t="s">
        <v>1712</v>
      </c>
      <c r="Q293">
        <v>5</v>
      </c>
      <c r="R293" t="s">
        <v>1713</v>
      </c>
      <c r="S293">
        <v>4</v>
      </c>
      <c r="U293" t="s">
        <v>59</v>
      </c>
      <c r="V293" t="s">
        <v>1530</v>
      </c>
      <c r="W293" t="s">
        <v>222</v>
      </c>
      <c r="X293" t="s">
        <v>1714</v>
      </c>
      <c r="Y293">
        <f t="shared" si="54"/>
        <v>0</v>
      </c>
      <c r="Z293">
        <f t="shared" si="55"/>
        <v>0</v>
      </c>
      <c r="AA293">
        <f t="shared" si="56"/>
        <v>0</v>
      </c>
      <c r="AB293">
        <f t="shared" si="57"/>
        <v>1.7999999999999998</v>
      </c>
      <c r="AC293">
        <f t="shared" si="58"/>
        <v>1.2000000000000002</v>
      </c>
      <c r="AD293">
        <f t="shared" si="59"/>
        <v>0</v>
      </c>
      <c r="AE293">
        <f t="shared" si="60"/>
        <v>0</v>
      </c>
      <c r="AF293">
        <f t="shared" si="61"/>
        <v>0</v>
      </c>
      <c r="AG293">
        <f t="shared" si="62"/>
        <v>0</v>
      </c>
      <c r="AH293" t="s">
        <v>570</v>
      </c>
      <c r="AI293" t="s">
        <v>594</v>
      </c>
      <c r="AJ293" t="s">
        <v>704</v>
      </c>
    </row>
    <row r="294" spans="1:36" x14ac:dyDescent="0.2">
      <c r="A294" t="s">
        <v>221</v>
      </c>
      <c r="B294" t="s">
        <v>394</v>
      </c>
      <c r="C294" t="s">
        <v>37</v>
      </c>
      <c r="D294" t="s">
        <v>705</v>
      </c>
      <c r="E294" s="6" t="s">
        <v>32</v>
      </c>
      <c r="F294" s="6">
        <v>1</v>
      </c>
      <c r="G294" s="6" t="s">
        <v>522</v>
      </c>
      <c r="I294" t="s">
        <v>706</v>
      </c>
      <c r="J294" t="s">
        <v>707</v>
      </c>
      <c r="L294" t="s">
        <v>48</v>
      </c>
      <c r="M294">
        <v>1</v>
      </c>
      <c r="P294" t="s">
        <v>1715</v>
      </c>
      <c r="Q294">
        <v>1</v>
      </c>
      <c r="R294" t="s">
        <v>1438</v>
      </c>
      <c r="S294">
        <v>0</v>
      </c>
      <c r="T294" t="s">
        <v>251</v>
      </c>
      <c r="U294" t="s">
        <v>55</v>
      </c>
      <c r="V294" t="s">
        <v>1716</v>
      </c>
      <c r="W294" t="s">
        <v>222</v>
      </c>
      <c r="Y294">
        <f t="shared" si="54"/>
        <v>0</v>
      </c>
      <c r="Z294">
        <f t="shared" si="55"/>
        <v>0</v>
      </c>
      <c r="AA294">
        <f t="shared" si="56"/>
        <v>0</v>
      </c>
      <c r="AB294">
        <f t="shared" si="57"/>
        <v>2.4</v>
      </c>
      <c r="AC294">
        <f t="shared" si="58"/>
        <v>1.6</v>
      </c>
      <c r="AD294">
        <f t="shared" si="59"/>
        <v>0</v>
      </c>
      <c r="AE294">
        <f t="shared" si="60"/>
        <v>0</v>
      </c>
      <c r="AF294">
        <f t="shared" si="61"/>
        <v>0</v>
      </c>
      <c r="AG294">
        <f t="shared" si="62"/>
        <v>0</v>
      </c>
      <c r="AH294" t="s">
        <v>561</v>
      </c>
      <c r="AI294" t="s">
        <v>562</v>
      </c>
      <c r="AJ294" t="s">
        <v>708</v>
      </c>
    </row>
    <row r="295" spans="1:36" x14ac:dyDescent="0.2">
      <c r="A295" t="s">
        <v>221</v>
      </c>
      <c r="B295" t="s">
        <v>394</v>
      </c>
      <c r="C295" t="s">
        <v>37</v>
      </c>
      <c r="D295" t="s">
        <v>705</v>
      </c>
      <c r="E295" s="6" t="s">
        <v>32</v>
      </c>
      <c r="F295" s="6">
        <v>1</v>
      </c>
      <c r="G295" s="6" t="s">
        <v>522</v>
      </c>
      <c r="I295" t="s">
        <v>706</v>
      </c>
      <c r="J295" t="s">
        <v>707</v>
      </c>
      <c r="L295" t="s">
        <v>48</v>
      </c>
      <c r="M295">
        <v>1</v>
      </c>
      <c r="P295" t="s">
        <v>1717</v>
      </c>
      <c r="Q295">
        <v>2</v>
      </c>
      <c r="R295" t="s">
        <v>1718</v>
      </c>
      <c r="S295">
        <v>0</v>
      </c>
      <c r="T295" t="s">
        <v>178</v>
      </c>
      <c r="U295" t="s">
        <v>55</v>
      </c>
      <c r="V295" t="s">
        <v>1719</v>
      </c>
      <c r="W295" t="s">
        <v>222</v>
      </c>
      <c r="Y295">
        <f t="shared" si="54"/>
        <v>0</v>
      </c>
      <c r="Z295">
        <f t="shared" si="55"/>
        <v>0</v>
      </c>
      <c r="AA295">
        <f t="shared" si="56"/>
        <v>0</v>
      </c>
      <c r="AB295">
        <f t="shared" si="57"/>
        <v>0</v>
      </c>
      <c r="AC295">
        <f t="shared" si="58"/>
        <v>0</v>
      </c>
      <c r="AD295">
        <f t="shared" si="59"/>
        <v>0</v>
      </c>
      <c r="AE295">
        <f t="shared" si="60"/>
        <v>0</v>
      </c>
      <c r="AF295">
        <f t="shared" si="61"/>
        <v>0</v>
      </c>
      <c r="AG295">
        <f t="shared" si="62"/>
        <v>0</v>
      </c>
      <c r="AH295" t="s">
        <v>561</v>
      </c>
      <c r="AI295" t="s">
        <v>562</v>
      </c>
      <c r="AJ295" t="s">
        <v>708</v>
      </c>
    </row>
    <row r="296" spans="1:36" x14ac:dyDescent="0.2">
      <c r="A296" t="s">
        <v>221</v>
      </c>
      <c r="B296" t="s">
        <v>394</v>
      </c>
      <c r="C296" t="s">
        <v>37</v>
      </c>
      <c r="D296" t="s">
        <v>705</v>
      </c>
      <c r="E296" s="6" t="s">
        <v>32</v>
      </c>
      <c r="F296" s="6">
        <v>1</v>
      </c>
      <c r="G296" s="6" t="s">
        <v>522</v>
      </c>
      <c r="I296" t="s">
        <v>706</v>
      </c>
      <c r="J296" t="s">
        <v>707</v>
      </c>
      <c r="L296" t="s">
        <v>48</v>
      </c>
      <c r="M296">
        <v>1</v>
      </c>
      <c r="P296" t="s">
        <v>1720</v>
      </c>
      <c r="Q296">
        <v>3</v>
      </c>
      <c r="R296" t="s">
        <v>1721</v>
      </c>
      <c r="S296">
        <v>1</v>
      </c>
      <c r="T296" t="s">
        <v>174</v>
      </c>
      <c r="U296" t="s">
        <v>55</v>
      </c>
      <c r="V296" t="s">
        <v>1722</v>
      </c>
      <c r="W296" t="s">
        <v>222</v>
      </c>
      <c r="Y296">
        <f t="shared" si="54"/>
        <v>0</v>
      </c>
      <c r="Z296">
        <f t="shared" si="55"/>
        <v>0</v>
      </c>
      <c r="AA296">
        <f t="shared" si="56"/>
        <v>0</v>
      </c>
      <c r="AB296">
        <f t="shared" si="57"/>
        <v>0</v>
      </c>
      <c r="AC296">
        <f t="shared" si="58"/>
        <v>0</v>
      </c>
      <c r="AD296">
        <f t="shared" si="59"/>
        <v>0</v>
      </c>
      <c r="AE296">
        <f t="shared" si="60"/>
        <v>0</v>
      </c>
      <c r="AF296">
        <f t="shared" si="61"/>
        <v>0</v>
      </c>
      <c r="AG296">
        <f t="shared" si="62"/>
        <v>0</v>
      </c>
      <c r="AH296" t="s">
        <v>561</v>
      </c>
      <c r="AI296" t="s">
        <v>562</v>
      </c>
      <c r="AJ296" t="s">
        <v>708</v>
      </c>
    </row>
    <row r="297" spans="1:36" x14ac:dyDescent="0.2">
      <c r="A297" t="s">
        <v>221</v>
      </c>
      <c r="B297" t="s">
        <v>394</v>
      </c>
      <c r="C297" t="s">
        <v>37</v>
      </c>
      <c r="D297" t="s">
        <v>705</v>
      </c>
      <c r="E297" s="6" t="s">
        <v>32</v>
      </c>
      <c r="F297" s="6">
        <v>1</v>
      </c>
      <c r="G297" s="6" t="s">
        <v>522</v>
      </c>
      <c r="I297" t="s">
        <v>706</v>
      </c>
      <c r="J297" t="s">
        <v>707</v>
      </c>
      <c r="L297" t="s">
        <v>48</v>
      </c>
      <c r="M297">
        <v>1</v>
      </c>
      <c r="P297" t="s">
        <v>1723</v>
      </c>
      <c r="Q297">
        <v>4</v>
      </c>
      <c r="R297" t="s">
        <v>1724</v>
      </c>
      <c r="S297">
        <v>2</v>
      </c>
      <c r="U297" t="s">
        <v>55</v>
      </c>
      <c r="V297" t="s">
        <v>1725</v>
      </c>
      <c r="W297" t="s">
        <v>222</v>
      </c>
      <c r="X297" t="s">
        <v>1726</v>
      </c>
      <c r="Y297">
        <f t="shared" si="54"/>
        <v>0</v>
      </c>
      <c r="Z297">
        <f t="shared" si="55"/>
        <v>0</v>
      </c>
      <c r="AA297">
        <f t="shared" si="56"/>
        <v>0</v>
      </c>
      <c r="AB297">
        <f t="shared" si="57"/>
        <v>0</v>
      </c>
      <c r="AC297">
        <f t="shared" si="58"/>
        <v>0</v>
      </c>
      <c r="AD297">
        <f t="shared" si="59"/>
        <v>0</v>
      </c>
      <c r="AE297">
        <f t="shared" si="60"/>
        <v>0</v>
      </c>
      <c r="AF297">
        <f t="shared" si="61"/>
        <v>1</v>
      </c>
      <c r="AG297">
        <f t="shared" si="62"/>
        <v>0</v>
      </c>
      <c r="AH297" t="s">
        <v>561</v>
      </c>
      <c r="AI297" t="s">
        <v>562</v>
      </c>
      <c r="AJ297" t="s">
        <v>708</v>
      </c>
    </row>
    <row r="298" spans="1:36" x14ac:dyDescent="0.2">
      <c r="A298" t="s">
        <v>221</v>
      </c>
      <c r="B298" t="s">
        <v>394</v>
      </c>
      <c r="C298" t="s">
        <v>37</v>
      </c>
      <c r="D298" t="s">
        <v>705</v>
      </c>
      <c r="E298" s="6" t="s">
        <v>32</v>
      </c>
      <c r="F298" s="6">
        <v>1</v>
      </c>
      <c r="G298" s="6" t="s">
        <v>522</v>
      </c>
      <c r="I298" t="s">
        <v>706</v>
      </c>
      <c r="J298" t="s">
        <v>707</v>
      </c>
      <c r="L298" t="s">
        <v>48</v>
      </c>
      <c r="M298">
        <v>1</v>
      </c>
      <c r="P298" t="s">
        <v>1727</v>
      </c>
      <c r="Q298">
        <v>5</v>
      </c>
      <c r="R298" t="s">
        <v>1728</v>
      </c>
      <c r="S298">
        <v>3</v>
      </c>
      <c r="U298" t="s">
        <v>55</v>
      </c>
      <c r="V298" t="s">
        <v>1729</v>
      </c>
      <c r="W298" t="s">
        <v>222</v>
      </c>
      <c r="X298" t="s">
        <v>1730</v>
      </c>
      <c r="Y298">
        <f t="shared" si="54"/>
        <v>0</v>
      </c>
      <c r="Z298">
        <f t="shared" si="55"/>
        <v>0</v>
      </c>
      <c r="AA298">
        <f t="shared" si="56"/>
        <v>0</v>
      </c>
      <c r="AB298">
        <f t="shared" si="57"/>
        <v>0</v>
      </c>
      <c r="AC298">
        <f t="shared" si="58"/>
        <v>0</v>
      </c>
      <c r="AD298">
        <f t="shared" si="59"/>
        <v>0</v>
      </c>
      <c r="AE298">
        <f t="shared" si="60"/>
        <v>0</v>
      </c>
      <c r="AF298">
        <f t="shared" si="61"/>
        <v>2</v>
      </c>
      <c r="AG298">
        <f t="shared" si="62"/>
        <v>0</v>
      </c>
      <c r="AH298" t="s">
        <v>561</v>
      </c>
      <c r="AI298" t="s">
        <v>562</v>
      </c>
      <c r="AJ298" t="s">
        <v>708</v>
      </c>
    </row>
    <row r="299" spans="1:36" x14ac:dyDescent="0.2">
      <c r="A299" t="s">
        <v>221</v>
      </c>
      <c r="B299" t="s">
        <v>394</v>
      </c>
      <c r="C299" t="s">
        <v>37</v>
      </c>
      <c r="D299" t="s">
        <v>705</v>
      </c>
      <c r="E299" s="6" t="s">
        <v>32</v>
      </c>
      <c r="F299" s="6">
        <v>1</v>
      </c>
      <c r="G299" s="6" t="s">
        <v>522</v>
      </c>
      <c r="I299" t="s">
        <v>706</v>
      </c>
      <c r="J299" t="s">
        <v>707</v>
      </c>
      <c r="L299" t="s">
        <v>48</v>
      </c>
      <c r="M299">
        <v>1</v>
      </c>
      <c r="P299" t="s">
        <v>1731</v>
      </c>
      <c r="Q299">
        <v>6</v>
      </c>
      <c r="R299" t="s">
        <v>1732</v>
      </c>
      <c r="S299">
        <v>4</v>
      </c>
      <c r="U299" t="s">
        <v>55</v>
      </c>
      <c r="V299" t="s">
        <v>1530</v>
      </c>
      <c r="W299" t="s">
        <v>222</v>
      </c>
      <c r="X299" t="s">
        <v>1733</v>
      </c>
      <c r="Y299">
        <f t="shared" si="54"/>
        <v>0</v>
      </c>
      <c r="Z299">
        <f t="shared" si="55"/>
        <v>0</v>
      </c>
      <c r="AA299">
        <f t="shared" si="56"/>
        <v>0</v>
      </c>
      <c r="AB299">
        <f t="shared" si="57"/>
        <v>0</v>
      </c>
      <c r="AC299">
        <f t="shared" si="58"/>
        <v>0</v>
      </c>
      <c r="AD299">
        <f t="shared" si="59"/>
        <v>0</v>
      </c>
      <c r="AE299">
        <f t="shared" si="60"/>
        <v>0</v>
      </c>
      <c r="AF299">
        <f t="shared" si="61"/>
        <v>3</v>
      </c>
      <c r="AG299">
        <f t="shared" si="62"/>
        <v>0</v>
      </c>
      <c r="AH299" t="s">
        <v>561</v>
      </c>
      <c r="AI299" t="s">
        <v>562</v>
      </c>
      <c r="AJ299" t="s">
        <v>708</v>
      </c>
    </row>
    <row r="300" spans="1:36" x14ac:dyDescent="0.2">
      <c r="A300" t="s">
        <v>221</v>
      </c>
      <c r="B300" t="s">
        <v>395</v>
      </c>
      <c r="C300" t="s">
        <v>39</v>
      </c>
      <c r="D300" t="s">
        <v>705</v>
      </c>
      <c r="E300" s="6" t="s">
        <v>32</v>
      </c>
      <c r="F300" s="6">
        <v>0.5</v>
      </c>
      <c r="G300" s="6" t="s">
        <v>20</v>
      </c>
      <c r="H300" s="6">
        <v>0.5</v>
      </c>
      <c r="I300" t="s">
        <v>709</v>
      </c>
      <c r="J300" t="s">
        <v>710</v>
      </c>
      <c r="L300" t="s">
        <v>48</v>
      </c>
      <c r="M300">
        <v>1</v>
      </c>
      <c r="P300" t="s">
        <v>1734</v>
      </c>
      <c r="Q300">
        <v>1</v>
      </c>
      <c r="R300" t="s">
        <v>1735</v>
      </c>
      <c r="S300">
        <v>0</v>
      </c>
      <c r="T300" t="s">
        <v>1736</v>
      </c>
      <c r="U300" t="s">
        <v>55</v>
      </c>
      <c r="V300" t="s">
        <v>1737</v>
      </c>
      <c r="W300" t="s">
        <v>222</v>
      </c>
      <c r="Y300">
        <f t="shared" si="54"/>
        <v>0</v>
      </c>
      <c r="Z300">
        <f t="shared" si="55"/>
        <v>0</v>
      </c>
      <c r="AA300">
        <f t="shared" si="56"/>
        <v>0</v>
      </c>
      <c r="AB300">
        <f t="shared" si="57"/>
        <v>0</v>
      </c>
      <c r="AC300">
        <f t="shared" si="58"/>
        <v>0</v>
      </c>
      <c r="AD300">
        <f t="shared" si="59"/>
        <v>0</v>
      </c>
      <c r="AE300">
        <f t="shared" si="60"/>
        <v>0</v>
      </c>
      <c r="AF300">
        <f t="shared" si="61"/>
        <v>4</v>
      </c>
      <c r="AG300">
        <f t="shared" si="62"/>
        <v>0</v>
      </c>
      <c r="AH300" t="s">
        <v>561</v>
      </c>
      <c r="AI300" t="s">
        <v>711</v>
      </c>
      <c r="AJ300" t="s">
        <v>712</v>
      </c>
    </row>
    <row r="301" spans="1:36" x14ac:dyDescent="0.2">
      <c r="A301" t="s">
        <v>221</v>
      </c>
      <c r="B301" t="s">
        <v>395</v>
      </c>
      <c r="C301" t="s">
        <v>39</v>
      </c>
      <c r="D301" t="s">
        <v>705</v>
      </c>
      <c r="E301" s="6" t="s">
        <v>32</v>
      </c>
      <c r="F301" s="6">
        <v>0.5</v>
      </c>
      <c r="G301" s="6" t="s">
        <v>20</v>
      </c>
      <c r="H301" s="6">
        <v>0.5</v>
      </c>
      <c r="I301" t="s">
        <v>709</v>
      </c>
      <c r="J301" t="s">
        <v>710</v>
      </c>
      <c r="L301" t="s">
        <v>48</v>
      </c>
      <c r="M301">
        <v>1</v>
      </c>
      <c r="P301" t="s">
        <v>1738</v>
      </c>
      <c r="Q301">
        <v>2</v>
      </c>
      <c r="R301" t="s">
        <v>1739</v>
      </c>
      <c r="S301">
        <v>1</v>
      </c>
      <c r="T301" t="s">
        <v>247</v>
      </c>
      <c r="U301" t="s">
        <v>55</v>
      </c>
      <c r="V301" t="s">
        <v>1740</v>
      </c>
      <c r="W301" t="s">
        <v>222</v>
      </c>
      <c r="Y301">
        <f t="shared" si="54"/>
        <v>0</v>
      </c>
      <c r="Z301">
        <f t="shared" si="55"/>
        <v>0</v>
      </c>
      <c r="AA301">
        <f t="shared" si="56"/>
        <v>0</v>
      </c>
      <c r="AB301">
        <f t="shared" si="57"/>
        <v>0</v>
      </c>
      <c r="AC301">
        <f t="shared" si="58"/>
        <v>0</v>
      </c>
      <c r="AD301">
        <f t="shared" si="59"/>
        <v>0</v>
      </c>
      <c r="AE301">
        <f t="shared" si="60"/>
        <v>0</v>
      </c>
      <c r="AF301">
        <f t="shared" si="61"/>
        <v>0</v>
      </c>
      <c r="AG301">
        <f t="shared" si="62"/>
        <v>0</v>
      </c>
      <c r="AH301" t="s">
        <v>561</v>
      </c>
      <c r="AI301" t="s">
        <v>711</v>
      </c>
      <c r="AJ301" t="s">
        <v>712</v>
      </c>
    </row>
    <row r="302" spans="1:36" x14ac:dyDescent="0.2">
      <c r="A302" t="s">
        <v>221</v>
      </c>
      <c r="B302" t="s">
        <v>395</v>
      </c>
      <c r="C302" t="s">
        <v>39</v>
      </c>
      <c r="D302" t="s">
        <v>705</v>
      </c>
      <c r="E302" s="6" t="s">
        <v>32</v>
      </c>
      <c r="F302" s="6">
        <v>0.5</v>
      </c>
      <c r="G302" s="6" t="s">
        <v>20</v>
      </c>
      <c r="H302" s="6">
        <v>0.5</v>
      </c>
      <c r="I302" t="s">
        <v>709</v>
      </c>
      <c r="J302" t="s">
        <v>710</v>
      </c>
      <c r="L302" t="s">
        <v>48</v>
      </c>
      <c r="M302">
        <v>1</v>
      </c>
      <c r="P302" t="s">
        <v>1741</v>
      </c>
      <c r="Q302">
        <v>3</v>
      </c>
      <c r="R302" t="s">
        <v>1742</v>
      </c>
      <c r="S302">
        <v>2</v>
      </c>
      <c r="U302" t="s">
        <v>55</v>
      </c>
      <c r="V302" t="s">
        <v>1743</v>
      </c>
      <c r="W302" t="s">
        <v>222</v>
      </c>
      <c r="Y302">
        <f t="shared" si="54"/>
        <v>0</v>
      </c>
      <c r="Z302">
        <f t="shared" si="55"/>
        <v>0.5</v>
      </c>
      <c r="AA302">
        <f t="shared" si="56"/>
        <v>0</v>
      </c>
      <c r="AB302">
        <f t="shared" si="57"/>
        <v>0</v>
      </c>
      <c r="AC302">
        <f t="shared" si="58"/>
        <v>0</v>
      </c>
      <c r="AD302">
        <f t="shared" si="59"/>
        <v>0</v>
      </c>
      <c r="AE302">
        <f t="shared" si="60"/>
        <v>0</v>
      </c>
      <c r="AF302">
        <f t="shared" si="61"/>
        <v>0.5</v>
      </c>
      <c r="AG302">
        <f t="shared" si="62"/>
        <v>0</v>
      </c>
      <c r="AH302" t="s">
        <v>561</v>
      </c>
      <c r="AI302" t="s">
        <v>711</v>
      </c>
      <c r="AJ302" t="s">
        <v>712</v>
      </c>
    </row>
    <row r="303" spans="1:36" x14ac:dyDescent="0.2">
      <c r="A303" t="s">
        <v>221</v>
      </c>
      <c r="B303" t="s">
        <v>395</v>
      </c>
      <c r="C303" t="s">
        <v>39</v>
      </c>
      <c r="D303" t="s">
        <v>705</v>
      </c>
      <c r="E303" s="6" t="s">
        <v>32</v>
      </c>
      <c r="F303" s="6">
        <v>0.5</v>
      </c>
      <c r="G303" s="6" t="s">
        <v>20</v>
      </c>
      <c r="H303" s="6">
        <v>0.5</v>
      </c>
      <c r="I303" t="s">
        <v>709</v>
      </c>
      <c r="J303" t="s">
        <v>710</v>
      </c>
      <c r="L303" t="s">
        <v>48</v>
      </c>
      <c r="M303">
        <v>1</v>
      </c>
      <c r="P303" t="s">
        <v>1744</v>
      </c>
      <c r="Q303">
        <v>4</v>
      </c>
      <c r="R303" t="s">
        <v>1745</v>
      </c>
      <c r="S303">
        <v>3</v>
      </c>
      <c r="U303" t="s">
        <v>55</v>
      </c>
      <c r="V303" t="s">
        <v>1645</v>
      </c>
      <c r="W303" t="s">
        <v>222</v>
      </c>
      <c r="X303" t="s">
        <v>1746</v>
      </c>
      <c r="Y303">
        <f t="shared" si="54"/>
        <v>0</v>
      </c>
      <c r="Z303">
        <f t="shared" si="55"/>
        <v>1</v>
      </c>
      <c r="AA303">
        <f t="shared" si="56"/>
        <v>0</v>
      </c>
      <c r="AB303">
        <f t="shared" si="57"/>
        <v>0</v>
      </c>
      <c r="AC303">
        <f t="shared" si="58"/>
        <v>0</v>
      </c>
      <c r="AD303">
        <f t="shared" si="59"/>
        <v>0</v>
      </c>
      <c r="AE303">
        <f t="shared" si="60"/>
        <v>0</v>
      </c>
      <c r="AF303">
        <f t="shared" si="61"/>
        <v>1</v>
      </c>
      <c r="AG303">
        <f t="shared" si="62"/>
        <v>0</v>
      </c>
      <c r="AH303" t="s">
        <v>561</v>
      </c>
      <c r="AI303" t="s">
        <v>711</v>
      </c>
      <c r="AJ303" t="s">
        <v>712</v>
      </c>
    </row>
    <row r="304" spans="1:36" x14ac:dyDescent="0.2">
      <c r="A304" t="s">
        <v>221</v>
      </c>
      <c r="B304" t="s">
        <v>396</v>
      </c>
      <c r="C304" t="s">
        <v>39</v>
      </c>
      <c r="D304" t="s">
        <v>705</v>
      </c>
      <c r="E304" s="6" t="s">
        <v>18</v>
      </c>
      <c r="F304" s="6">
        <v>0.5</v>
      </c>
      <c r="G304" s="6" t="s">
        <v>32</v>
      </c>
      <c r="H304" s="6">
        <v>0.5</v>
      </c>
      <c r="I304" t="s">
        <v>713</v>
      </c>
      <c r="J304" t="s">
        <v>714</v>
      </c>
      <c r="L304" t="s">
        <v>44</v>
      </c>
      <c r="M304">
        <v>1</v>
      </c>
      <c r="P304" t="s">
        <v>1747</v>
      </c>
      <c r="Q304">
        <v>1</v>
      </c>
      <c r="R304" t="s">
        <v>1748</v>
      </c>
      <c r="S304">
        <v>0</v>
      </c>
      <c r="T304" t="s">
        <v>178</v>
      </c>
      <c r="U304" t="s">
        <v>55</v>
      </c>
      <c r="V304" t="s">
        <v>1749</v>
      </c>
      <c r="W304" t="s">
        <v>222</v>
      </c>
      <c r="Y304">
        <f t="shared" si="54"/>
        <v>0</v>
      </c>
      <c r="Z304">
        <f t="shared" si="55"/>
        <v>1.5</v>
      </c>
      <c r="AA304">
        <f t="shared" si="56"/>
        <v>0</v>
      </c>
      <c r="AB304">
        <f t="shared" si="57"/>
        <v>0</v>
      </c>
      <c r="AC304">
        <f t="shared" si="58"/>
        <v>0</v>
      </c>
      <c r="AD304">
        <f t="shared" si="59"/>
        <v>0</v>
      </c>
      <c r="AE304">
        <f t="shared" si="60"/>
        <v>0</v>
      </c>
      <c r="AF304">
        <f t="shared" si="61"/>
        <v>1.5</v>
      </c>
      <c r="AG304">
        <f t="shared" si="62"/>
        <v>0</v>
      </c>
      <c r="AH304" t="s">
        <v>521</v>
      </c>
      <c r="AI304" t="s">
        <v>566</v>
      </c>
      <c r="AJ304" t="s">
        <v>567</v>
      </c>
    </row>
    <row r="305" spans="1:36" x14ac:dyDescent="0.2">
      <c r="A305" t="s">
        <v>221</v>
      </c>
      <c r="B305" t="s">
        <v>396</v>
      </c>
      <c r="C305" t="s">
        <v>39</v>
      </c>
      <c r="D305" t="s">
        <v>705</v>
      </c>
      <c r="E305" s="6" t="s">
        <v>18</v>
      </c>
      <c r="F305" s="6">
        <v>0.5</v>
      </c>
      <c r="G305" s="6" t="s">
        <v>32</v>
      </c>
      <c r="H305" s="6">
        <v>0.5</v>
      </c>
      <c r="I305" t="s">
        <v>713</v>
      </c>
      <c r="J305" t="s">
        <v>714</v>
      </c>
      <c r="L305" t="s">
        <v>44</v>
      </c>
      <c r="M305">
        <v>1</v>
      </c>
      <c r="P305" t="s">
        <v>1750</v>
      </c>
      <c r="Q305">
        <v>2</v>
      </c>
      <c r="R305" t="s">
        <v>1751</v>
      </c>
      <c r="S305">
        <v>1</v>
      </c>
      <c r="T305" t="s">
        <v>172</v>
      </c>
      <c r="U305" t="s">
        <v>61</v>
      </c>
      <c r="V305" t="s">
        <v>1752</v>
      </c>
      <c r="W305" t="s">
        <v>222</v>
      </c>
      <c r="Y305">
        <f t="shared" si="54"/>
        <v>0</v>
      </c>
      <c r="Z305">
        <f t="shared" si="55"/>
        <v>0</v>
      </c>
      <c r="AA305">
        <f t="shared" si="56"/>
        <v>0</v>
      </c>
      <c r="AB305">
        <f t="shared" si="57"/>
        <v>0</v>
      </c>
      <c r="AC305">
        <f t="shared" si="58"/>
        <v>0</v>
      </c>
      <c r="AD305">
        <f t="shared" si="59"/>
        <v>0</v>
      </c>
      <c r="AE305">
        <f t="shared" si="60"/>
        <v>0</v>
      </c>
      <c r="AF305">
        <f t="shared" si="61"/>
        <v>0</v>
      </c>
      <c r="AG305">
        <f t="shared" si="62"/>
        <v>0</v>
      </c>
      <c r="AH305" t="s">
        <v>521</v>
      </c>
      <c r="AI305" t="s">
        <v>566</v>
      </c>
      <c r="AJ305" t="s">
        <v>567</v>
      </c>
    </row>
    <row r="306" spans="1:36" x14ac:dyDescent="0.2">
      <c r="A306" t="s">
        <v>221</v>
      </c>
      <c r="B306" t="s">
        <v>396</v>
      </c>
      <c r="C306" t="s">
        <v>39</v>
      </c>
      <c r="D306" t="s">
        <v>705</v>
      </c>
      <c r="E306" s="6" t="s">
        <v>18</v>
      </c>
      <c r="F306" s="6">
        <v>0.5</v>
      </c>
      <c r="G306" s="6" t="s">
        <v>32</v>
      </c>
      <c r="H306" s="6">
        <v>0.5</v>
      </c>
      <c r="I306" t="s">
        <v>713</v>
      </c>
      <c r="J306" t="s">
        <v>714</v>
      </c>
      <c r="L306" t="s">
        <v>44</v>
      </c>
      <c r="M306">
        <v>1</v>
      </c>
      <c r="P306" t="s">
        <v>1753</v>
      </c>
      <c r="Q306">
        <v>3</v>
      </c>
      <c r="R306" t="s">
        <v>1754</v>
      </c>
      <c r="S306">
        <v>2</v>
      </c>
      <c r="U306" t="s">
        <v>55</v>
      </c>
      <c r="V306" t="s">
        <v>1755</v>
      </c>
      <c r="W306" t="s">
        <v>222</v>
      </c>
      <c r="X306" t="s">
        <v>1756</v>
      </c>
      <c r="Y306">
        <f t="shared" si="54"/>
        <v>0.5</v>
      </c>
      <c r="Z306">
        <f t="shared" si="55"/>
        <v>0</v>
      </c>
      <c r="AA306">
        <f t="shared" si="56"/>
        <v>0</v>
      </c>
      <c r="AB306">
        <f t="shared" si="57"/>
        <v>0</v>
      </c>
      <c r="AC306">
        <f t="shared" si="58"/>
        <v>0</v>
      </c>
      <c r="AD306">
        <f t="shared" si="59"/>
        <v>0</v>
      </c>
      <c r="AE306">
        <f t="shared" si="60"/>
        <v>0</v>
      </c>
      <c r="AF306">
        <f t="shared" si="61"/>
        <v>0.5</v>
      </c>
      <c r="AG306">
        <f t="shared" si="62"/>
        <v>0</v>
      </c>
      <c r="AH306" t="s">
        <v>521</v>
      </c>
      <c r="AI306" t="s">
        <v>566</v>
      </c>
      <c r="AJ306" t="s">
        <v>567</v>
      </c>
    </row>
    <row r="307" spans="1:36" x14ac:dyDescent="0.2">
      <c r="A307" t="s">
        <v>221</v>
      </c>
      <c r="B307" t="s">
        <v>396</v>
      </c>
      <c r="C307" t="s">
        <v>39</v>
      </c>
      <c r="D307" t="s">
        <v>705</v>
      </c>
      <c r="E307" s="6" t="s">
        <v>18</v>
      </c>
      <c r="F307" s="6">
        <v>0.5</v>
      </c>
      <c r="G307" s="6" t="s">
        <v>32</v>
      </c>
      <c r="H307" s="6">
        <v>0.5</v>
      </c>
      <c r="I307" t="s">
        <v>713</v>
      </c>
      <c r="J307" t="s">
        <v>714</v>
      </c>
      <c r="L307" t="s">
        <v>44</v>
      </c>
      <c r="M307">
        <v>1</v>
      </c>
      <c r="P307" t="s">
        <v>1757</v>
      </c>
      <c r="Q307">
        <v>4</v>
      </c>
      <c r="R307" t="s">
        <v>1758</v>
      </c>
      <c r="S307">
        <v>3</v>
      </c>
      <c r="U307" t="s">
        <v>55</v>
      </c>
      <c r="V307" t="s">
        <v>1457</v>
      </c>
      <c r="W307" t="s">
        <v>222</v>
      </c>
      <c r="X307" t="s">
        <v>1759</v>
      </c>
      <c r="Y307">
        <f t="shared" si="54"/>
        <v>1</v>
      </c>
      <c r="Z307">
        <f t="shared" si="55"/>
        <v>0</v>
      </c>
      <c r="AA307">
        <f t="shared" si="56"/>
        <v>0</v>
      </c>
      <c r="AB307">
        <f t="shared" si="57"/>
        <v>0</v>
      </c>
      <c r="AC307">
        <f t="shared" si="58"/>
        <v>0</v>
      </c>
      <c r="AD307">
        <f t="shared" si="59"/>
        <v>0</v>
      </c>
      <c r="AE307">
        <f t="shared" si="60"/>
        <v>0</v>
      </c>
      <c r="AF307">
        <f t="shared" si="61"/>
        <v>1</v>
      </c>
      <c r="AG307">
        <f t="shared" si="62"/>
        <v>0</v>
      </c>
      <c r="AH307" t="s">
        <v>521</v>
      </c>
      <c r="AI307" t="s">
        <v>566</v>
      </c>
      <c r="AJ307" t="s">
        <v>567</v>
      </c>
    </row>
    <row r="308" spans="1:36" x14ac:dyDescent="0.2">
      <c r="A308" t="s">
        <v>221</v>
      </c>
      <c r="B308" t="s">
        <v>396</v>
      </c>
      <c r="C308" t="s">
        <v>39</v>
      </c>
      <c r="D308" t="s">
        <v>705</v>
      </c>
      <c r="E308" s="6" t="s">
        <v>18</v>
      </c>
      <c r="F308" s="6">
        <v>0.5</v>
      </c>
      <c r="G308" s="6" t="s">
        <v>32</v>
      </c>
      <c r="H308" s="6">
        <v>0.5</v>
      </c>
      <c r="I308" t="s">
        <v>713</v>
      </c>
      <c r="J308" t="s">
        <v>714</v>
      </c>
      <c r="L308" t="s">
        <v>44</v>
      </c>
      <c r="M308">
        <v>1</v>
      </c>
      <c r="P308" t="s">
        <v>1760</v>
      </c>
      <c r="Q308">
        <v>5</v>
      </c>
      <c r="R308" t="s">
        <v>1761</v>
      </c>
      <c r="S308">
        <v>4</v>
      </c>
      <c r="U308" t="s">
        <v>55</v>
      </c>
      <c r="V308" t="s">
        <v>1530</v>
      </c>
      <c r="W308" t="s">
        <v>222</v>
      </c>
      <c r="X308" t="s">
        <v>1762</v>
      </c>
      <c r="Y308">
        <f t="shared" si="54"/>
        <v>1.5</v>
      </c>
      <c r="Z308">
        <f t="shared" si="55"/>
        <v>0</v>
      </c>
      <c r="AA308">
        <f t="shared" si="56"/>
        <v>0</v>
      </c>
      <c r="AB308">
        <f t="shared" si="57"/>
        <v>0</v>
      </c>
      <c r="AC308">
        <f t="shared" si="58"/>
        <v>0</v>
      </c>
      <c r="AD308">
        <f t="shared" si="59"/>
        <v>0</v>
      </c>
      <c r="AE308">
        <f t="shared" si="60"/>
        <v>0</v>
      </c>
      <c r="AF308">
        <f t="shared" si="61"/>
        <v>1.5</v>
      </c>
      <c r="AG308">
        <f t="shared" si="62"/>
        <v>0</v>
      </c>
      <c r="AH308" t="s">
        <v>521</v>
      </c>
      <c r="AI308" t="s">
        <v>566</v>
      </c>
      <c r="AJ308" t="s">
        <v>567</v>
      </c>
    </row>
    <row r="309" spans="1:36" x14ac:dyDescent="0.2">
      <c r="A309" t="s">
        <v>221</v>
      </c>
      <c r="B309" t="s">
        <v>397</v>
      </c>
      <c r="C309" t="s">
        <v>37</v>
      </c>
      <c r="D309" t="s">
        <v>715</v>
      </c>
      <c r="E309" s="6" t="s">
        <v>34</v>
      </c>
      <c r="F309" s="6">
        <v>1</v>
      </c>
      <c r="G309" s="6" t="s">
        <v>522</v>
      </c>
      <c r="I309" t="s">
        <v>716</v>
      </c>
      <c r="J309" t="s">
        <v>717</v>
      </c>
      <c r="L309" t="s">
        <v>46</v>
      </c>
      <c r="M309">
        <v>1</v>
      </c>
      <c r="P309" t="s">
        <v>1763</v>
      </c>
      <c r="Q309">
        <v>1</v>
      </c>
      <c r="R309" t="s">
        <v>1438</v>
      </c>
      <c r="S309">
        <v>0</v>
      </c>
      <c r="T309" t="s">
        <v>251</v>
      </c>
      <c r="U309" t="s">
        <v>57</v>
      </c>
      <c r="V309" t="s">
        <v>1764</v>
      </c>
      <c r="W309" t="s">
        <v>222</v>
      </c>
      <c r="Y309">
        <f t="shared" si="54"/>
        <v>2</v>
      </c>
      <c r="Z309">
        <f t="shared" si="55"/>
        <v>0</v>
      </c>
      <c r="AA309">
        <f t="shared" si="56"/>
        <v>0</v>
      </c>
      <c r="AB309">
        <f t="shared" si="57"/>
        <v>0</v>
      </c>
      <c r="AC309">
        <f t="shared" si="58"/>
        <v>0</v>
      </c>
      <c r="AD309">
        <f t="shared" si="59"/>
        <v>0</v>
      </c>
      <c r="AE309">
        <f t="shared" si="60"/>
        <v>0</v>
      </c>
      <c r="AF309">
        <f t="shared" si="61"/>
        <v>2</v>
      </c>
      <c r="AG309">
        <f t="shared" si="62"/>
        <v>0</v>
      </c>
      <c r="AH309" t="s">
        <v>530</v>
      </c>
      <c r="AI309" t="s">
        <v>581</v>
      </c>
      <c r="AJ309" t="s">
        <v>718</v>
      </c>
    </row>
    <row r="310" spans="1:36" x14ac:dyDescent="0.2">
      <c r="A310" t="s">
        <v>221</v>
      </c>
      <c r="B310" t="s">
        <v>397</v>
      </c>
      <c r="C310" t="s">
        <v>37</v>
      </c>
      <c r="D310" t="s">
        <v>715</v>
      </c>
      <c r="E310" s="6" t="s">
        <v>34</v>
      </c>
      <c r="F310" s="6">
        <v>1</v>
      </c>
      <c r="G310" s="6" t="s">
        <v>522</v>
      </c>
      <c r="I310" t="s">
        <v>716</v>
      </c>
      <c r="J310" t="s">
        <v>717</v>
      </c>
      <c r="L310" t="s">
        <v>46</v>
      </c>
      <c r="M310">
        <v>1</v>
      </c>
      <c r="P310" t="s">
        <v>1765</v>
      </c>
      <c r="Q310">
        <v>2</v>
      </c>
      <c r="R310" t="s">
        <v>1766</v>
      </c>
      <c r="S310">
        <v>0</v>
      </c>
      <c r="T310" t="s">
        <v>236</v>
      </c>
      <c r="U310" t="s">
        <v>57</v>
      </c>
      <c r="V310" t="s">
        <v>1767</v>
      </c>
      <c r="W310" t="s">
        <v>222</v>
      </c>
      <c r="Y310">
        <f t="shared" si="54"/>
        <v>0</v>
      </c>
      <c r="Z310">
        <f t="shared" si="55"/>
        <v>0</v>
      </c>
      <c r="AA310">
        <f t="shared" si="56"/>
        <v>0</v>
      </c>
      <c r="AB310">
        <f t="shared" si="57"/>
        <v>0</v>
      </c>
      <c r="AC310">
        <f t="shared" si="58"/>
        <v>0</v>
      </c>
      <c r="AD310">
        <f t="shared" si="59"/>
        <v>0</v>
      </c>
      <c r="AE310">
        <f t="shared" si="60"/>
        <v>0</v>
      </c>
      <c r="AF310">
        <f t="shared" si="61"/>
        <v>0</v>
      </c>
      <c r="AG310">
        <f t="shared" si="62"/>
        <v>0</v>
      </c>
      <c r="AH310" t="s">
        <v>530</v>
      </c>
      <c r="AI310" t="s">
        <v>581</v>
      </c>
      <c r="AJ310" t="s">
        <v>718</v>
      </c>
    </row>
    <row r="311" spans="1:36" x14ac:dyDescent="0.2">
      <c r="A311" t="s">
        <v>221</v>
      </c>
      <c r="B311" t="s">
        <v>397</v>
      </c>
      <c r="C311" t="s">
        <v>37</v>
      </c>
      <c r="D311" t="s">
        <v>715</v>
      </c>
      <c r="E311" s="6" t="s">
        <v>34</v>
      </c>
      <c r="F311" s="6">
        <v>1</v>
      </c>
      <c r="G311" s="6" t="s">
        <v>522</v>
      </c>
      <c r="I311" t="s">
        <v>716</v>
      </c>
      <c r="J311" t="s">
        <v>717</v>
      </c>
      <c r="L311" t="s">
        <v>46</v>
      </c>
      <c r="M311">
        <v>1</v>
      </c>
      <c r="P311" t="s">
        <v>1768</v>
      </c>
      <c r="Q311">
        <v>3</v>
      </c>
      <c r="R311" t="s">
        <v>1769</v>
      </c>
      <c r="S311">
        <v>1</v>
      </c>
      <c r="T311" t="s">
        <v>174</v>
      </c>
      <c r="U311" t="s">
        <v>57</v>
      </c>
      <c r="V311" t="s">
        <v>1770</v>
      </c>
      <c r="W311" t="s">
        <v>222</v>
      </c>
      <c r="Y311">
        <f t="shared" si="54"/>
        <v>0</v>
      </c>
      <c r="Z311">
        <f t="shared" si="55"/>
        <v>0</v>
      </c>
      <c r="AA311">
        <f t="shared" si="56"/>
        <v>0</v>
      </c>
      <c r="AB311">
        <f t="shared" si="57"/>
        <v>0</v>
      </c>
      <c r="AC311">
        <f t="shared" si="58"/>
        <v>0</v>
      </c>
      <c r="AD311">
        <f t="shared" si="59"/>
        <v>0</v>
      </c>
      <c r="AE311">
        <f t="shared" si="60"/>
        <v>0</v>
      </c>
      <c r="AF311">
        <f t="shared" si="61"/>
        <v>0</v>
      </c>
      <c r="AG311">
        <f t="shared" si="62"/>
        <v>0</v>
      </c>
      <c r="AH311" t="s">
        <v>530</v>
      </c>
      <c r="AI311" t="s">
        <v>581</v>
      </c>
      <c r="AJ311" t="s">
        <v>718</v>
      </c>
    </row>
    <row r="312" spans="1:36" x14ac:dyDescent="0.2">
      <c r="A312" t="s">
        <v>221</v>
      </c>
      <c r="B312" t="s">
        <v>397</v>
      </c>
      <c r="C312" t="s">
        <v>37</v>
      </c>
      <c r="D312" t="s">
        <v>715</v>
      </c>
      <c r="E312" s="6" t="s">
        <v>34</v>
      </c>
      <c r="F312" s="6">
        <v>1</v>
      </c>
      <c r="G312" s="6" t="s">
        <v>522</v>
      </c>
      <c r="I312" t="s">
        <v>716</v>
      </c>
      <c r="J312" t="s">
        <v>717</v>
      </c>
      <c r="L312" t="s">
        <v>46</v>
      </c>
      <c r="M312">
        <v>1</v>
      </c>
      <c r="P312" t="s">
        <v>1771</v>
      </c>
      <c r="Q312">
        <v>4</v>
      </c>
      <c r="R312" t="s">
        <v>1772</v>
      </c>
      <c r="S312">
        <v>2</v>
      </c>
      <c r="U312" t="s">
        <v>57</v>
      </c>
      <c r="V312" t="s">
        <v>1773</v>
      </c>
      <c r="W312" t="s">
        <v>222</v>
      </c>
      <c r="X312" t="s">
        <v>1774</v>
      </c>
      <c r="Y312">
        <f t="shared" si="54"/>
        <v>0</v>
      </c>
      <c r="Z312">
        <f t="shared" si="55"/>
        <v>0</v>
      </c>
      <c r="AA312">
        <f t="shared" si="56"/>
        <v>0</v>
      </c>
      <c r="AB312">
        <f t="shared" si="57"/>
        <v>0</v>
      </c>
      <c r="AC312">
        <f t="shared" si="58"/>
        <v>0</v>
      </c>
      <c r="AD312">
        <f t="shared" si="59"/>
        <v>0</v>
      </c>
      <c r="AE312">
        <f t="shared" si="60"/>
        <v>0</v>
      </c>
      <c r="AF312">
        <f t="shared" si="61"/>
        <v>0</v>
      </c>
      <c r="AG312">
        <f t="shared" si="62"/>
        <v>1</v>
      </c>
      <c r="AH312" t="s">
        <v>530</v>
      </c>
      <c r="AI312" t="s">
        <v>581</v>
      </c>
      <c r="AJ312" t="s">
        <v>718</v>
      </c>
    </row>
    <row r="313" spans="1:36" x14ac:dyDescent="0.2">
      <c r="A313" t="s">
        <v>221</v>
      </c>
      <c r="B313" t="s">
        <v>397</v>
      </c>
      <c r="C313" t="s">
        <v>37</v>
      </c>
      <c r="D313" t="s">
        <v>715</v>
      </c>
      <c r="E313" s="6" t="s">
        <v>34</v>
      </c>
      <c r="F313" s="6">
        <v>1</v>
      </c>
      <c r="G313" s="6" t="s">
        <v>522</v>
      </c>
      <c r="I313" t="s">
        <v>716</v>
      </c>
      <c r="J313" t="s">
        <v>717</v>
      </c>
      <c r="L313" t="s">
        <v>46</v>
      </c>
      <c r="M313">
        <v>1</v>
      </c>
      <c r="P313" t="s">
        <v>1775</v>
      </c>
      <c r="Q313">
        <v>5</v>
      </c>
      <c r="R313" t="s">
        <v>1776</v>
      </c>
      <c r="S313">
        <v>3</v>
      </c>
      <c r="U313" t="s">
        <v>57</v>
      </c>
      <c r="V313" t="s">
        <v>1777</v>
      </c>
      <c r="W313" t="s">
        <v>222</v>
      </c>
      <c r="X313" t="s">
        <v>1778</v>
      </c>
      <c r="Y313">
        <f t="shared" si="54"/>
        <v>0</v>
      </c>
      <c r="Z313">
        <f t="shared" si="55"/>
        <v>0</v>
      </c>
      <c r="AA313">
        <f t="shared" si="56"/>
        <v>0</v>
      </c>
      <c r="AB313">
        <f t="shared" si="57"/>
        <v>0</v>
      </c>
      <c r="AC313">
        <f t="shared" si="58"/>
        <v>0</v>
      </c>
      <c r="AD313">
        <f t="shared" si="59"/>
        <v>0</v>
      </c>
      <c r="AE313">
        <f t="shared" si="60"/>
        <v>0</v>
      </c>
      <c r="AF313">
        <f t="shared" si="61"/>
        <v>0</v>
      </c>
      <c r="AG313">
        <f t="shared" si="62"/>
        <v>2</v>
      </c>
      <c r="AH313" t="s">
        <v>530</v>
      </c>
      <c r="AI313" t="s">
        <v>581</v>
      </c>
      <c r="AJ313" t="s">
        <v>718</v>
      </c>
    </row>
    <row r="314" spans="1:36" x14ac:dyDescent="0.2">
      <c r="A314" t="s">
        <v>221</v>
      </c>
      <c r="B314" t="s">
        <v>397</v>
      </c>
      <c r="C314" t="s">
        <v>37</v>
      </c>
      <c r="D314" t="s">
        <v>715</v>
      </c>
      <c r="E314" s="6" t="s">
        <v>34</v>
      </c>
      <c r="F314" s="6">
        <v>1</v>
      </c>
      <c r="G314" s="6" t="s">
        <v>522</v>
      </c>
      <c r="I314" t="s">
        <v>716</v>
      </c>
      <c r="J314" t="s">
        <v>717</v>
      </c>
      <c r="L314" t="s">
        <v>46</v>
      </c>
      <c r="M314">
        <v>1</v>
      </c>
      <c r="P314" t="s">
        <v>1779</v>
      </c>
      <c r="Q314">
        <v>6</v>
      </c>
      <c r="R314" t="s">
        <v>1780</v>
      </c>
      <c r="S314">
        <v>4</v>
      </c>
      <c r="U314" t="s">
        <v>57</v>
      </c>
      <c r="V314" t="s">
        <v>1581</v>
      </c>
      <c r="W314" t="s">
        <v>222</v>
      </c>
      <c r="X314" t="s">
        <v>1781</v>
      </c>
      <c r="Y314">
        <f t="shared" si="54"/>
        <v>0</v>
      </c>
      <c r="Z314">
        <f t="shared" si="55"/>
        <v>0</v>
      </c>
      <c r="AA314">
        <f t="shared" si="56"/>
        <v>0</v>
      </c>
      <c r="AB314">
        <f t="shared" si="57"/>
        <v>0</v>
      </c>
      <c r="AC314">
        <f t="shared" si="58"/>
        <v>0</v>
      </c>
      <c r="AD314">
        <f t="shared" si="59"/>
        <v>0</v>
      </c>
      <c r="AE314">
        <f t="shared" si="60"/>
        <v>0</v>
      </c>
      <c r="AF314">
        <f t="shared" si="61"/>
        <v>0</v>
      </c>
      <c r="AG314">
        <f t="shared" si="62"/>
        <v>3</v>
      </c>
      <c r="AH314" t="s">
        <v>530</v>
      </c>
      <c r="AI314" t="s">
        <v>581</v>
      </c>
      <c r="AJ314" t="s">
        <v>718</v>
      </c>
    </row>
    <row r="315" spans="1:36" x14ac:dyDescent="0.2">
      <c r="A315" t="s">
        <v>221</v>
      </c>
      <c r="B315" t="s">
        <v>398</v>
      </c>
      <c r="C315" t="s">
        <v>39</v>
      </c>
      <c r="D315" t="s">
        <v>715</v>
      </c>
      <c r="E315" s="6" t="s">
        <v>20</v>
      </c>
      <c r="F315" s="6">
        <v>1</v>
      </c>
      <c r="G315" s="6" t="s">
        <v>522</v>
      </c>
      <c r="I315" t="s">
        <v>719</v>
      </c>
      <c r="J315" t="s">
        <v>720</v>
      </c>
      <c r="L315" t="s">
        <v>48</v>
      </c>
      <c r="M315">
        <v>1</v>
      </c>
      <c r="P315" t="s">
        <v>1782</v>
      </c>
      <c r="Q315">
        <v>1</v>
      </c>
      <c r="R315" t="s">
        <v>1783</v>
      </c>
      <c r="S315">
        <v>0</v>
      </c>
      <c r="T315" t="s">
        <v>236</v>
      </c>
      <c r="U315" t="s">
        <v>57</v>
      </c>
      <c r="V315" t="s">
        <v>1784</v>
      </c>
      <c r="W315" t="s">
        <v>222</v>
      </c>
      <c r="Y315">
        <f t="shared" si="54"/>
        <v>0</v>
      </c>
      <c r="Z315">
        <f t="shared" si="55"/>
        <v>0</v>
      </c>
      <c r="AA315">
        <f t="shared" si="56"/>
        <v>0</v>
      </c>
      <c r="AB315">
        <f t="shared" si="57"/>
        <v>0</v>
      </c>
      <c r="AC315">
        <f t="shared" si="58"/>
        <v>0</v>
      </c>
      <c r="AD315">
        <f t="shared" si="59"/>
        <v>0</v>
      </c>
      <c r="AE315">
        <f t="shared" si="60"/>
        <v>0</v>
      </c>
      <c r="AF315">
        <f t="shared" si="61"/>
        <v>0</v>
      </c>
      <c r="AG315">
        <f t="shared" si="62"/>
        <v>4</v>
      </c>
      <c r="AH315" t="s">
        <v>550</v>
      </c>
      <c r="AI315" t="s">
        <v>551</v>
      </c>
      <c r="AJ315" t="s">
        <v>721</v>
      </c>
    </row>
    <row r="316" spans="1:36" x14ac:dyDescent="0.2">
      <c r="A316" t="s">
        <v>221</v>
      </c>
      <c r="B316" t="s">
        <v>398</v>
      </c>
      <c r="C316" t="s">
        <v>39</v>
      </c>
      <c r="D316" t="s">
        <v>715</v>
      </c>
      <c r="E316" s="6" t="s">
        <v>20</v>
      </c>
      <c r="F316" s="6">
        <v>1</v>
      </c>
      <c r="G316" s="6" t="s">
        <v>522</v>
      </c>
      <c r="I316" t="s">
        <v>719</v>
      </c>
      <c r="J316" t="s">
        <v>720</v>
      </c>
      <c r="L316" t="s">
        <v>48</v>
      </c>
      <c r="M316">
        <v>1</v>
      </c>
      <c r="P316" t="s">
        <v>1785</v>
      </c>
      <c r="Q316">
        <v>2</v>
      </c>
      <c r="R316" t="s">
        <v>1786</v>
      </c>
      <c r="S316">
        <v>1</v>
      </c>
      <c r="T316" t="s">
        <v>174</v>
      </c>
      <c r="U316" t="s">
        <v>57</v>
      </c>
      <c r="V316" t="s">
        <v>1787</v>
      </c>
      <c r="W316" t="s">
        <v>222</v>
      </c>
      <c r="Y316">
        <f t="shared" si="54"/>
        <v>0</v>
      </c>
      <c r="Z316">
        <f t="shared" si="55"/>
        <v>0</v>
      </c>
      <c r="AA316">
        <f t="shared" si="56"/>
        <v>0</v>
      </c>
      <c r="AB316">
        <f t="shared" si="57"/>
        <v>0</v>
      </c>
      <c r="AC316">
        <f t="shared" si="58"/>
        <v>0</v>
      </c>
      <c r="AD316">
        <f t="shared" si="59"/>
        <v>0</v>
      </c>
      <c r="AE316">
        <f t="shared" si="60"/>
        <v>0</v>
      </c>
      <c r="AF316">
        <f t="shared" si="61"/>
        <v>0</v>
      </c>
      <c r="AG316">
        <f t="shared" si="62"/>
        <v>0</v>
      </c>
      <c r="AH316" t="s">
        <v>550</v>
      </c>
      <c r="AI316" t="s">
        <v>551</v>
      </c>
      <c r="AJ316" t="s">
        <v>721</v>
      </c>
    </row>
    <row r="317" spans="1:36" x14ac:dyDescent="0.2">
      <c r="A317" t="s">
        <v>221</v>
      </c>
      <c r="B317" t="s">
        <v>398</v>
      </c>
      <c r="C317" t="s">
        <v>39</v>
      </c>
      <c r="D317" t="s">
        <v>715</v>
      </c>
      <c r="E317" s="6" t="s">
        <v>20</v>
      </c>
      <c r="F317" s="6">
        <v>1</v>
      </c>
      <c r="G317" s="6" t="s">
        <v>522</v>
      </c>
      <c r="I317" t="s">
        <v>719</v>
      </c>
      <c r="J317" t="s">
        <v>720</v>
      </c>
      <c r="L317" t="s">
        <v>48</v>
      </c>
      <c r="M317">
        <v>1</v>
      </c>
      <c r="P317" t="s">
        <v>1788</v>
      </c>
      <c r="Q317">
        <v>3</v>
      </c>
      <c r="R317" t="s">
        <v>1789</v>
      </c>
      <c r="S317">
        <v>2</v>
      </c>
      <c r="U317" t="s">
        <v>57</v>
      </c>
      <c r="V317" t="s">
        <v>1790</v>
      </c>
      <c r="W317" t="s">
        <v>222</v>
      </c>
      <c r="Y317">
        <f t="shared" si="54"/>
        <v>0</v>
      </c>
      <c r="Z317">
        <f t="shared" si="55"/>
        <v>1</v>
      </c>
      <c r="AA317">
        <f t="shared" si="56"/>
        <v>0</v>
      </c>
      <c r="AB317">
        <f t="shared" si="57"/>
        <v>0</v>
      </c>
      <c r="AC317">
        <f t="shared" si="58"/>
        <v>0</v>
      </c>
      <c r="AD317">
        <f t="shared" si="59"/>
        <v>0</v>
      </c>
      <c r="AE317">
        <f t="shared" si="60"/>
        <v>0</v>
      </c>
      <c r="AF317">
        <f t="shared" si="61"/>
        <v>0</v>
      </c>
      <c r="AG317">
        <f t="shared" si="62"/>
        <v>0</v>
      </c>
      <c r="AH317" t="s">
        <v>550</v>
      </c>
      <c r="AI317" t="s">
        <v>551</v>
      </c>
      <c r="AJ317" t="s">
        <v>721</v>
      </c>
    </row>
    <row r="318" spans="1:36" x14ac:dyDescent="0.2">
      <c r="A318" t="s">
        <v>221</v>
      </c>
      <c r="B318" t="s">
        <v>398</v>
      </c>
      <c r="C318" t="s">
        <v>39</v>
      </c>
      <c r="D318" t="s">
        <v>715</v>
      </c>
      <c r="E318" s="6" t="s">
        <v>20</v>
      </c>
      <c r="F318" s="6">
        <v>1</v>
      </c>
      <c r="G318" s="6" t="s">
        <v>522</v>
      </c>
      <c r="I318" t="s">
        <v>719</v>
      </c>
      <c r="J318" t="s">
        <v>720</v>
      </c>
      <c r="L318" t="s">
        <v>48</v>
      </c>
      <c r="M318">
        <v>1</v>
      </c>
      <c r="P318" t="s">
        <v>1791</v>
      </c>
      <c r="Q318">
        <v>4</v>
      </c>
      <c r="R318" t="s">
        <v>1792</v>
      </c>
      <c r="S318">
        <v>3</v>
      </c>
      <c r="U318" t="s">
        <v>57</v>
      </c>
      <c r="V318" t="s">
        <v>1793</v>
      </c>
      <c r="W318" t="s">
        <v>222</v>
      </c>
      <c r="X318" t="s">
        <v>1794</v>
      </c>
      <c r="Y318">
        <f t="shared" si="54"/>
        <v>0</v>
      </c>
      <c r="Z318">
        <f t="shared" si="55"/>
        <v>2</v>
      </c>
      <c r="AA318">
        <f t="shared" si="56"/>
        <v>0</v>
      </c>
      <c r="AB318">
        <f t="shared" si="57"/>
        <v>0</v>
      </c>
      <c r="AC318">
        <f t="shared" si="58"/>
        <v>0</v>
      </c>
      <c r="AD318">
        <f t="shared" si="59"/>
        <v>0</v>
      </c>
      <c r="AE318">
        <f t="shared" si="60"/>
        <v>0</v>
      </c>
      <c r="AF318">
        <f t="shared" si="61"/>
        <v>0</v>
      </c>
      <c r="AG318">
        <f t="shared" si="62"/>
        <v>0</v>
      </c>
      <c r="AH318" t="s">
        <v>550</v>
      </c>
      <c r="AI318" t="s">
        <v>551</v>
      </c>
      <c r="AJ318" t="s">
        <v>721</v>
      </c>
    </row>
    <row r="319" spans="1:36" x14ac:dyDescent="0.2">
      <c r="A319" t="s">
        <v>221</v>
      </c>
      <c r="B319" t="s">
        <v>399</v>
      </c>
      <c r="C319" t="s">
        <v>39</v>
      </c>
      <c r="D319" t="s">
        <v>715</v>
      </c>
      <c r="E319" s="6" t="s">
        <v>18</v>
      </c>
      <c r="F319" s="6">
        <v>0.5</v>
      </c>
      <c r="G319" s="6" t="s">
        <v>34</v>
      </c>
      <c r="H319" s="6">
        <v>0.5</v>
      </c>
      <c r="I319" t="s">
        <v>722</v>
      </c>
      <c r="J319" t="s">
        <v>723</v>
      </c>
      <c r="L319" t="s">
        <v>44</v>
      </c>
      <c r="M319">
        <v>1</v>
      </c>
      <c r="P319" t="s">
        <v>1795</v>
      </c>
      <c r="Q319">
        <v>1</v>
      </c>
      <c r="R319" t="s">
        <v>1796</v>
      </c>
      <c r="S319">
        <v>0</v>
      </c>
      <c r="T319" t="s">
        <v>236</v>
      </c>
      <c r="U319" t="s">
        <v>57</v>
      </c>
      <c r="V319" t="s">
        <v>1797</v>
      </c>
      <c r="W319" t="s">
        <v>222</v>
      </c>
      <c r="Y319">
        <f t="shared" si="54"/>
        <v>0</v>
      </c>
      <c r="Z319">
        <f t="shared" si="55"/>
        <v>3</v>
      </c>
      <c r="AA319">
        <f t="shared" si="56"/>
        <v>0</v>
      </c>
      <c r="AB319">
        <f t="shared" si="57"/>
        <v>0</v>
      </c>
      <c r="AC319">
        <f t="shared" si="58"/>
        <v>0</v>
      </c>
      <c r="AD319">
        <f t="shared" si="59"/>
        <v>0</v>
      </c>
      <c r="AE319">
        <f t="shared" si="60"/>
        <v>0</v>
      </c>
      <c r="AF319">
        <f t="shared" si="61"/>
        <v>0</v>
      </c>
      <c r="AG319">
        <f t="shared" si="62"/>
        <v>0</v>
      </c>
      <c r="AH319" t="s">
        <v>521</v>
      </c>
      <c r="AI319" t="s">
        <v>566</v>
      </c>
      <c r="AJ319" t="s">
        <v>567</v>
      </c>
    </row>
    <row r="320" spans="1:36" x14ac:dyDescent="0.2">
      <c r="A320" t="s">
        <v>221</v>
      </c>
      <c r="B320" t="s">
        <v>399</v>
      </c>
      <c r="C320" t="s">
        <v>39</v>
      </c>
      <c r="D320" t="s">
        <v>715</v>
      </c>
      <c r="E320" s="6" t="s">
        <v>18</v>
      </c>
      <c r="F320" s="6">
        <v>0.5</v>
      </c>
      <c r="G320" s="6" t="s">
        <v>34</v>
      </c>
      <c r="H320" s="6">
        <v>0.5</v>
      </c>
      <c r="I320" t="s">
        <v>722</v>
      </c>
      <c r="J320" t="s">
        <v>723</v>
      </c>
      <c r="L320" t="s">
        <v>44</v>
      </c>
      <c r="M320">
        <v>1</v>
      </c>
      <c r="P320" t="s">
        <v>1798</v>
      </c>
      <c r="Q320">
        <v>2</v>
      </c>
      <c r="R320" t="s">
        <v>1799</v>
      </c>
      <c r="S320">
        <v>1</v>
      </c>
      <c r="T320" t="s">
        <v>172</v>
      </c>
      <c r="U320" t="s">
        <v>61</v>
      </c>
      <c r="V320" t="s">
        <v>1800</v>
      </c>
      <c r="W320" t="s">
        <v>222</v>
      </c>
      <c r="X320" t="s">
        <v>1801</v>
      </c>
      <c r="Y320">
        <f t="shared" si="54"/>
        <v>0</v>
      </c>
      <c r="Z320">
        <f t="shared" si="55"/>
        <v>0</v>
      </c>
      <c r="AA320">
        <f t="shared" si="56"/>
        <v>0</v>
      </c>
      <c r="AB320">
        <f t="shared" si="57"/>
        <v>0</v>
      </c>
      <c r="AC320">
        <f t="shared" si="58"/>
        <v>0</v>
      </c>
      <c r="AD320">
        <f t="shared" si="59"/>
        <v>0</v>
      </c>
      <c r="AE320">
        <f t="shared" si="60"/>
        <v>0</v>
      </c>
      <c r="AF320">
        <f t="shared" si="61"/>
        <v>0</v>
      </c>
      <c r="AG320">
        <f t="shared" si="62"/>
        <v>0</v>
      </c>
      <c r="AH320" t="s">
        <v>521</v>
      </c>
      <c r="AI320" t="s">
        <v>566</v>
      </c>
      <c r="AJ320" t="s">
        <v>567</v>
      </c>
    </row>
    <row r="321" spans="1:36" x14ac:dyDescent="0.2">
      <c r="A321" t="s">
        <v>221</v>
      </c>
      <c r="B321" t="s">
        <v>399</v>
      </c>
      <c r="C321" t="s">
        <v>39</v>
      </c>
      <c r="D321" t="s">
        <v>715</v>
      </c>
      <c r="E321" s="6" t="s">
        <v>18</v>
      </c>
      <c r="F321" s="6">
        <v>0.5</v>
      </c>
      <c r="G321" s="6" t="s">
        <v>34</v>
      </c>
      <c r="H321" s="6">
        <v>0.5</v>
      </c>
      <c r="I321" t="s">
        <v>722</v>
      </c>
      <c r="J321" t="s">
        <v>723</v>
      </c>
      <c r="L321" t="s">
        <v>44</v>
      </c>
      <c r="M321">
        <v>1</v>
      </c>
      <c r="P321" t="s">
        <v>1802</v>
      </c>
      <c r="Q321">
        <v>3</v>
      </c>
      <c r="R321" t="s">
        <v>1803</v>
      </c>
      <c r="S321">
        <v>2</v>
      </c>
      <c r="U321" t="s">
        <v>57</v>
      </c>
      <c r="V321" t="s">
        <v>1804</v>
      </c>
      <c r="W321" t="s">
        <v>222</v>
      </c>
      <c r="Y321">
        <f t="shared" si="54"/>
        <v>0.5</v>
      </c>
      <c r="Z321">
        <f t="shared" si="55"/>
        <v>0</v>
      </c>
      <c r="AA321">
        <f t="shared" si="56"/>
        <v>0</v>
      </c>
      <c r="AB321">
        <f t="shared" si="57"/>
        <v>0</v>
      </c>
      <c r="AC321">
        <f t="shared" si="58"/>
        <v>0</v>
      </c>
      <c r="AD321">
        <f t="shared" si="59"/>
        <v>0</v>
      </c>
      <c r="AE321">
        <f t="shared" si="60"/>
        <v>0</v>
      </c>
      <c r="AF321">
        <f t="shared" si="61"/>
        <v>0</v>
      </c>
      <c r="AG321">
        <f t="shared" si="62"/>
        <v>0.5</v>
      </c>
      <c r="AH321" t="s">
        <v>521</v>
      </c>
      <c r="AI321" t="s">
        <v>566</v>
      </c>
      <c r="AJ321" t="s">
        <v>567</v>
      </c>
    </row>
    <row r="322" spans="1:36" x14ac:dyDescent="0.2">
      <c r="A322" t="s">
        <v>221</v>
      </c>
      <c r="B322" t="s">
        <v>399</v>
      </c>
      <c r="C322" t="s">
        <v>39</v>
      </c>
      <c r="D322" t="s">
        <v>715</v>
      </c>
      <c r="E322" s="6" t="s">
        <v>18</v>
      </c>
      <c r="F322" s="6">
        <v>0.5</v>
      </c>
      <c r="G322" s="6" t="s">
        <v>34</v>
      </c>
      <c r="H322" s="6">
        <v>0.5</v>
      </c>
      <c r="I322" t="s">
        <v>722</v>
      </c>
      <c r="J322" t="s">
        <v>723</v>
      </c>
      <c r="L322" t="s">
        <v>44</v>
      </c>
      <c r="M322">
        <v>1</v>
      </c>
      <c r="P322" t="s">
        <v>1805</v>
      </c>
      <c r="Q322">
        <v>4</v>
      </c>
      <c r="R322" t="s">
        <v>1806</v>
      </c>
      <c r="S322">
        <v>3</v>
      </c>
      <c r="U322" t="s">
        <v>57</v>
      </c>
      <c r="V322" t="s">
        <v>1807</v>
      </c>
      <c r="W322" t="s">
        <v>222</v>
      </c>
      <c r="X322" t="s">
        <v>1808</v>
      </c>
      <c r="Y322">
        <f t="shared" si="54"/>
        <v>1</v>
      </c>
      <c r="Z322">
        <f t="shared" si="55"/>
        <v>0</v>
      </c>
      <c r="AA322">
        <f t="shared" si="56"/>
        <v>0</v>
      </c>
      <c r="AB322">
        <f t="shared" si="57"/>
        <v>0</v>
      </c>
      <c r="AC322">
        <f t="shared" si="58"/>
        <v>0</v>
      </c>
      <c r="AD322">
        <f t="shared" si="59"/>
        <v>0</v>
      </c>
      <c r="AE322">
        <f t="shared" si="60"/>
        <v>0</v>
      </c>
      <c r="AF322">
        <f t="shared" si="61"/>
        <v>0</v>
      </c>
      <c r="AG322">
        <f t="shared" si="62"/>
        <v>1</v>
      </c>
      <c r="AH322" t="s">
        <v>521</v>
      </c>
      <c r="AI322" t="s">
        <v>566</v>
      </c>
      <c r="AJ322" t="s">
        <v>567</v>
      </c>
    </row>
    <row r="323" spans="1:36" x14ac:dyDescent="0.2">
      <c r="A323" t="s">
        <v>221</v>
      </c>
      <c r="B323" t="s">
        <v>399</v>
      </c>
      <c r="C323" t="s">
        <v>39</v>
      </c>
      <c r="D323" t="s">
        <v>715</v>
      </c>
      <c r="E323" s="6" t="s">
        <v>18</v>
      </c>
      <c r="F323" s="6">
        <v>0.5</v>
      </c>
      <c r="G323" s="6" t="s">
        <v>34</v>
      </c>
      <c r="H323" s="6">
        <v>0.5</v>
      </c>
      <c r="I323" t="s">
        <v>722</v>
      </c>
      <c r="J323" t="s">
        <v>723</v>
      </c>
      <c r="L323" t="s">
        <v>44</v>
      </c>
      <c r="M323">
        <v>1</v>
      </c>
      <c r="P323" t="s">
        <v>1809</v>
      </c>
      <c r="Q323">
        <v>5</v>
      </c>
      <c r="R323" t="s">
        <v>1810</v>
      </c>
      <c r="S323">
        <v>4</v>
      </c>
      <c r="U323" t="s">
        <v>57</v>
      </c>
      <c r="V323" t="s">
        <v>1530</v>
      </c>
      <c r="W323" t="s">
        <v>222</v>
      </c>
      <c r="X323" t="s">
        <v>1811</v>
      </c>
      <c r="Y323">
        <f t="shared" si="54"/>
        <v>1.5</v>
      </c>
      <c r="Z323">
        <f t="shared" si="55"/>
        <v>0</v>
      </c>
      <c r="AA323">
        <f t="shared" si="56"/>
        <v>0</v>
      </c>
      <c r="AB323">
        <f t="shared" si="57"/>
        <v>0</v>
      </c>
      <c r="AC323">
        <f t="shared" si="58"/>
        <v>0</v>
      </c>
      <c r="AD323">
        <f t="shared" si="59"/>
        <v>0</v>
      </c>
      <c r="AE323">
        <f t="shared" si="60"/>
        <v>0</v>
      </c>
      <c r="AF323">
        <f t="shared" si="61"/>
        <v>0</v>
      </c>
      <c r="AG323">
        <f t="shared" si="62"/>
        <v>1.5</v>
      </c>
      <c r="AH323" t="s">
        <v>521</v>
      </c>
      <c r="AI323" t="s">
        <v>566</v>
      </c>
      <c r="AJ323" t="s">
        <v>567</v>
      </c>
    </row>
    <row r="324" spans="1:36" x14ac:dyDescent="0.2">
      <c r="A324" t="s">
        <v>221</v>
      </c>
      <c r="B324" t="s">
        <v>400</v>
      </c>
      <c r="C324" t="s">
        <v>37</v>
      </c>
      <c r="D324" t="s">
        <v>724</v>
      </c>
      <c r="E324" s="6" t="s">
        <v>30</v>
      </c>
      <c r="F324" s="6">
        <v>0.6</v>
      </c>
      <c r="G324" s="6" t="s">
        <v>24</v>
      </c>
      <c r="H324" s="6">
        <v>0.4</v>
      </c>
      <c r="I324" t="s">
        <v>725</v>
      </c>
      <c r="J324" t="s">
        <v>726</v>
      </c>
      <c r="L324" t="s">
        <v>52</v>
      </c>
      <c r="M324">
        <v>1</v>
      </c>
      <c r="P324" t="s">
        <v>1812</v>
      </c>
      <c r="Q324">
        <v>1</v>
      </c>
      <c r="R324" t="s">
        <v>1438</v>
      </c>
      <c r="S324">
        <v>0</v>
      </c>
      <c r="T324" t="s">
        <v>251</v>
      </c>
      <c r="U324" t="s">
        <v>59</v>
      </c>
      <c r="V324" t="s">
        <v>1813</v>
      </c>
      <c r="W324" t="s">
        <v>222</v>
      </c>
      <c r="Y324">
        <f t="shared" si="54"/>
        <v>2</v>
      </c>
      <c r="Z324">
        <f t="shared" si="55"/>
        <v>0</v>
      </c>
      <c r="AA324">
        <f t="shared" si="56"/>
        <v>0</v>
      </c>
      <c r="AB324">
        <f t="shared" si="57"/>
        <v>0</v>
      </c>
      <c r="AC324">
        <f t="shared" si="58"/>
        <v>0</v>
      </c>
      <c r="AD324">
        <f t="shared" si="59"/>
        <v>0</v>
      </c>
      <c r="AE324">
        <f t="shared" si="60"/>
        <v>0</v>
      </c>
      <c r="AF324">
        <f t="shared" si="61"/>
        <v>0</v>
      </c>
      <c r="AG324">
        <f t="shared" si="62"/>
        <v>2</v>
      </c>
      <c r="AH324" t="s">
        <v>561</v>
      </c>
      <c r="AI324" t="s">
        <v>587</v>
      </c>
      <c r="AJ324" t="s">
        <v>727</v>
      </c>
    </row>
    <row r="325" spans="1:36" x14ac:dyDescent="0.2">
      <c r="A325" t="s">
        <v>221</v>
      </c>
      <c r="B325" t="s">
        <v>400</v>
      </c>
      <c r="C325" t="s">
        <v>37</v>
      </c>
      <c r="D325" t="s">
        <v>724</v>
      </c>
      <c r="E325" s="6" t="s">
        <v>30</v>
      </c>
      <c r="F325" s="6">
        <v>0.6</v>
      </c>
      <c r="G325" s="6" t="s">
        <v>24</v>
      </c>
      <c r="H325" s="6">
        <v>0.4</v>
      </c>
      <c r="I325" t="s">
        <v>725</v>
      </c>
      <c r="J325" t="s">
        <v>726</v>
      </c>
      <c r="L325" t="s">
        <v>52</v>
      </c>
      <c r="M325">
        <v>1</v>
      </c>
      <c r="P325" t="s">
        <v>1814</v>
      </c>
      <c r="Q325">
        <v>2</v>
      </c>
      <c r="R325" t="s">
        <v>1815</v>
      </c>
      <c r="S325">
        <v>0</v>
      </c>
      <c r="T325" t="s">
        <v>248</v>
      </c>
      <c r="U325" t="s">
        <v>60</v>
      </c>
      <c r="V325" t="s">
        <v>1816</v>
      </c>
      <c r="W325" t="s">
        <v>222</v>
      </c>
      <c r="Y325">
        <f t="shared" si="54"/>
        <v>0</v>
      </c>
      <c r="Z325">
        <f t="shared" si="55"/>
        <v>0</v>
      </c>
      <c r="AA325">
        <f t="shared" si="56"/>
        <v>0</v>
      </c>
      <c r="AB325">
        <f t="shared" si="57"/>
        <v>0</v>
      </c>
      <c r="AC325">
        <f t="shared" si="58"/>
        <v>0</v>
      </c>
      <c r="AD325">
        <f t="shared" si="59"/>
        <v>0</v>
      </c>
      <c r="AE325">
        <f t="shared" si="60"/>
        <v>0</v>
      </c>
      <c r="AF325">
        <f t="shared" si="61"/>
        <v>0</v>
      </c>
      <c r="AG325">
        <f t="shared" si="62"/>
        <v>0</v>
      </c>
      <c r="AH325" t="s">
        <v>561</v>
      </c>
      <c r="AI325" t="s">
        <v>587</v>
      </c>
      <c r="AJ325" t="s">
        <v>727</v>
      </c>
    </row>
    <row r="326" spans="1:36" x14ac:dyDescent="0.2">
      <c r="A326" t="s">
        <v>221</v>
      </c>
      <c r="B326" t="s">
        <v>400</v>
      </c>
      <c r="C326" t="s">
        <v>37</v>
      </c>
      <c r="D326" t="s">
        <v>724</v>
      </c>
      <c r="E326" s="6" t="s">
        <v>30</v>
      </c>
      <c r="F326" s="6">
        <v>0.6</v>
      </c>
      <c r="G326" s="6" t="s">
        <v>24</v>
      </c>
      <c r="H326" s="6">
        <v>0.4</v>
      </c>
      <c r="I326" t="s">
        <v>725</v>
      </c>
      <c r="J326" t="s">
        <v>726</v>
      </c>
      <c r="L326" t="s">
        <v>52</v>
      </c>
      <c r="M326">
        <v>1</v>
      </c>
      <c r="P326" t="s">
        <v>1817</v>
      </c>
      <c r="Q326">
        <v>3</v>
      </c>
      <c r="R326" t="s">
        <v>1818</v>
      </c>
      <c r="S326">
        <v>1</v>
      </c>
      <c r="T326" t="s">
        <v>174</v>
      </c>
      <c r="U326" t="s">
        <v>60</v>
      </c>
      <c r="V326" t="s">
        <v>1819</v>
      </c>
      <c r="W326" t="s">
        <v>222</v>
      </c>
      <c r="Y326">
        <f t="shared" si="54"/>
        <v>0</v>
      </c>
      <c r="Z326">
        <f t="shared" si="55"/>
        <v>0</v>
      </c>
      <c r="AA326">
        <f t="shared" si="56"/>
        <v>0</v>
      </c>
      <c r="AB326">
        <f t="shared" si="57"/>
        <v>0</v>
      </c>
      <c r="AC326">
        <f t="shared" si="58"/>
        <v>0</v>
      </c>
      <c r="AD326">
        <f t="shared" si="59"/>
        <v>0</v>
      </c>
      <c r="AE326">
        <f t="shared" si="60"/>
        <v>0</v>
      </c>
      <c r="AF326">
        <f t="shared" si="61"/>
        <v>0</v>
      </c>
      <c r="AG326">
        <f t="shared" si="62"/>
        <v>0</v>
      </c>
      <c r="AH326" t="s">
        <v>561</v>
      </c>
      <c r="AI326" t="s">
        <v>587</v>
      </c>
      <c r="AJ326" t="s">
        <v>727</v>
      </c>
    </row>
    <row r="327" spans="1:36" x14ac:dyDescent="0.2">
      <c r="A327" t="s">
        <v>221</v>
      </c>
      <c r="B327" t="s">
        <v>400</v>
      </c>
      <c r="C327" t="s">
        <v>37</v>
      </c>
      <c r="D327" t="s">
        <v>724</v>
      </c>
      <c r="E327" s="6" t="s">
        <v>30</v>
      </c>
      <c r="F327" s="6">
        <v>0.6</v>
      </c>
      <c r="G327" s="6" t="s">
        <v>24</v>
      </c>
      <c r="H327" s="6">
        <v>0.4</v>
      </c>
      <c r="I327" t="s">
        <v>725</v>
      </c>
      <c r="J327" t="s">
        <v>726</v>
      </c>
      <c r="L327" t="s">
        <v>52</v>
      </c>
      <c r="M327">
        <v>1</v>
      </c>
      <c r="P327" t="s">
        <v>1820</v>
      </c>
      <c r="Q327">
        <v>4</v>
      </c>
      <c r="R327" t="s">
        <v>1821</v>
      </c>
      <c r="S327">
        <v>2</v>
      </c>
      <c r="T327" t="s">
        <v>172</v>
      </c>
      <c r="U327" t="s">
        <v>61</v>
      </c>
      <c r="V327" t="s">
        <v>1822</v>
      </c>
      <c r="W327" t="s">
        <v>222</v>
      </c>
      <c r="X327" t="s">
        <v>1823</v>
      </c>
      <c r="Y327">
        <f t="shared" si="54"/>
        <v>0</v>
      </c>
      <c r="Z327">
        <f t="shared" si="55"/>
        <v>0</v>
      </c>
      <c r="AA327">
        <f t="shared" si="56"/>
        <v>0</v>
      </c>
      <c r="AB327">
        <f t="shared" si="57"/>
        <v>0.4</v>
      </c>
      <c r="AC327">
        <f t="shared" si="58"/>
        <v>0</v>
      </c>
      <c r="AD327">
        <f t="shared" si="59"/>
        <v>0</v>
      </c>
      <c r="AE327">
        <f t="shared" si="60"/>
        <v>0.6</v>
      </c>
      <c r="AF327">
        <f t="shared" si="61"/>
        <v>0</v>
      </c>
      <c r="AG327">
        <f t="shared" si="62"/>
        <v>0</v>
      </c>
      <c r="AH327" t="s">
        <v>561</v>
      </c>
      <c r="AI327" t="s">
        <v>587</v>
      </c>
      <c r="AJ327" t="s">
        <v>727</v>
      </c>
    </row>
    <row r="328" spans="1:36" x14ac:dyDescent="0.2">
      <c r="A328" t="s">
        <v>221</v>
      </c>
      <c r="B328" t="s">
        <v>400</v>
      </c>
      <c r="C328" t="s">
        <v>37</v>
      </c>
      <c r="D328" t="s">
        <v>724</v>
      </c>
      <c r="E328" s="6" t="s">
        <v>30</v>
      </c>
      <c r="F328" s="6">
        <v>0.6</v>
      </c>
      <c r="G328" s="6" t="s">
        <v>24</v>
      </c>
      <c r="H328" s="6">
        <v>0.4</v>
      </c>
      <c r="I328" t="s">
        <v>725</v>
      </c>
      <c r="J328" t="s">
        <v>726</v>
      </c>
      <c r="L328" t="s">
        <v>52</v>
      </c>
      <c r="M328">
        <v>1</v>
      </c>
      <c r="P328" t="s">
        <v>1824</v>
      </c>
      <c r="Q328">
        <v>5</v>
      </c>
      <c r="R328" t="s">
        <v>1825</v>
      </c>
      <c r="S328">
        <v>3</v>
      </c>
      <c r="U328" t="s">
        <v>59</v>
      </c>
      <c r="V328" t="s">
        <v>1693</v>
      </c>
      <c r="W328" t="s">
        <v>222</v>
      </c>
      <c r="X328" t="s">
        <v>1826</v>
      </c>
      <c r="Y328">
        <f t="shared" si="54"/>
        <v>0</v>
      </c>
      <c r="Z328">
        <f t="shared" si="55"/>
        <v>0</v>
      </c>
      <c r="AA328">
        <f t="shared" si="56"/>
        <v>0</v>
      </c>
      <c r="AB328">
        <f t="shared" si="57"/>
        <v>0.8</v>
      </c>
      <c r="AC328">
        <f t="shared" si="58"/>
        <v>0</v>
      </c>
      <c r="AD328">
        <f t="shared" si="59"/>
        <v>0</v>
      </c>
      <c r="AE328">
        <f t="shared" si="60"/>
        <v>1.2</v>
      </c>
      <c r="AF328">
        <f t="shared" si="61"/>
        <v>0</v>
      </c>
      <c r="AG328">
        <f t="shared" si="62"/>
        <v>0</v>
      </c>
      <c r="AH328" t="s">
        <v>561</v>
      </c>
      <c r="AI328" t="s">
        <v>587</v>
      </c>
      <c r="AJ328" t="s">
        <v>727</v>
      </c>
    </row>
    <row r="329" spans="1:36" x14ac:dyDescent="0.2">
      <c r="A329" t="s">
        <v>221</v>
      </c>
      <c r="B329" t="s">
        <v>400</v>
      </c>
      <c r="C329" t="s">
        <v>37</v>
      </c>
      <c r="D329" t="s">
        <v>724</v>
      </c>
      <c r="E329" s="6" t="s">
        <v>30</v>
      </c>
      <c r="F329" s="6">
        <v>0.6</v>
      </c>
      <c r="G329" s="6" t="s">
        <v>24</v>
      </c>
      <c r="H329" s="6">
        <v>0.4</v>
      </c>
      <c r="I329" t="s">
        <v>725</v>
      </c>
      <c r="J329" t="s">
        <v>726</v>
      </c>
      <c r="L329" t="s">
        <v>52</v>
      </c>
      <c r="M329">
        <v>1</v>
      </c>
      <c r="P329" t="s">
        <v>1827</v>
      </c>
      <c r="Q329">
        <v>6</v>
      </c>
      <c r="R329" t="s">
        <v>1828</v>
      </c>
      <c r="S329">
        <v>4</v>
      </c>
      <c r="U329" t="s">
        <v>59</v>
      </c>
      <c r="V329" t="s">
        <v>1581</v>
      </c>
      <c r="W329" t="s">
        <v>222</v>
      </c>
      <c r="X329" t="s">
        <v>1829</v>
      </c>
      <c r="Y329">
        <f t="shared" si="54"/>
        <v>0</v>
      </c>
      <c r="Z329">
        <f t="shared" si="55"/>
        <v>0</v>
      </c>
      <c r="AA329">
        <f t="shared" si="56"/>
        <v>0</v>
      </c>
      <c r="AB329">
        <f t="shared" si="57"/>
        <v>1.2000000000000002</v>
      </c>
      <c r="AC329">
        <f t="shared" si="58"/>
        <v>0</v>
      </c>
      <c r="AD329">
        <f t="shared" si="59"/>
        <v>0</v>
      </c>
      <c r="AE329">
        <f t="shared" si="60"/>
        <v>1.7999999999999998</v>
      </c>
      <c r="AF329">
        <f t="shared" si="61"/>
        <v>0</v>
      </c>
      <c r="AG329">
        <f t="shared" si="62"/>
        <v>0</v>
      </c>
      <c r="AH329" t="s">
        <v>561</v>
      </c>
      <c r="AI329" t="s">
        <v>587</v>
      </c>
      <c r="AJ329" t="s">
        <v>727</v>
      </c>
    </row>
    <row r="330" spans="1:36" x14ac:dyDescent="0.2">
      <c r="A330" t="s">
        <v>221</v>
      </c>
      <c r="B330" t="s">
        <v>401</v>
      </c>
      <c r="C330" t="s">
        <v>39</v>
      </c>
      <c r="D330" t="s">
        <v>724</v>
      </c>
      <c r="E330" s="6" t="s">
        <v>24</v>
      </c>
      <c r="F330" s="6">
        <v>0.5</v>
      </c>
      <c r="G330" s="6" t="s">
        <v>30</v>
      </c>
      <c r="H330" s="6">
        <v>0.5</v>
      </c>
      <c r="I330" t="s">
        <v>728</v>
      </c>
      <c r="J330" t="s">
        <v>729</v>
      </c>
      <c r="L330" t="s">
        <v>52</v>
      </c>
      <c r="M330">
        <v>1</v>
      </c>
      <c r="P330" t="s">
        <v>1830</v>
      </c>
      <c r="Q330">
        <v>1</v>
      </c>
      <c r="R330" t="s">
        <v>1831</v>
      </c>
      <c r="S330">
        <v>0</v>
      </c>
      <c r="T330" t="s">
        <v>248</v>
      </c>
      <c r="U330" t="s">
        <v>59</v>
      </c>
      <c r="V330" t="s">
        <v>1832</v>
      </c>
      <c r="W330" t="s">
        <v>222</v>
      </c>
      <c r="Y330">
        <f t="shared" si="54"/>
        <v>0</v>
      </c>
      <c r="Z330">
        <f t="shared" si="55"/>
        <v>0</v>
      </c>
      <c r="AA330">
        <f t="shared" si="56"/>
        <v>0</v>
      </c>
      <c r="AB330">
        <f t="shared" si="57"/>
        <v>1.6</v>
      </c>
      <c r="AC330">
        <f t="shared" si="58"/>
        <v>0</v>
      </c>
      <c r="AD330">
        <f t="shared" si="59"/>
        <v>0</v>
      </c>
      <c r="AE330">
        <f t="shared" si="60"/>
        <v>2.4</v>
      </c>
      <c r="AF330">
        <f t="shared" si="61"/>
        <v>0</v>
      </c>
      <c r="AG330">
        <f t="shared" si="62"/>
        <v>0</v>
      </c>
      <c r="AH330" t="s">
        <v>521</v>
      </c>
      <c r="AI330" t="s">
        <v>535</v>
      </c>
      <c r="AJ330" t="s">
        <v>536</v>
      </c>
    </row>
    <row r="331" spans="1:36" x14ac:dyDescent="0.2">
      <c r="A331" t="s">
        <v>221</v>
      </c>
      <c r="B331" t="s">
        <v>401</v>
      </c>
      <c r="C331" t="s">
        <v>39</v>
      </c>
      <c r="D331" t="s">
        <v>724</v>
      </c>
      <c r="E331" s="6" t="s">
        <v>24</v>
      </c>
      <c r="F331" s="6">
        <v>0.5</v>
      </c>
      <c r="G331" s="6" t="s">
        <v>30</v>
      </c>
      <c r="H331" s="6">
        <v>0.5</v>
      </c>
      <c r="I331" t="s">
        <v>728</v>
      </c>
      <c r="J331" t="s">
        <v>729</v>
      </c>
      <c r="L331" t="s">
        <v>52</v>
      </c>
      <c r="M331">
        <v>1</v>
      </c>
      <c r="P331" t="s">
        <v>1833</v>
      </c>
      <c r="Q331">
        <v>2</v>
      </c>
      <c r="R331" t="s">
        <v>1834</v>
      </c>
      <c r="S331">
        <v>1</v>
      </c>
      <c r="T331" t="s">
        <v>172</v>
      </c>
      <c r="U331" t="s">
        <v>61</v>
      </c>
      <c r="V331" t="s">
        <v>1835</v>
      </c>
      <c r="W331" t="s">
        <v>222</v>
      </c>
      <c r="Y331">
        <f t="shared" si="54"/>
        <v>0</v>
      </c>
      <c r="Z331">
        <f t="shared" si="55"/>
        <v>0</v>
      </c>
      <c r="AA331">
        <f t="shared" si="56"/>
        <v>0</v>
      </c>
      <c r="AB331">
        <f t="shared" si="57"/>
        <v>0</v>
      </c>
      <c r="AC331">
        <f t="shared" si="58"/>
        <v>0</v>
      </c>
      <c r="AD331">
        <f t="shared" si="59"/>
        <v>0</v>
      </c>
      <c r="AE331">
        <f t="shared" si="60"/>
        <v>0</v>
      </c>
      <c r="AF331">
        <f t="shared" si="61"/>
        <v>0</v>
      </c>
      <c r="AG331">
        <f t="shared" si="62"/>
        <v>0</v>
      </c>
      <c r="AH331" t="s">
        <v>521</v>
      </c>
      <c r="AI331" t="s">
        <v>535</v>
      </c>
      <c r="AJ331" t="s">
        <v>536</v>
      </c>
    </row>
    <row r="332" spans="1:36" x14ac:dyDescent="0.2">
      <c r="A332" t="s">
        <v>221</v>
      </c>
      <c r="B332" t="s">
        <v>401</v>
      </c>
      <c r="C332" t="s">
        <v>39</v>
      </c>
      <c r="D332" t="s">
        <v>724</v>
      </c>
      <c r="E332" s="6" t="s">
        <v>24</v>
      </c>
      <c r="F332" s="6">
        <v>0.5</v>
      </c>
      <c r="G332" s="6" t="s">
        <v>30</v>
      </c>
      <c r="H332" s="6">
        <v>0.5</v>
      </c>
      <c r="I332" t="s">
        <v>728</v>
      </c>
      <c r="J332" t="s">
        <v>729</v>
      </c>
      <c r="L332" t="s">
        <v>52</v>
      </c>
      <c r="M332">
        <v>1</v>
      </c>
      <c r="P332" t="s">
        <v>1836</v>
      </c>
      <c r="Q332">
        <v>3</v>
      </c>
      <c r="R332" t="s">
        <v>1837</v>
      </c>
      <c r="S332">
        <v>2</v>
      </c>
      <c r="U332" t="s">
        <v>59</v>
      </c>
      <c r="V332" t="s">
        <v>1838</v>
      </c>
      <c r="W332" t="s">
        <v>222</v>
      </c>
      <c r="Y332">
        <f t="shared" si="54"/>
        <v>0</v>
      </c>
      <c r="Z332">
        <f t="shared" si="55"/>
        <v>0</v>
      </c>
      <c r="AA332">
        <f t="shared" si="56"/>
        <v>0</v>
      </c>
      <c r="AB332">
        <f t="shared" si="57"/>
        <v>0.5</v>
      </c>
      <c r="AC332">
        <f t="shared" si="58"/>
        <v>0</v>
      </c>
      <c r="AD332">
        <f t="shared" si="59"/>
        <v>0</v>
      </c>
      <c r="AE332">
        <f t="shared" si="60"/>
        <v>0.5</v>
      </c>
      <c r="AF332">
        <f t="shared" si="61"/>
        <v>0</v>
      </c>
      <c r="AG332">
        <f t="shared" si="62"/>
        <v>0</v>
      </c>
      <c r="AH332" t="s">
        <v>521</v>
      </c>
      <c r="AI332" t="s">
        <v>535</v>
      </c>
      <c r="AJ332" t="s">
        <v>536</v>
      </c>
    </row>
    <row r="333" spans="1:36" x14ac:dyDescent="0.2">
      <c r="A333" t="s">
        <v>221</v>
      </c>
      <c r="B333" t="s">
        <v>401</v>
      </c>
      <c r="C333" t="s">
        <v>39</v>
      </c>
      <c r="D333" t="s">
        <v>724</v>
      </c>
      <c r="E333" s="6" t="s">
        <v>24</v>
      </c>
      <c r="F333" s="6">
        <v>0.5</v>
      </c>
      <c r="G333" s="6" t="s">
        <v>30</v>
      </c>
      <c r="H333" s="6">
        <v>0.5</v>
      </c>
      <c r="I333" t="s">
        <v>728</v>
      </c>
      <c r="J333" t="s">
        <v>729</v>
      </c>
      <c r="L333" t="s">
        <v>52</v>
      </c>
      <c r="M333">
        <v>1</v>
      </c>
      <c r="P333" t="s">
        <v>1839</v>
      </c>
      <c r="Q333">
        <v>4</v>
      </c>
      <c r="R333" t="s">
        <v>1840</v>
      </c>
      <c r="S333">
        <v>3</v>
      </c>
      <c r="T333" t="s">
        <v>174</v>
      </c>
      <c r="U333" t="s">
        <v>59</v>
      </c>
      <c r="V333" t="s">
        <v>1841</v>
      </c>
      <c r="W333" t="s">
        <v>222</v>
      </c>
      <c r="X333" t="s">
        <v>1842</v>
      </c>
      <c r="Y333">
        <f t="shared" si="54"/>
        <v>0</v>
      </c>
      <c r="Z333">
        <f t="shared" si="55"/>
        <v>0</v>
      </c>
      <c r="AA333">
        <f t="shared" si="56"/>
        <v>0</v>
      </c>
      <c r="AB333">
        <f t="shared" si="57"/>
        <v>1</v>
      </c>
      <c r="AC333">
        <f t="shared" si="58"/>
        <v>0</v>
      </c>
      <c r="AD333">
        <f t="shared" si="59"/>
        <v>0</v>
      </c>
      <c r="AE333">
        <f t="shared" si="60"/>
        <v>1</v>
      </c>
      <c r="AF333">
        <f t="shared" si="61"/>
        <v>0</v>
      </c>
      <c r="AG333">
        <f t="shared" si="62"/>
        <v>0</v>
      </c>
      <c r="AH333" t="s">
        <v>521</v>
      </c>
      <c r="AI333" t="s">
        <v>535</v>
      </c>
      <c r="AJ333" t="s">
        <v>536</v>
      </c>
    </row>
    <row r="334" spans="1:36" x14ac:dyDescent="0.2">
      <c r="A334" t="s">
        <v>221</v>
      </c>
      <c r="B334" t="s">
        <v>402</v>
      </c>
      <c r="C334" t="s">
        <v>39</v>
      </c>
      <c r="D334" t="s">
        <v>724</v>
      </c>
      <c r="E334" s="6" t="s">
        <v>26</v>
      </c>
      <c r="F334" s="6">
        <v>0.5</v>
      </c>
      <c r="G334" s="6" t="s">
        <v>24</v>
      </c>
      <c r="H334" s="6">
        <v>0.5</v>
      </c>
      <c r="I334" t="s">
        <v>730</v>
      </c>
      <c r="J334" t="s">
        <v>731</v>
      </c>
      <c r="L334" t="s">
        <v>52</v>
      </c>
      <c r="M334">
        <v>1.5</v>
      </c>
      <c r="N334">
        <v>0.5</v>
      </c>
      <c r="P334" t="s">
        <v>1843</v>
      </c>
      <c r="Q334">
        <v>1</v>
      </c>
      <c r="R334" t="s">
        <v>1844</v>
      </c>
      <c r="S334">
        <v>0</v>
      </c>
      <c r="T334" t="s">
        <v>176</v>
      </c>
      <c r="U334" t="s">
        <v>64</v>
      </c>
      <c r="V334" t="s">
        <v>1845</v>
      </c>
      <c r="W334" t="s">
        <v>222</v>
      </c>
      <c r="Y334">
        <f t="shared" si="54"/>
        <v>0</v>
      </c>
      <c r="Z334">
        <f t="shared" si="55"/>
        <v>0</v>
      </c>
      <c r="AA334">
        <f t="shared" si="56"/>
        <v>0</v>
      </c>
      <c r="AB334">
        <f t="shared" si="57"/>
        <v>1.5</v>
      </c>
      <c r="AC334">
        <f t="shared" si="58"/>
        <v>0</v>
      </c>
      <c r="AD334">
        <f t="shared" si="59"/>
        <v>0</v>
      </c>
      <c r="AE334">
        <f t="shared" si="60"/>
        <v>1.5</v>
      </c>
      <c r="AF334">
        <f t="shared" si="61"/>
        <v>0</v>
      </c>
      <c r="AG334">
        <f t="shared" si="62"/>
        <v>0</v>
      </c>
      <c r="AH334" t="s">
        <v>570</v>
      </c>
      <c r="AI334" t="s">
        <v>607</v>
      </c>
      <c r="AJ334" t="s">
        <v>687</v>
      </c>
    </row>
    <row r="335" spans="1:36" x14ac:dyDescent="0.2">
      <c r="A335" t="s">
        <v>221</v>
      </c>
      <c r="B335" t="s">
        <v>402</v>
      </c>
      <c r="C335" t="s">
        <v>39</v>
      </c>
      <c r="D335" t="s">
        <v>724</v>
      </c>
      <c r="E335" s="6" t="s">
        <v>26</v>
      </c>
      <c r="F335" s="6">
        <v>0.5</v>
      </c>
      <c r="G335" s="6" t="s">
        <v>24</v>
      </c>
      <c r="H335" s="6">
        <v>0.5</v>
      </c>
      <c r="I335" t="s">
        <v>730</v>
      </c>
      <c r="J335" t="s">
        <v>731</v>
      </c>
      <c r="L335" t="s">
        <v>52</v>
      </c>
      <c r="M335">
        <v>1.5</v>
      </c>
      <c r="N335">
        <v>0.5</v>
      </c>
      <c r="P335" t="s">
        <v>1846</v>
      </c>
      <c r="Q335">
        <v>2</v>
      </c>
      <c r="R335" t="s">
        <v>1847</v>
      </c>
      <c r="S335">
        <v>1</v>
      </c>
      <c r="T335" t="s">
        <v>237</v>
      </c>
      <c r="U335" t="s">
        <v>58</v>
      </c>
      <c r="V335" t="s">
        <v>1848</v>
      </c>
      <c r="W335" t="s">
        <v>222</v>
      </c>
      <c r="Y335">
        <f t="shared" si="54"/>
        <v>0</v>
      </c>
      <c r="Z335">
        <f t="shared" si="55"/>
        <v>0</v>
      </c>
      <c r="AA335">
        <f t="shared" si="56"/>
        <v>0</v>
      </c>
      <c r="AB335">
        <f t="shared" si="57"/>
        <v>0</v>
      </c>
      <c r="AC335">
        <f t="shared" si="58"/>
        <v>0</v>
      </c>
      <c r="AD335">
        <f t="shared" si="59"/>
        <v>0</v>
      </c>
      <c r="AE335">
        <f t="shared" si="60"/>
        <v>0</v>
      </c>
      <c r="AF335">
        <f t="shared" si="61"/>
        <v>0</v>
      </c>
      <c r="AG335">
        <f t="shared" si="62"/>
        <v>0</v>
      </c>
      <c r="AH335" t="s">
        <v>570</v>
      </c>
      <c r="AI335" t="s">
        <v>607</v>
      </c>
      <c r="AJ335" t="s">
        <v>687</v>
      </c>
    </row>
    <row r="336" spans="1:36" x14ac:dyDescent="0.2">
      <c r="A336" t="s">
        <v>221</v>
      </c>
      <c r="B336" t="s">
        <v>402</v>
      </c>
      <c r="C336" t="s">
        <v>39</v>
      </c>
      <c r="D336" t="s">
        <v>724</v>
      </c>
      <c r="E336" s="6" t="s">
        <v>26</v>
      </c>
      <c r="F336" s="6">
        <v>0.5</v>
      </c>
      <c r="G336" s="6" t="s">
        <v>24</v>
      </c>
      <c r="H336" s="6">
        <v>0.5</v>
      </c>
      <c r="I336" t="s">
        <v>730</v>
      </c>
      <c r="J336" t="s">
        <v>731</v>
      </c>
      <c r="L336" t="s">
        <v>52</v>
      </c>
      <c r="M336">
        <v>1.5</v>
      </c>
      <c r="N336">
        <v>0.5</v>
      </c>
      <c r="P336" t="s">
        <v>1849</v>
      </c>
      <c r="Q336">
        <v>3</v>
      </c>
      <c r="R336" t="s">
        <v>1850</v>
      </c>
      <c r="S336">
        <v>2</v>
      </c>
      <c r="U336" t="s">
        <v>58</v>
      </c>
      <c r="V336" t="s">
        <v>1851</v>
      </c>
      <c r="W336" t="s">
        <v>222</v>
      </c>
      <c r="X336" t="s">
        <v>1852</v>
      </c>
      <c r="Y336">
        <f t="shared" si="54"/>
        <v>0</v>
      </c>
      <c r="Z336">
        <f t="shared" si="55"/>
        <v>0</v>
      </c>
      <c r="AA336">
        <f t="shared" si="56"/>
        <v>0</v>
      </c>
      <c r="AB336">
        <f t="shared" si="57"/>
        <v>0.5</v>
      </c>
      <c r="AC336">
        <f t="shared" si="58"/>
        <v>0.5</v>
      </c>
      <c r="AD336">
        <f t="shared" si="59"/>
        <v>0</v>
      </c>
      <c r="AE336">
        <f t="shared" si="60"/>
        <v>0</v>
      </c>
      <c r="AF336">
        <f t="shared" si="61"/>
        <v>0</v>
      </c>
      <c r="AG336">
        <f t="shared" si="62"/>
        <v>0</v>
      </c>
      <c r="AH336" t="s">
        <v>570</v>
      </c>
      <c r="AI336" t="s">
        <v>607</v>
      </c>
      <c r="AJ336" t="s">
        <v>687</v>
      </c>
    </row>
    <row r="337" spans="1:36" x14ac:dyDescent="0.2">
      <c r="A337" t="s">
        <v>221</v>
      </c>
      <c r="B337" t="s">
        <v>402</v>
      </c>
      <c r="C337" t="s">
        <v>39</v>
      </c>
      <c r="D337" t="s">
        <v>724</v>
      </c>
      <c r="E337" s="6" t="s">
        <v>26</v>
      </c>
      <c r="F337" s="6">
        <v>0.5</v>
      </c>
      <c r="G337" s="6" t="s">
        <v>24</v>
      </c>
      <c r="H337" s="6">
        <v>0.5</v>
      </c>
      <c r="I337" t="s">
        <v>730</v>
      </c>
      <c r="J337" t="s">
        <v>731</v>
      </c>
      <c r="L337" t="s">
        <v>52</v>
      </c>
      <c r="M337">
        <v>1.5</v>
      </c>
      <c r="N337">
        <v>0.5</v>
      </c>
      <c r="P337" t="s">
        <v>1853</v>
      </c>
      <c r="Q337">
        <v>4</v>
      </c>
      <c r="R337" t="s">
        <v>1854</v>
      </c>
      <c r="S337">
        <v>3</v>
      </c>
      <c r="U337" t="s">
        <v>58</v>
      </c>
      <c r="V337" t="s">
        <v>1563</v>
      </c>
      <c r="W337" t="s">
        <v>222</v>
      </c>
      <c r="X337" t="s">
        <v>1855</v>
      </c>
      <c r="Y337">
        <f t="shared" si="54"/>
        <v>0</v>
      </c>
      <c r="Z337">
        <f t="shared" si="55"/>
        <v>0</v>
      </c>
      <c r="AA337">
        <f t="shared" si="56"/>
        <v>0</v>
      </c>
      <c r="AB337">
        <f t="shared" si="57"/>
        <v>1</v>
      </c>
      <c r="AC337">
        <f t="shared" si="58"/>
        <v>1</v>
      </c>
      <c r="AD337">
        <f t="shared" si="59"/>
        <v>0</v>
      </c>
      <c r="AE337">
        <f t="shared" si="60"/>
        <v>0</v>
      </c>
      <c r="AF337">
        <f t="shared" si="61"/>
        <v>0</v>
      </c>
      <c r="AG337">
        <f t="shared" si="62"/>
        <v>0</v>
      </c>
      <c r="AH337" t="s">
        <v>570</v>
      </c>
      <c r="AI337" t="s">
        <v>607</v>
      </c>
      <c r="AJ337" t="s">
        <v>687</v>
      </c>
    </row>
    <row r="338" spans="1:36" x14ac:dyDescent="0.2">
      <c r="A338" t="s">
        <v>221</v>
      </c>
      <c r="B338" t="s">
        <v>402</v>
      </c>
      <c r="C338" t="s">
        <v>39</v>
      </c>
      <c r="D338" t="s">
        <v>724</v>
      </c>
      <c r="E338" s="6" t="s">
        <v>26</v>
      </c>
      <c r="F338" s="6">
        <v>0.5</v>
      </c>
      <c r="G338" s="6" t="s">
        <v>24</v>
      </c>
      <c r="H338" s="6">
        <v>0.5</v>
      </c>
      <c r="I338" t="s">
        <v>730</v>
      </c>
      <c r="J338" t="s">
        <v>731</v>
      </c>
      <c r="L338" t="s">
        <v>52</v>
      </c>
      <c r="M338">
        <v>1.5</v>
      </c>
      <c r="N338">
        <v>0.5</v>
      </c>
      <c r="P338" t="s">
        <v>1856</v>
      </c>
      <c r="Q338">
        <v>5</v>
      </c>
      <c r="R338" t="s">
        <v>1857</v>
      </c>
      <c r="S338">
        <v>4</v>
      </c>
      <c r="U338" t="s">
        <v>58</v>
      </c>
      <c r="V338" t="s">
        <v>1530</v>
      </c>
      <c r="W338" t="s">
        <v>222</v>
      </c>
      <c r="X338" t="s">
        <v>1858</v>
      </c>
      <c r="Y338">
        <f t="shared" si="54"/>
        <v>0</v>
      </c>
      <c r="Z338">
        <f t="shared" si="55"/>
        <v>0</v>
      </c>
      <c r="AA338">
        <f t="shared" si="56"/>
        <v>0</v>
      </c>
      <c r="AB338">
        <f t="shared" si="57"/>
        <v>1.5</v>
      </c>
      <c r="AC338">
        <f t="shared" si="58"/>
        <v>1.5</v>
      </c>
      <c r="AD338">
        <f t="shared" si="59"/>
        <v>0</v>
      </c>
      <c r="AE338">
        <f t="shared" si="60"/>
        <v>0</v>
      </c>
      <c r="AF338">
        <f t="shared" si="61"/>
        <v>0</v>
      </c>
      <c r="AG338">
        <f t="shared" si="62"/>
        <v>0</v>
      </c>
      <c r="AH338" t="s">
        <v>570</v>
      </c>
      <c r="AI338" t="s">
        <v>607</v>
      </c>
      <c r="AJ338" t="s">
        <v>687</v>
      </c>
    </row>
    <row r="339" spans="1:36" x14ac:dyDescent="0.2">
      <c r="A339" t="s">
        <v>221</v>
      </c>
      <c r="B339" t="s">
        <v>403</v>
      </c>
      <c r="C339" t="s">
        <v>41</v>
      </c>
      <c r="D339" t="s">
        <v>724</v>
      </c>
      <c r="E339" s="6" t="s">
        <v>30</v>
      </c>
      <c r="F339" s="6">
        <v>0.6</v>
      </c>
      <c r="G339" s="6" t="s">
        <v>26</v>
      </c>
      <c r="H339" s="6">
        <v>0.4</v>
      </c>
      <c r="I339" t="s">
        <v>732</v>
      </c>
      <c r="J339" t="s">
        <v>733</v>
      </c>
      <c r="L339" t="s">
        <v>48</v>
      </c>
      <c r="M339">
        <v>1.5</v>
      </c>
      <c r="N339">
        <v>0.5</v>
      </c>
      <c r="P339" t="s">
        <v>1859</v>
      </c>
      <c r="Q339">
        <v>1</v>
      </c>
      <c r="R339" t="s">
        <v>1860</v>
      </c>
      <c r="S339">
        <v>0</v>
      </c>
      <c r="T339" t="s">
        <v>172</v>
      </c>
      <c r="U339" t="s">
        <v>61</v>
      </c>
      <c r="V339" t="s">
        <v>1861</v>
      </c>
      <c r="W339" t="s">
        <v>222</v>
      </c>
      <c r="Y339">
        <f t="shared" si="54"/>
        <v>0</v>
      </c>
      <c r="Z339">
        <f t="shared" si="55"/>
        <v>0</v>
      </c>
      <c r="AA339">
        <f t="shared" si="56"/>
        <v>0</v>
      </c>
      <c r="AB339">
        <f t="shared" si="57"/>
        <v>2</v>
      </c>
      <c r="AC339">
        <f t="shared" si="58"/>
        <v>2</v>
      </c>
      <c r="AD339">
        <f t="shared" si="59"/>
        <v>0</v>
      </c>
      <c r="AE339">
        <f t="shared" si="60"/>
        <v>0</v>
      </c>
      <c r="AF339">
        <f t="shared" si="61"/>
        <v>0</v>
      </c>
      <c r="AG339">
        <f t="shared" si="62"/>
        <v>0</v>
      </c>
      <c r="AH339" t="s">
        <v>561</v>
      </c>
      <c r="AI339" t="s">
        <v>587</v>
      </c>
      <c r="AJ339" t="s">
        <v>727</v>
      </c>
    </row>
    <row r="340" spans="1:36" x14ac:dyDescent="0.2">
      <c r="A340" t="s">
        <v>221</v>
      </c>
      <c r="B340" t="s">
        <v>403</v>
      </c>
      <c r="C340" t="s">
        <v>41</v>
      </c>
      <c r="D340" t="s">
        <v>724</v>
      </c>
      <c r="E340" s="6" t="s">
        <v>30</v>
      </c>
      <c r="F340" s="6">
        <v>0.6</v>
      </c>
      <c r="G340" s="6" t="s">
        <v>26</v>
      </c>
      <c r="H340" s="6">
        <v>0.4</v>
      </c>
      <c r="I340" t="s">
        <v>732</v>
      </c>
      <c r="J340" t="s">
        <v>733</v>
      </c>
      <c r="L340" t="s">
        <v>48</v>
      </c>
      <c r="M340">
        <v>1.5</v>
      </c>
      <c r="N340">
        <v>0.5</v>
      </c>
      <c r="P340" t="s">
        <v>1862</v>
      </c>
      <c r="Q340">
        <v>2</v>
      </c>
      <c r="R340" t="s">
        <v>1863</v>
      </c>
      <c r="S340">
        <v>1</v>
      </c>
      <c r="T340" t="s">
        <v>174</v>
      </c>
      <c r="U340" t="s">
        <v>60</v>
      </c>
      <c r="V340" t="s">
        <v>1864</v>
      </c>
      <c r="W340" t="s">
        <v>222</v>
      </c>
      <c r="Y340">
        <f t="shared" si="54"/>
        <v>0</v>
      </c>
      <c r="Z340">
        <f t="shared" si="55"/>
        <v>0</v>
      </c>
      <c r="AA340">
        <f t="shared" si="56"/>
        <v>0</v>
      </c>
      <c r="AB340">
        <f t="shared" si="57"/>
        <v>0</v>
      </c>
      <c r="AC340">
        <f t="shared" si="58"/>
        <v>0</v>
      </c>
      <c r="AD340">
        <f t="shared" si="59"/>
        <v>0</v>
      </c>
      <c r="AE340">
        <f t="shared" si="60"/>
        <v>0</v>
      </c>
      <c r="AF340">
        <f t="shared" si="61"/>
        <v>0</v>
      </c>
      <c r="AG340">
        <f t="shared" si="62"/>
        <v>0</v>
      </c>
      <c r="AH340" t="s">
        <v>561</v>
      </c>
      <c r="AI340" t="s">
        <v>587</v>
      </c>
      <c r="AJ340" t="s">
        <v>727</v>
      </c>
    </row>
    <row r="341" spans="1:36" x14ac:dyDescent="0.2">
      <c r="A341" t="s">
        <v>221</v>
      </c>
      <c r="B341" t="s">
        <v>403</v>
      </c>
      <c r="C341" t="s">
        <v>41</v>
      </c>
      <c r="D341" t="s">
        <v>724</v>
      </c>
      <c r="E341" s="6" t="s">
        <v>30</v>
      </c>
      <c r="F341" s="6">
        <v>0.6</v>
      </c>
      <c r="G341" s="6" t="s">
        <v>26</v>
      </c>
      <c r="H341" s="6">
        <v>0.4</v>
      </c>
      <c r="I341" t="s">
        <v>732</v>
      </c>
      <c r="J341" t="s">
        <v>733</v>
      </c>
      <c r="L341" t="s">
        <v>48</v>
      </c>
      <c r="M341">
        <v>1.5</v>
      </c>
      <c r="N341">
        <v>0.5</v>
      </c>
      <c r="P341" t="s">
        <v>1865</v>
      </c>
      <c r="Q341">
        <v>3</v>
      </c>
      <c r="R341" t="s">
        <v>1866</v>
      </c>
      <c r="S341">
        <v>2</v>
      </c>
      <c r="U341" t="s">
        <v>60</v>
      </c>
      <c r="V341" t="s">
        <v>1867</v>
      </c>
      <c r="W341" t="s">
        <v>222</v>
      </c>
      <c r="X341" t="s">
        <v>1868</v>
      </c>
      <c r="Y341">
        <f t="shared" si="54"/>
        <v>0</v>
      </c>
      <c r="Z341">
        <f t="shared" si="55"/>
        <v>0</v>
      </c>
      <c r="AA341">
        <f t="shared" si="56"/>
        <v>0</v>
      </c>
      <c r="AB341">
        <f t="shared" si="57"/>
        <v>0</v>
      </c>
      <c r="AC341">
        <f t="shared" si="58"/>
        <v>0.4</v>
      </c>
      <c r="AD341">
        <f t="shared" si="59"/>
        <v>0</v>
      </c>
      <c r="AE341">
        <f t="shared" si="60"/>
        <v>0.6</v>
      </c>
      <c r="AF341">
        <f t="shared" si="61"/>
        <v>0</v>
      </c>
      <c r="AG341">
        <f t="shared" si="62"/>
        <v>0</v>
      </c>
      <c r="AH341" t="s">
        <v>561</v>
      </c>
      <c r="AI341" t="s">
        <v>587</v>
      </c>
      <c r="AJ341" t="s">
        <v>727</v>
      </c>
    </row>
    <row r="342" spans="1:36" x14ac:dyDescent="0.2">
      <c r="A342" t="s">
        <v>221</v>
      </c>
      <c r="B342" t="s">
        <v>403</v>
      </c>
      <c r="C342" t="s">
        <v>41</v>
      </c>
      <c r="D342" t="s">
        <v>724</v>
      </c>
      <c r="E342" s="6" t="s">
        <v>30</v>
      </c>
      <c r="F342" s="6">
        <v>0.6</v>
      </c>
      <c r="G342" s="6" t="s">
        <v>26</v>
      </c>
      <c r="H342" s="6">
        <v>0.4</v>
      </c>
      <c r="I342" t="s">
        <v>732</v>
      </c>
      <c r="J342" t="s">
        <v>733</v>
      </c>
      <c r="L342" t="s">
        <v>48</v>
      </c>
      <c r="M342">
        <v>1.5</v>
      </c>
      <c r="N342">
        <v>0.5</v>
      </c>
      <c r="P342" t="s">
        <v>1869</v>
      </c>
      <c r="Q342">
        <v>4</v>
      </c>
      <c r="R342" t="s">
        <v>1870</v>
      </c>
      <c r="S342">
        <v>3</v>
      </c>
      <c r="U342" t="s">
        <v>60</v>
      </c>
      <c r="V342" t="s">
        <v>1729</v>
      </c>
      <c r="W342" t="s">
        <v>222</v>
      </c>
      <c r="X342" t="s">
        <v>1730</v>
      </c>
      <c r="Y342">
        <f t="shared" si="54"/>
        <v>0</v>
      </c>
      <c r="Z342">
        <f t="shared" si="55"/>
        <v>0</v>
      </c>
      <c r="AA342">
        <f t="shared" si="56"/>
        <v>0</v>
      </c>
      <c r="AB342">
        <f t="shared" si="57"/>
        <v>0</v>
      </c>
      <c r="AC342">
        <f t="shared" si="58"/>
        <v>0.8</v>
      </c>
      <c r="AD342">
        <f t="shared" si="59"/>
        <v>0</v>
      </c>
      <c r="AE342">
        <f t="shared" si="60"/>
        <v>1.2</v>
      </c>
      <c r="AF342">
        <f t="shared" si="61"/>
        <v>0</v>
      </c>
      <c r="AG342">
        <f t="shared" si="62"/>
        <v>0</v>
      </c>
      <c r="AH342" t="s">
        <v>561</v>
      </c>
      <c r="AI342" t="s">
        <v>587</v>
      </c>
      <c r="AJ342" t="s">
        <v>727</v>
      </c>
    </row>
    <row r="343" spans="1:36" x14ac:dyDescent="0.2">
      <c r="A343" t="s">
        <v>221</v>
      </c>
      <c r="B343" t="s">
        <v>403</v>
      </c>
      <c r="C343" t="s">
        <v>41</v>
      </c>
      <c r="D343" t="s">
        <v>724</v>
      </c>
      <c r="E343" s="6" t="s">
        <v>30</v>
      </c>
      <c r="F343" s="6">
        <v>0.6</v>
      </c>
      <c r="G343" s="6" t="s">
        <v>26</v>
      </c>
      <c r="H343" s="6">
        <v>0.4</v>
      </c>
      <c r="I343" t="s">
        <v>732</v>
      </c>
      <c r="J343" t="s">
        <v>733</v>
      </c>
      <c r="L343" t="s">
        <v>48</v>
      </c>
      <c r="M343">
        <v>1.5</v>
      </c>
      <c r="N343">
        <v>0.5</v>
      </c>
      <c r="P343" t="s">
        <v>1871</v>
      </c>
      <c r="Q343">
        <v>5</v>
      </c>
      <c r="R343" t="s">
        <v>1872</v>
      </c>
      <c r="S343">
        <v>4</v>
      </c>
      <c r="U343" t="s">
        <v>58</v>
      </c>
      <c r="V343" t="s">
        <v>1530</v>
      </c>
      <c r="W343" t="s">
        <v>222</v>
      </c>
      <c r="X343" t="s">
        <v>1873</v>
      </c>
      <c r="Y343">
        <f t="shared" si="54"/>
        <v>0</v>
      </c>
      <c r="Z343">
        <f t="shared" si="55"/>
        <v>0</v>
      </c>
      <c r="AA343">
        <f t="shared" si="56"/>
        <v>0</v>
      </c>
      <c r="AB343">
        <f t="shared" si="57"/>
        <v>0</v>
      </c>
      <c r="AC343">
        <f t="shared" si="58"/>
        <v>1.2000000000000002</v>
      </c>
      <c r="AD343">
        <f t="shared" si="59"/>
        <v>0</v>
      </c>
      <c r="AE343">
        <f t="shared" si="60"/>
        <v>1.7999999999999998</v>
      </c>
      <c r="AF343">
        <f t="shared" si="61"/>
        <v>0</v>
      </c>
      <c r="AG343">
        <f t="shared" si="62"/>
        <v>0</v>
      </c>
      <c r="AH343" t="s">
        <v>561</v>
      </c>
      <c r="AI343" t="s">
        <v>587</v>
      </c>
      <c r="AJ343" t="s">
        <v>727</v>
      </c>
    </row>
    <row r="344" spans="1:36" x14ac:dyDescent="0.2">
      <c r="A344" t="s">
        <v>221</v>
      </c>
      <c r="B344" t="s">
        <v>404</v>
      </c>
      <c r="C344" t="s">
        <v>37</v>
      </c>
      <c r="D344" t="s">
        <v>734</v>
      </c>
      <c r="E344" s="6" t="s">
        <v>18</v>
      </c>
      <c r="F344" s="6">
        <v>0.5</v>
      </c>
      <c r="G344" s="6" t="s">
        <v>26</v>
      </c>
      <c r="H344" s="6">
        <v>0.5</v>
      </c>
      <c r="I344" t="s">
        <v>735</v>
      </c>
      <c r="J344" t="s">
        <v>736</v>
      </c>
      <c r="L344" t="s">
        <v>44</v>
      </c>
      <c r="M344">
        <v>1</v>
      </c>
      <c r="P344" t="s">
        <v>1874</v>
      </c>
      <c r="Q344">
        <v>1</v>
      </c>
      <c r="R344" t="s">
        <v>1438</v>
      </c>
      <c r="S344">
        <v>0</v>
      </c>
      <c r="T344" t="s">
        <v>251</v>
      </c>
      <c r="U344" t="s">
        <v>60</v>
      </c>
      <c r="V344" t="s">
        <v>1875</v>
      </c>
      <c r="W344" t="s">
        <v>222</v>
      </c>
      <c r="Y344">
        <f t="shared" ref="Y344:Y407" si="63">(S343*IF(E343="G",F343,0))+(S343*IF(G343="G",H343,0))</f>
        <v>0</v>
      </c>
      <c r="Z344">
        <f t="shared" ref="Z344:Z407" si="64">(S343*IF(E343="E",F343,0))+(S343*IF(G343="E",H343,0))</f>
        <v>0</v>
      </c>
      <c r="AA344">
        <f t="shared" ref="AA344:AA407" si="65">(S343*IF(E343="T",F343,0))+(S343*IF(G343="T",H343,0))</f>
        <v>0</v>
      </c>
      <c r="AB344">
        <f t="shared" ref="AB344:AB407" si="66">(S343*IF(E343="L",F343,0))+(S343*IF(G343="L",H343,0))</f>
        <v>0</v>
      </c>
      <c r="AC344">
        <f t="shared" ref="AC344:AC407" si="67">(S343*IF(E343="H",F343,0))+(S343*IF(G343="H",H343,0))</f>
        <v>1.6</v>
      </c>
      <c r="AD344">
        <f t="shared" ref="AD344:AD407" si="68">(S343*IF(E343="V",F343,0))+(S343*IF(G343="V",H343,0))</f>
        <v>0</v>
      </c>
      <c r="AE344">
        <f t="shared" ref="AE344:AE407" si="69">(S343*IF(E343="R",F343,0))+(S343*IF(G343="R",H343,0))</f>
        <v>2.4</v>
      </c>
      <c r="AF344">
        <f t="shared" ref="AF344:AF407" si="70">(S343*IF(E343="F",F343,0))+(S343*IF(G343="F",H343,0))</f>
        <v>0</v>
      </c>
      <c r="AG344">
        <f t="shared" ref="AG344:AG407" si="71">(S343*IF(E343="W",F343,0))+(S343*IF(G343="W",H343,0))</f>
        <v>0</v>
      </c>
      <c r="AH344" t="s">
        <v>599</v>
      </c>
      <c r="AI344" t="s">
        <v>600</v>
      </c>
      <c r="AJ344" t="s">
        <v>601</v>
      </c>
    </row>
    <row r="345" spans="1:36" x14ac:dyDescent="0.2">
      <c r="A345" t="s">
        <v>221</v>
      </c>
      <c r="B345" t="s">
        <v>404</v>
      </c>
      <c r="C345" t="s">
        <v>37</v>
      </c>
      <c r="D345" t="s">
        <v>734</v>
      </c>
      <c r="E345" s="6" t="s">
        <v>18</v>
      </c>
      <c r="F345" s="6">
        <v>0.5</v>
      </c>
      <c r="G345" s="6" t="s">
        <v>26</v>
      </c>
      <c r="H345" s="6">
        <v>0.5</v>
      </c>
      <c r="I345" t="s">
        <v>735</v>
      </c>
      <c r="J345" t="s">
        <v>736</v>
      </c>
      <c r="L345" t="s">
        <v>44</v>
      </c>
      <c r="M345">
        <v>1</v>
      </c>
      <c r="P345" t="s">
        <v>1876</v>
      </c>
      <c r="Q345">
        <v>2</v>
      </c>
      <c r="R345" t="s">
        <v>1877</v>
      </c>
      <c r="S345">
        <v>0</v>
      </c>
      <c r="T345" t="s">
        <v>172</v>
      </c>
      <c r="U345" t="s">
        <v>61</v>
      </c>
      <c r="V345" t="s">
        <v>1878</v>
      </c>
      <c r="W345" t="s">
        <v>222</v>
      </c>
      <c r="Y345">
        <f t="shared" si="63"/>
        <v>0</v>
      </c>
      <c r="Z345">
        <f t="shared" si="64"/>
        <v>0</v>
      </c>
      <c r="AA345">
        <f t="shared" si="65"/>
        <v>0</v>
      </c>
      <c r="AB345">
        <f t="shared" si="66"/>
        <v>0</v>
      </c>
      <c r="AC345">
        <f t="shared" si="67"/>
        <v>0</v>
      </c>
      <c r="AD345">
        <f t="shared" si="68"/>
        <v>0</v>
      </c>
      <c r="AE345">
        <f t="shared" si="69"/>
        <v>0</v>
      </c>
      <c r="AF345">
        <f t="shared" si="70"/>
        <v>0</v>
      </c>
      <c r="AG345">
        <f t="shared" si="71"/>
        <v>0</v>
      </c>
      <c r="AH345" t="s">
        <v>599</v>
      </c>
      <c r="AI345" t="s">
        <v>600</v>
      </c>
      <c r="AJ345" t="s">
        <v>601</v>
      </c>
    </row>
    <row r="346" spans="1:36" x14ac:dyDescent="0.2">
      <c r="A346" t="s">
        <v>221</v>
      </c>
      <c r="B346" t="s">
        <v>404</v>
      </c>
      <c r="C346" t="s">
        <v>37</v>
      </c>
      <c r="D346" t="s">
        <v>734</v>
      </c>
      <c r="E346" s="6" t="s">
        <v>18</v>
      </c>
      <c r="F346" s="6">
        <v>0.5</v>
      </c>
      <c r="G346" s="6" t="s">
        <v>26</v>
      </c>
      <c r="H346" s="6">
        <v>0.5</v>
      </c>
      <c r="I346" t="s">
        <v>735</v>
      </c>
      <c r="J346" t="s">
        <v>736</v>
      </c>
      <c r="L346" t="s">
        <v>44</v>
      </c>
      <c r="M346">
        <v>1</v>
      </c>
      <c r="P346" t="s">
        <v>1879</v>
      </c>
      <c r="Q346">
        <v>3</v>
      </c>
      <c r="R346" t="s">
        <v>1880</v>
      </c>
      <c r="S346">
        <v>1</v>
      </c>
      <c r="T346" t="s">
        <v>236</v>
      </c>
      <c r="U346" t="s">
        <v>57</v>
      </c>
      <c r="V346" t="s">
        <v>1881</v>
      </c>
      <c r="W346" t="s">
        <v>222</v>
      </c>
      <c r="Y346">
        <f t="shared" si="63"/>
        <v>0</v>
      </c>
      <c r="Z346">
        <f t="shared" si="64"/>
        <v>0</v>
      </c>
      <c r="AA346">
        <f t="shared" si="65"/>
        <v>0</v>
      </c>
      <c r="AB346">
        <f t="shared" si="66"/>
        <v>0</v>
      </c>
      <c r="AC346">
        <f t="shared" si="67"/>
        <v>0</v>
      </c>
      <c r="AD346">
        <f t="shared" si="68"/>
        <v>0</v>
      </c>
      <c r="AE346">
        <f t="shared" si="69"/>
        <v>0</v>
      </c>
      <c r="AF346">
        <f t="shared" si="70"/>
        <v>0</v>
      </c>
      <c r="AG346">
        <f t="shared" si="71"/>
        <v>0</v>
      </c>
      <c r="AH346" t="s">
        <v>599</v>
      </c>
      <c r="AI346" t="s">
        <v>600</v>
      </c>
      <c r="AJ346" t="s">
        <v>601</v>
      </c>
    </row>
    <row r="347" spans="1:36" x14ac:dyDescent="0.2">
      <c r="A347" t="s">
        <v>221</v>
      </c>
      <c r="B347" t="s">
        <v>404</v>
      </c>
      <c r="C347" t="s">
        <v>37</v>
      </c>
      <c r="D347" t="s">
        <v>734</v>
      </c>
      <c r="E347" s="6" t="s">
        <v>18</v>
      </c>
      <c r="F347" s="6">
        <v>0.5</v>
      </c>
      <c r="G347" s="6" t="s">
        <v>26</v>
      </c>
      <c r="H347" s="6">
        <v>0.5</v>
      </c>
      <c r="I347" t="s">
        <v>735</v>
      </c>
      <c r="J347" t="s">
        <v>736</v>
      </c>
      <c r="L347" t="s">
        <v>44</v>
      </c>
      <c r="M347">
        <v>1</v>
      </c>
      <c r="P347" t="s">
        <v>1882</v>
      </c>
      <c r="Q347">
        <v>4</v>
      </c>
      <c r="R347" t="s">
        <v>1883</v>
      </c>
      <c r="S347">
        <v>2</v>
      </c>
      <c r="U347" t="s">
        <v>60</v>
      </c>
      <c r="V347" t="s">
        <v>1884</v>
      </c>
      <c r="W347" t="s">
        <v>222</v>
      </c>
      <c r="X347" t="s">
        <v>1885</v>
      </c>
      <c r="Y347">
        <f t="shared" si="63"/>
        <v>0.5</v>
      </c>
      <c r="Z347">
        <f t="shared" si="64"/>
        <v>0</v>
      </c>
      <c r="AA347">
        <f t="shared" si="65"/>
        <v>0</v>
      </c>
      <c r="AB347">
        <f t="shared" si="66"/>
        <v>0</v>
      </c>
      <c r="AC347">
        <f t="shared" si="67"/>
        <v>0.5</v>
      </c>
      <c r="AD347">
        <f t="shared" si="68"/>
        <v>0</v>
      </c>
      <c r="AE347">
        <f t="shared" si="69"/>
        <v>0</v>
      </c>
      <c r="AF347">
        <f t="shared" si="70"/>
        <v>0</v>
      </c>
      <c r="AG347">
        <f t="shared" si="71"/>
        <v>0</v>
      </c>
      <c r="AH347" t="s">
        <v>599</v>
      </c>
      <c r="AI347" t="s">
        <v>600</v>
      </c>
      <c r="AJ347" t="s">
        <v>601</v>
      </c>
    </row>
    <row r="348" spans="1:36" x14ac:dyDescent="0.2">
      <c r="A348" t="s">
        <v>221</v>
      </c>
      <c r="B348" t="s">
        <v>404</v>
      </c>
      <c r="C348" t="s">
        <v>37</v>
      </c>
      <c r="D348" t="s">
        <v>734</v>
      </c>
      <c r="E348" s="6" t="s">
        <v>18</v>
      </c>
      <c r="F348" s="6">
        <v>0.5</v>
      </c>
      <c r="G348" s="6" t="s">
        <v>26</v>
      </c>
      <c r="H348" s="6">
        <v>0.5</v>
      </c>
      <c r="I348" t="s">
        <v>735</v>
      </c>
      <c r="J348" t="s">
        <v>736</v>
      </c>
      <c r="L348" t="s">
        <v>44</v>
      </c>
      <c r="M348">
        <v>1</v>
      </c>
      <c r="P348" t="s">
        <v>1886</v>
      </c>
      <c r="Q348">
        <v>5</v>
      </c>
      <c r="R348" t="s">
        <v>1887</v>
      </c>
      <c r="S348">
        <v>3</v>
      </c>
      <c r="U348" t="s">
        <v>60</v>
      </c>
      <c r="V348" t="s">
        <v>1807</v>
      </c>
      <c r="W348" t="s">
        <v>222</v>
      </c>
      <c r="X348" t="s">
        <v>1888</v>
      </c>
      <c r="Y348">
        <f t="shared" si="63"/>
        <v>1</v>
      </c>
      <c r="Z348">
        <f t="shared" si="64"/>
        <v>0</v>
      </c>
      <c r="AA348">
        <f t="shared" si="65"/>
        <v>0</v>
      </c>
      <c r="AB348">
        <f t="shared" si="66"/>
        <v>0</v>
      </c>
      <c r="AC348">
        <f t="shared" si="67"/>
        <v>1</v>
      </c>
      <c r="AD348">
        <f t="shared" si="68"/>
        <v>0</v>
      </c>
      <c r="AE348">
        <f t="shared" si="69"/>
        <v>0</v>
      </c>
      <c r="AF348">
        <f t="shared" si="70"/>
        <v>0</v>
      </c>
      <c r="AG348">
        <f t="shared" si="71"/>
        <v>0</v>
      </c>
      <c r="AH348" t="s">
        <v>599</v>
      </c>
      <c r="AI348" t="s">
        <v>600</v>
      </c>
      <c r="AJ348" t="s">
        <v>601</v>
      </c>
    </row>
    <row r="349" spans="1:36" x14ac:dyDescent="0.2">
      <c r="A349" t="s">
        <v>221</v>
      </c>
      <c r="B349" t="s">
        <v>404</v>
      </c>
      <c r="C349" t="s">
        <v>37</v>
      </c>
      <c r="D349" t="s">
        <v>734</v>
      </c>
      <c r="E349" s="6" t="s">
        <v>18</v>
      </c>
      <c r="F349" s="6">
        <v>0.5</v>
      </c>
      <c r="G349" s="6" t="s">
        <v>26</v>
      </c>
      <c r="H349" s="6">
        <v>0.5</v>
      </c>
      <c r="I349" t="s">
        <v>735</v>
      </c>
      <c r="J349" t="s">
        <v>736</v>
      </c>
      <c r="L349" t="s">
        <v>44</v>
      </c>
      <c r="M349">
        <v>1</v>
      </c>
      <c r="P349" t="s">
        <v>1889</v>
      </c>
      <c r="Q349">
        <v>6</v>
      </c>
      <c r="R349" t="s">
        <v>1890</v>
      </c>
      <c r="S349">
        <v>4</v>
      </c>
      <c r="U349" t="s">
        <v>58</v>
      </c>
      <c r="V349" t="s">
        <v>1530</v>
      </c>
      <c r="W349" t="s">
        <v>222</v>
      </c>
      <c r="X349" t="s">
        <v>1891</v>
      </c>
      <c r="Y349">
        <f t="shared" si="63"/>
        <v>1.5</v>
      </c>
      <c r="Z349">
        <f t="shared" si="64"/>
        <v>0</v>
      </c>
      <c r="AA349">
        <f t="shared" si="65"/>
        <v>0</v>
      </c>
      <c r="AB349">
        <f t="shared" si="66"/>
        <v>0</v>
      </c>
      <c r="AC349">
        <f t="shared" si="67"/>
        <v>1.5</v>
      </c>
      <c r="AD349">
        <f t="shared" si="68"/>
        <v>0</v>
      </c>
      <c r="AE349">
        <f t="shared" si="69"/>
        <v>0</v>
      </c>
      <c r="AF349">
        <f t="shared" si="70"/>
        <v>0</v>
      </c>
      <c r="AG349">
        <f t="shared" si="71"/>
        <v>0</v>
      </c>
      <c r="AH349" t="s">
        <v>599</v>
      </c>
      <c r="AI349" t="s">
        <v>600</v>
      </c>
      <c r="AJ349" t="s">
        <v>601</v>
      </c>
    </row>
    <row r="350" spans="1:36" x14ac:dyDescent="0.2">
      <c r="A350" t="s">
        <v>221</v>
      </c>
      <c r="B350" t="s">
        <v>405</v>
      </c>
      <c r="C350" t="s">
        <v>39</v>
      </c>
      <c r="D350" t="s">
        <v>734</v>
      </c>
      <c r="E350" s="6" t="s">
        <v>26</v>
      </c>
      <c r="F350" s="6">
        <v>1</v>
      </c>
      <c r="G350" s="6" t="s">
        <v>522</v>
      </c>
      <c r="I350" t="s">
        <v>737</v>
      </c>
      <c r="J350" t="s">
        <v>738</v>
      </c>
      <c r="L350" t="s">
        <v>50</v>
      </c>
      <c r="M350">
        <v>1</v>
      </c>
      <c r="P350" t="s">
        <v>1892</v>
      </c>
      <c r="Q350">
        <v>1</v>
      </c>
      <c r="R350" t="s">
        <v>1893</v>
      </c>
      <c r="S350">
        <v>0</v>
      </c>
      <c r="T350" t="s">
        <v>172</v>
      </c>
      <c r="U350" t="s">
        <v>61</v>
      </c>
      <c r="V350" t="s">
        <v>1894</v>
      </c>
      <c r="W350" t="s">
        <v>222</v>
      </c>
      <c r="Y350">
        <f t="shared" si="63"/>
        <v>2</v>
      </c>
      <c r="Z350">
        <f t="shared" si="64"/>
        <v>0</v>
      </c>
      <c r="AA350">
        <f t="shared" si="65"/>
        <v>0</v>
      </c>
      <c r="AB350">
        <f t="shared" si="66"/>
        <v>0</v>
      </c>
      <c r="AC350">
        <f t="shared" si="67"/>
        <v>2</v>
      </c>
      <c r="AD350">
        <f t="shared" si="68"/>
        <v>0</v>
      </c>
      <c r="AE350">
        <f t="shared" si="69"/>
        <v>0</v>
      </c>
      <c r="AF350">
        <f t="shared" si="70"/>
        <v>0</v>
      </c>
      <c r="AG350">
        <f t="shared" si="71"/>
        <v>0</v>
      </c>
      <c r="AH350" t="s">
        <v>550</v>
      </c>
      <c r="AI350" t="s">
        <v>551</v>
      </c>
      <c r="AJ350" t="s">
        <v>619</v>
      </c>
    </row>
    <row r="351" spans="1:36" x14ac:dyDescent="0.2">
      <c r="A351" t="s">
        <v>221</v>
      </c>
      <c r="B351" t="s">
        <v>405</v>
      </c>
      <c r="C351" t="s">
        <v>39</v>
      </c>
      <c r="D351" t="s">
        <v>734</v>
      </c>
      <c r="E351" s="6" t="s">
        <v>26</v>
      </c>
      <c r="F351" s="6">
        <v>1</v>
      </c>
      <c r="G351" s="6" t="s">
        <v>522</v>
      </c>
      <c r="I351" t="s">
        <v>737</v>
      </c>
      <c r="J351" t="s">
        <v>738</v>
      </c>
      <c r="L351" t="s">
        <v>50</v>
      </c>
      <c r="M351">
        <v>1</v>
      </c>
      <c r="P351" t="s">
        <v>1895</v>
      </c>
      <c r="Q351">
        <v>2</v>
      </c>
      <c r="R351" t="s">
        <v>1896</v>
      </c>
      <c r="S351">
        <v>1</v>
      </c>
      <c r="T351" t="s">
        <v>174</v>
      </c>
      <c r="U351" t="s">
        <v>58</v>
      </c>
      <c r="V351" t="s">
        <v>1897</v>
      </c>
      <c r="W351" t="s">
        <v>222</v>
      </c>
      <c r="Y351">
        <f t="shared" si="63"/>
        <v>0</v>
      </c>
      <c r="Z351">
        <f t="shared" si="64"/>
        <v>0</v>
      </c>
      <c r="AA351">
        <f t="shared" si="65"/>
        <v>0</v>
      </c>
      <c r="AB351">
        <f t="shared" si="66"/>
        <v>0</v>
      </c>
      <c r="AC351">
        <f t="shared" si="67"/>
        <v>0</v>
      </c>
      <c r="AD351">
        <f t="shared" si="68"/>
        <v>0</v>
      </c>
      <c r="AE351">
        <f t="shared" si="69"/>
        <v>0</v>
      </c>
      <c r="AF351">
        <f t="shared" si="70"/>
        <v>0</v>
      </c>
      <c r="AG351">
        <f t="shared" si="71"/>
        <v>0</v>
      </c>
      <c r="AH351" t="s">
        <v>550</v>
      </c>
      <c r="AI351" t="s">
        <v>551</v>
      </c>
      <c r="AJ351" t="s">
        <v>619</v>
      </c>
    </row>
    <row r="352" spans="1:36" x14ac:dyDescent="0.2">
      <c r="A352" t="s">
        <v>221</v>
      </c>
      <c r="B352" t="s">
        <v>405</v>
      </c>
      <c r="C352" t="s">
        <v>39</v>
      </c>
      <c r="D352" t="s">
        <v>734</v>
      </c>
      <c r="E352" s="6" t="s">
        <v>26</v>
      </c>
      <c r="F352" s="6">
        <v>1</v>
      </c>
      <c r="G352" s="6" t="s">
        <v>522</v>
      </c>
      <c r="I352" t="s">
        <v>737</v>
      </c>
      <c r="J352" t="s">
        <v>738</v>
      </c>
      <c r="L352" t="s">
        <v>50</v>
      </c>
      <c r="M352">
        <v>1</v>
      </c>
      <c r="P352" t="s">
        <v>1898</v>
      </c>
      <c r="Q352">
        <v>3</v>
      </c>
      <c r="R352" t="s">
        <v>1899</v>
      </c>
      <c r="S352">
        <v>2</v>
      </c>
      <c r="U352" t="s">
        <v>58</v>
      </c>
      <c r="V352" t="s">
        <v>1900</v>
      </c>
      <c r="W352" t="s">
        <v>222</v>
      </c>
      <c r="X352" t="s">
        <v>1901</v>
      </c>
      <c r="Y352">
        <f t="shared" si="63"/>
        <v>0</v>
      </c>
      <c r="Z352">
        <f t="shared" si="64"/>
        <v>0</v>
      </c>
      <c r="AA352">
        <f t="shared" si="65"/>
        <v>0</v>
      </c>
      <c r="AB352">
        <f t="shared" si="66"/>
        <v>0</v>
      </c>
      <c r="AC352">
        <f t="shared" si="67"/>
        <v>1</v>
      </c>
      <c r="AD352">
        <f t="shared" si="68"/>
        <v>0</v>
      </c>
      <c r="AE352">
        <f t="shared" si="69"/>
        <v>0</v>
      </c>
      <c r="AF352">
        <f t="shared" si="70"/>
        <v>0</v>
      </c>
      <c r="AG352">
        <f t="shared" si="71"/>
        <v>0</v>
      </c>
      <c r="AH352" t="s">
        <v>550</v>
      </c>
      <c r="AI352" t="s">
        <v>551</v>
      </c>
      <c r="AJ352" t="s">
        <v>619</v>
      </c>
    </row>
    <row r="353" spans="1:36" x14ac:dyDescent="0.2">
      <c r="A353" t="s">
        <v>221</v>
      </c>
      <c r="B353" t="s">
        <v>405</v>
      </c>
      <c r="C353" t="s">
        <v>39</v>
      </c>
      <c r="D353" t="s">
        <v>734</v>
      </c>
      <c r="E353" s="6" t="s">
        <v>26</v>
      </c>
      <c r="F353" s="6">
        <v>1</v>
      </c>
      <c r="G353" s="6" t="s">
        <v>522</v>
      </c>
      <c r="I353" t="s">
        <v>737</v>
      </c>
      <c r="J353" t="s">
        <v>738</v>
      </c>
      <c r="L353" t="s">
        <v>50</v>
      </c>
      <c r="M353">
        <v>1</v>
      </c>
      <c r="P353" t="s">
        <v>1902</v>
      </c>
      <c r="Q353">
        <v>4</v>
      </c>
      <c r="R353" t="s">
        <v>1903</v>
      </c>
      <c r="S353">
        <v>3</v>
      </c>
      <c r="U353" t="s">
        <v>58</v>
      </c>
      <c r="V353" t="s">
        <v>1793</v>
      </c>
      <c r="W353" t="s">
        <v>222</v>
      </c>
      <c r="X353" t="s">
        <v>1904</v>
      </c>
      <c r="Y353">
        <f t="shared" si="63"/>
        <v>0</v>
      </c>
      <c r="Z353">
        <f t="shared" si="64"/>
        <v>0</v>
      </c>
      <c r="AA353">
        <f t="shared" si="65"/>
        <v>0</v>
      </c>
      <c r="AB353">
        <f t="shared" si="66"/>
        <v>0</v>
      </c>
      <c r="AC353">
        <f t="shared" si="67"/>
        <v>2</v>
      </c>
      <c r="AD353">
        <f t="shared" si="68"/>
        <v>0</v>
      </c>
      <c r="AE353">
        <f t="shared" si="69"/>
        <v>0</v>
      </c>
      <c r="AF353">
        <f t="shared" si="70"/>
        <v>0</v>
      </c>
      <c r="AG353">
        <f t="shared" si="71"/>
        <v>0</v>
      </c>
      <c r="AH353" t="s">
        <v>550</v>
      </c>
      <c r="AI353" t="s">
        <v>551</v>
      </c>
      <c r="AJ353" t="s">
        <v>619</v>
      </c>
    </row>
    <row r="354" spans="1:36" x14ac:dyDescent="0.2">
      <c r="A354" t="s">
        <v>221</v>
      </c>
      <c r="B354" t="s">
        <v>406</v>
      </c>
      <c r="C354" t="s">
        <v>41</v>
      </c>
      <c r="D354" t="s">
        <v>734</v>
      </c>
      <c r="E354" s="6" t="s">
        <v>20</v>
      </c>
      <c r="F354" s="6">
        <v>1</v>
      </c>
      <c r="G354" s="6" t="s">
        <v>522</v>
      </c>
      <c r="I354" t="s">
        <v>739</v>
      </c>
      <c r="J354" t="s">
        <v>740</v>
      </c>
      <c r="L354" t="s">
        <v>48</v>
      </c>
      <c r="M354">
        <v>1</v>
      </c>
      <c r="P354" t="s">
        <v>1905</v>
      </c>
      <c r="Q354">
        <v>1</v>
      </c>
      <c r="R354" t="s">
        <v>1906</v>
      </c>
      <c r="S354">
        <v>0</v>
      </c>
      <c r="T354" t="s">
        <v>255</v>
      </c>
      <c r="U354" t="s">
        <v>60</v>
      </c>
      <c r="V354" t="s">
        <v>1907</v>
      </c>
      <c r="W354" t="s">
        <v>222</v>
      </c>
      <c r="Y354">
        <f t="shared" si="63"/>
        <v>0</v>
      </c>
      <c r="Z354">
        <f t="shared" si="64"/>
        <v>0</v>
      </c>
      <c r="AA354">
        <f t="shared" si="65"/>
        <v>0</v>
      </c>
      <c r="AB354">
        <f t="shared" si="66"/>
        <v>0</v>
      </c>
      <c r="AC354">
        <f t="shared" si="67"/>
        <v>3</v>
      </c>
      <c r="AD354">
        <f t="shared" si="68"/>
        <v>0</v>
      </c>
      <c r="AE354">
        <f t="shared" si="69"/>
        <v>0</v>
      </c>
      <c r="AF354">
        <f t="shared" si="70"/>
        <v>0</v>
      </c>
      <c r="AG354">
        <f t="shared" si="71"/>
        <v>0</v>
      </c>
      <c r="AH354" t="s">
        <v>614</v>
      </c>
      <c r="AI354" t="s">
        <v>615</v>
      </c>
      <c r="AJ354" t="s">
        <v>635</v>
      </c>
    </row>
    <row r="355" spans="1:36" x14ac:dyDescent="0.2">
      <c r="A355" t="s">
        <v>221</v>
      </c>
      <c r="B355" t="s">
        <v>406</v>
      </c>
      <c r="C355" t="s">
        <v>41</v>
      </c>
      <c r="D355" t="s">
        <v>734</v>
      </c>
      <c r="E355" s="6" t="s">
        <v>20</v>
      </c>
      <c r="F355" s="6">
        <v>1</v>
      </c>
      <c r="G355" s="6" t="s">
        <v>522</v>
      </c>
      <c r="I355" t="s">
        <v>739</v>
      </c>
      <c r="J355" t="s">
        <v>740</v>
      </c>
      <c r="L355" t="s">
        <v>48</v>
      </c>
      <c r="M355">
        <v>1</v>
      </c>
      <c r="P355" t="s">
        <v>1908</v>
      </c>
      <c r="Q355">
        <v>2</v>
      </c>
      <c r="R355" t="s">
        <v>1909</v>
      </c>
      <c r="S355">
        <v>1</v>
      </c>
      <c r="T355" t="s">
        <v>172</v>
      </c>
      <c r="U355" t="s">
        <v>61</v>
      </c>
      <c r="V355" t="s">
        <v>1910</v>
      </c>
      <c r="W355" t="s">
        <v>222</v>
      </c>
      <c r="Y355">
        <f t="shared" si="63"/>
        <v>0</v>
      </c>
      <c r="Z355">
        <f t="shared" si="64"/>
        <v>0</v>
      </c>
      <c r="AA355">
        <f t="shared" si="65"/>
        <v>0</v>
      </c>
      <c r="AB355">
        <f t="shared" si="66"/>
        <v>0</v>
      </c>
      <c r="AC355">
        <f t="shared" si="67"/>
        <v>0</v>
      </c>
      <c r="AD355">
        <f t="shared" si="68"/>
        <v>0</v>
      </c>
      <c r="AE355">
        <f t="shared" si="69"/>
        <v>0</v>
      </c>
      <c r="AF355">
        <f t="shared" si="70"/>
        <v>0</v>
      </c>
      <c r="AG355">
        <f t="shared" si="71"/>
        <v>0</v>
      </c>
      <c r="AH355" t="s">
        <v>614</v>
      </c>
      <c r="AI355" t="s">
        <v>615</v>
      </c>
      <c r="AJ355" t="s">
        <v>635</v>
      </c>
    </row>
    <row r="356" spans="1:36" x14ac:dyDescent="0.2">
      <c r="A356" t="s">
        <v>221</v>
      </c>
      <c r="B356" t="s">
        <v>406</v>
      </c>
      <c r="C356" t="s">
        <v>41</v>
      </c>
      <c r="D356" t="s">
        <v>734</v>
      </c>
      <c r="E356" s="6" t="s">
        <v>20</v>
      </c>
      <c r="F356" s="6">
        <v>1</v>
      </c>
      <c r="G356" s="6" t="s">
        <v>522</v>
      </c>
      <c r="I356" t="s">
        <v>739</v>
      </c>
      <c r="J356" t="s">
        <v>740</v>
      </c>
      <c r="L356" t="s">
        <v>48</v>
      </c>
      <c r="M356">
        <v>1</v>
      </c>
      <c r="P356" t="s">
        <v>1911</v>
      </c>
      <c r="Q356">
        <v>3</v>
      </c>
      <c r="R356" t="s">
        <v>1912</v>
      </c>
      <c r="S356">
        <v>2</v>
      </c>
      <c r="U356" t="s">
        <v>60</v>
      </c>
      <c r="V356" t="s">
        <v>1913</v>
      </c>
      <c r="W356" t="s">
        <v>222</v>
      </c>
      <c r="X356" t="s">
        <v>1914</v>
      </c>
      <c r="Y356">
        <f t="shared" si="63"/>
        <v>0</v>
      </c>
      <c r="Z356">
        <f t="shared" si="64"/>
        <v>1</v>
      </c>
      <c r="AA356">
        <f t="shared" si="65"/>
        <v>0</v>
      </c>
      <c r="AB356">
        <f t="shared" si="66"/>
        <v>0</v>
      </c>
      <c r="AC356">
        <f t="shared" si="67"/>
        <v>0</v>
      </c>
      <c r="AD356">
        <f t="shared" si="68"/>
        <v>0</v>
      </c>
      <c r="AE356">
        <f t="shared" si="69"/>
        <v>0</v>
      </c>
      <c r="AF356">
        <f t="shared" si="70"/>
        <v>0</v>
      </c>
      <c r="AG356">
        <f t="shared" si="71"/>
        <v>0</v>
      </c>
      <c r="AH356" t="s">
        <v>614</v>
      </c>
      <c r="AI356" t="s">
        <v>615</v>
      </c>
      <c r="AJ356" t="s">
        <v>635</v>
      </c>
    </row>
    <row r="357" spans="1:36" x14ac:dyDescent="0.2">
      <c r="A357" t="s">
        <v>221</v>
      </c>
      <c r="B357" t="s">
        <v>406</v>
      </c>
      <c r="C357" t="s">
        <v>41</v>
      </c>
      <c r="D357" t="s">
        <v>734</v>
      </c>
      <c r="E357" s="6" t="s">
        <v>20</v>
      </c>
      <c r="F357" s="6">
        <v>1</v>
      </c>
      <c r="G357" s="6" t="s">
        <v>522</v>
      </c>
      <c r="I357" t="s">
        <v>739</v>
      </c>
      <c r="J357" t="s">
        <v>740</v>
      </c>
      <c r="L357" t="s">
        <v>48</v>
      </c>
      <c r="M357">
        <v>1</v>
      </c>
      <c r="P357" t="s">
        <v>1915</v>
      </c>
      <c r="Q357">
        <v>4</v>
      </c>
      <c r="R357" t="s">
        <v>1916</v>
      </c>
      <c r="S357">
        <v>3</v>
      </c>
      <c r="U357" t="s">
        <v>60</v>
      </c>
      <c r="V357" t="s">
        <v>1917</v>
      </c>
      <c r="W357" t="s">
        <v>222</v>
      </c>
      <c r="X357" t="s">
        <v>1918</v>
      </c>
      <c r="Y357">
        <f t="shared" si="63"/>
        <v>0</v>
      </c>
      <c r="Z357">
        <f t="shared" si="64"/>
        <v>2</v>
      </c>
      <c r="AA357">
        <f t="shared" si="65"/>
        <v>0</v>
      </c>
      <c r="AB357">
        <f t="shared" si="66"/>
        <v>0</v>
      </c>
      <c r="AC357">
        <f t="shared" si="67"/>
        <v>0</v>
      </c>
      <c r="AD357">
        <f t="shared" si="68"/>
        <v>0</v>
      </c>
      <c r="AE357">
        <f t="shared" si="69"/>
        <v>0</v>
      </c>
      <c r="AF357">
        <f t="shared" si="70"/>
        <v>0</v>
      </c>
      <c r="AG357">
        <f t="shared" si="71"/>
        <v>0</v>
      </c>
      <c r="AH357" t="s">
        <v>614</v>
      </c>
      <c r="AI357" t="s">
        <v>615</v>
      </c>
      <c r="AJ357" t="s">
        <v>635</v>
      </c>
    </row>
    <row r="358" spans="1:36" x14ac:dyDescent="0.2">
      <c r="A358" t="s">
        <v>221</v>
      </c>
      <c r="B358" t="s">
        <v>406</v>
      </c>
      <c r="C358" t="s">
        <v>41</v>
      </c>
      <c r="D358" t="s">
        <v>734</v>
      </c>
      <c r="E358" s="6" t="s">
        <v>20</v>
      </c>
      <c r="F358" s="6">
        <v>1</v>
      </c>
      <c r="G358" s="6" t="s">
        <v>522</v>
      </c>
      <c r="I358" t="s">
        <v>739</v>
      </c>
      <c r="J358" t="s">
        <v>740</v>
      </c>
      <c r="L358" t="s">
        <v>48</v>
      </c>
      <c r="M358">
        <v>1</v>
      </c>
      <c r="P358" t="s">
        <v>1919</v>
      </c>
      <c r="Q358">
        <v>5</v>
      </c>
      <c r="R358" t="s">
        <v>1920</v>
      </c>
      <c r="S358">
        <v>4</v>
      </c>
      <c r="U358" t="s">
        <v>58</v>
      </c>
      <c r="V358" t="s">
        <v>1530</v>
      </c>
      <c r="W358" t="s">
        <v>222</v>
      </c>
      <c r="X358" t="s">
        <v>1921</v>
      </c>
      <c r="Y358">
        <f t="shared" si="63"/>
        <v>0</v>
      </c>
      <c r="Z358">
        <f t="shared" si="64"/>
        <v>3</v>
      </c>
      <c r="AA358">
        <f t="shared" si="65"/>
        <v>0</v>
      </c>
      <c r="AB358">
        <f t="shared" si="66"/>
        <v>0</v>
      </c>
      <c r="AC358">
        <f t="shared" si="67"/>
        <v>0</v>
      </c>
      <c r="AD358">
        <f t="shared" si="68"/>
        <v>0</v>
      </c>
      <c r="AE358">
        <f t="shared" si="69"/>
        <v>0</v>
      </c>
      <c r="AF358">
        <f t="shared" si="70"/>
        <v>0</v>
      </c>
      <c r="AG358">
        <f t="shared" si="71"/>
        <v>0</v>
      </c>
      <c r="AH358" t="s">
        <v>614</v>
      </c>
      <c r="AI358" t="s">
        <v>615</v>
      </c>
      <c r="AJ358" t="s">
        <v>635</v>
      </c>
    </row>
    <row r="359" spans="1:36" x14ac:dyDescent="0.2">
      <c r="A359" t="s">
        <v>225</v>
      </c>
      <c r="B359" t="s">
        <v>407</v>
      </c>
      <c r="C359" t="s">
        <v>37</v>
      </c>
      <c r="D359" t="s">
        <v>741</v>
      </c>
      <c r="E359" s="6" t="s">
        <v>20</v>
      </c>
      <c r="F359" s="6">
        <v>0.6</v>
      </c>
      <c r="G359" s="6" t="s">
        <v>22</v>
      </c>
      <c r="H359" s="6">
        <v>0.4</v>
      </c>
      <c r="I359" t="s">
        <v>742</v>
      </c>
      <c r="J359" t="s">
        <v>743</v>
      </c>
      <c r="L359" t="s">
        <v>48</v>
      </c>
      <c r="M359">
        <v>1.2</v>
      </c>
      <c r="N359">
        <v>0.5</v>
      </c>
      <c r="P359" t="s">
        <v>1922</v>
      </c>
      <c r="Q359">
        <v>1</v>
      </c>
      <c r="R359" t="s">
        <v>1923</v>
      </c>
      <c r="S359">
        <v>0</v>
      </c>
      <c r="T359" t="s">
        <v>273</v>
      </c>
      <c r="U359" t="s">
        <v>65</v>
      </c>
      <c r="V359" t="s">
        <v>74</v>
      </c>
      <c r="W359" t="s">
        <v>222</v>
      </c>
      <c r="Y359">
        <f t="shared" si="63"/>
        <v>0</v>
      </c>
      <c r="Z359">
        <f t="shared" si="64"/>
        <v>4</v>
      </c>
      <c r="AA359">
        <f t="shared" si="65"/>
        <v>0</v>
      </c>
      <c r="AB359">
        <f t="shared" si="66"/>
        <v>0</v>
      </c>
      <c r="AC359">
        <f t="shared" si="67"/>
        <v>0</v>
      </c>
      <c r="AD359">
        <f t="shared" si="68"/>
        <v>0</v>
      </c>
      <c r="AE359">
        <f t="shared" si="69"/>
        <v>0</v>
      </c>
      <c r="AF359">
        <f t="shared" si="70"/>
        <v>0</v>
      </c>
      <c r="AG359">
        <f t="shared" si="71"/>
        <v>0</v>
      </c>
      <c r="AH359" t="s">
        <v>561</v>
      </c>
      <c r="AI359" t="s">
        <v>587</v>
      </c>
      <c r="AJ359" t="s">
        <v>744</v>
      </c>
    </row>
    <row r="360" spans="1:36" x14ac:dyDescent="0.2">
      <c r="A360" t="s">
        <v>225</v>
      </c>
      <c r="B360" t="s">
        <v>407</v>
      </c>
      <c r="C360" t="s">
        <v>37</v>
      </c>
      <c r="D360" t="s">
        <v>741</v>
      </c>
      <c r="E360" s="6" t="s">
        <v>20</v>
      </c>
      <c r="F360" s="6">
        <v>0.6</v>
      </c>
      <c r="G360" s="6" t="s">
        <v>22</v>
      </c>
      <c r="H360" s="6">
        <v>0.4</v>
      </c>
      <c r="I360" t="s">
        <v>742</v>
      </c>
      <c r="J360" t="s">
        <v>743</v>
      </c>
      <c r="L360" t="s">
        <v>48</v>
      </c>
      <c r="M360">
        <v>1.2</v>
      </c>
      <c r="N360">
        <v>0.5</v>
      </c>
      <c r="P360" t="s">
        <v>1924</v>
      </c>
      <c r="Q360">
        <v>2</v>
      </c>
      <c r="R360" t="s">
        <v>1925</v>
      </c>
      <c r="S360">
        <v>0</v>
      </c>
      <c r="T360" t="s">
        <v>172</v>
      </c>
      <c r="U360" t="s">
        <v>61</v>
      </c>
      <c r="V360" t="s">
        <v>83</v>
      </c>
      <c r="W360" t="s">
        <v>222</v>
      </c>
      <c r="Y360">
        <f t="shared" si="63"/>
        <v>0</v>
      </c>
      <c r="Z360">
        <f t="shared" si="64"/>
        <v>0</v>
      </c>
      <c r="AA360">
        <f t="shared" si="65"/>
        <v>0</v>
      </c>
      <c r="AB360">
        <f t="shared" si="66"/>
        <v>0</v>
      </c>
      <c r="AC360">
        <f t="shared" si="67"/>
        <v>0</v>
      </c>
      <c r="AD360">
        <f t="shared" si="68"/>
        <v>0</v>
      </c>
      <c r="AE360">
        <f t="shared" si="69"/>
        <v>0</v>
      </c>
      <c r="AF360">
        <f t="shared" si="70"/>
        <v>0</v>
      </c>
      <c r="AG360">
        <f t="shared" si="71"/>
        <v>0</v>
      </c>
      <c r="AH360" t="s">
        <v>561</v>
      </c>
      <c r="AI360" t="s">
        <v>587</v>
      </c>
      <c r="AJ360" t="s">
        <v>744</v>
      </c>
    </row>
    <row r="361" spans="1:36" x14ac:dyDescent="0.2">
      <c r="A361" t="s">
        <v>225</v>
      </c>
      <c r="B361" t="s">
        <v>407</v>
      </c>
      <c r="C361" t="s">
        <v>37</v>
      </c>
      <c r="D361" t="s">
        <v>741</v>
      </c>
      <c r="E361" s="6" t="s">
        <v>20</v>
      </c>
      <c r="F361" s="6">
        <v>0.6</v>
      </c>
      <c r="G361" s="6" t="s">
        <v>22</v>
      </c>
      <c r="H361" s="6">
        <v>0.4</v>
      </c>
      <c r="I361" t="s">
        <v>742</v>
      </c>
      <c r="J361" t="s">
        <v>743</v>
      </c>
      <c r="L361" t="s">
        <v>48</v>
      </c>
      <c r="M361">
        <v>1.2</v>
      </c>
      <c r="N361">
        <v>0.5</v>
      </c>
      <c r="P361" t="s">
        <v>1926</v>
      </c>
      <c r="Q361">
        <v>3</v>
      </c>
      <c r="R361" t="s">
        <v>1927</v>
      </c>
      <c r="S361">
        <v>1</v>
      </c>
      <c r="T361" t="s">
        <v>174</v>
      </c>
      <c r="U361" t="s">
        <v>63</v>
      </c>
      <c r="V361" t="s">
        <v>84</v>
      </c>
      <c r="W361" t="s">
        <v>222</v>
      </c>
      <c r="X361" t="s">
        <v>1928</v>
      </c>
      <c r="Y361">
        <f t="shared" si="63"/>
        <v>0</v>
      </c>
      <c r="Z361">
        <f t="shared" si="64"/>
        <v>0</v>
      </c>
      <c r="AA361">
        <f t="shared" si="65"/>
        <v>0</v>
      </c>
      <c r="AB361">
        <f t="shared" si="66"/>
        <v>0</v>
      </c>
      <c r="AC361">
        <f t="shared" si="67"/>
        <v>0</v>
      </c>
      <c r="AD361">
        <f t="shared" si="68"/>
        <v>0</v>
      </c>
      <c r="AE361">
        <f t="shared" si="69"/>
        <v>0</v>
      </c>
      <c r="AF361">
        <f t="shared" si="70"/>
        <v>0</v>
      </c>
      <c r="AG361">
        <f t="shared" si="71"/>
        <v>0</v>
      </c>
      <c r="AH361" t="s">
        <v>561</v>
      </c>
      <c r="AI361" t="s">
        <v>587</v>
      </c>
      <c r="AJ361" t="s">
        <v>744</v>
      </c>
    </row>
    <row r="362" spans="1:36" x14ac:dyDescent="0.2">
      <c r="A362" t="s">
        <v>225</v>
      </c>
      <c r="B362" t="s">
        <v>407</v>
      </c>
      <c r="C362" t="s">
        <v>37</v>
      </c>
      <c r="D362" t="s">
        <v>741</v>
      </c>
      <c r="E362" s="6" t="s">
        <v>20</v>
      </c>
      <c r="F362" s="6">
        <v>0.6</v>
      </c>
      <c r="G362" s="6" t="s">
        <v>22</v>
      </c>
      <c r="H362" s="6">
        <v>0.4</v>
      </c>
      <c r="I362" t="s">
        <v>742</v>
      </c>
      <c r="J362" t="s">
        <v>743</v>
      </c>
      <c r="L362" t="s">
        <v>48</v>
      </c>
      <c r="M362">
        <v>1.2</v>
      </c>
      <c r="N362">
        <v>0.5</v>
      </c>
      <c r="P362" t="s">
        <v>1929</v>
      </c>
      <c r="Q362">
        <v>4</v>
      </c>
      <c r="R362" t="s">
        <v>1930</v>
      </c>
      <c r="S362">
        <v>2</v>
      </c>
      <c r="U362" t="s">
        <v>60</v>
      </c>
      <c r="V362" t="s">
        <v>77</v>
      </c>
      <c r="W362" t="s">
        <v>222</v>
      </c>
      <c r="X362" t="s">
        <v>1931</v>
      </c>
      <c r="Y362">
        <f t="shared" si="63"/>
        <v>0</v>
      </c>
      <c r="Z362">
        <f t="shared" si="64"/>
        <v>0.6</v>
      </c>
      <c r="AA362">
        <f t="shared" si="65"/>
        <v>0.4</v>
      </c>
      <c r="AB362">
        <f t="shared" si="66"/>
        <v>0</v>
      </c>
      <c r="AC362">
        <f t="shared" si="67"/>
        <v>0</v>
      </c>
      <c r="AD362">
        <f t="shared" si="68"/>
        <v>0</v>
      </c>
      <c r="AE362">
        <f t="shared" si="69"/>
        <v>0</v>
      </c>
      <c r="AF362">
        <f t="shared" si="70"/>
        <v>0</v>
      </c>
      <c r="AG362">
        <f t="shared" si="71"/>
        <v>0</v>
      </c>
      <c r="AH362" t="s">
        <v>561</v>
      </c>
      <c r="AI362" t="s">
        <v>587</v>
      </c>
      <c r="AJ362" t="s">
        <v>744</v>
      </c>
    </row>
    <row r="363" spans="1:36" x14ac:dyDescent="0.2">
      <c r="A363" t="s">
        <v>225</v>
      </c>
      <c r="B363" t="s">
        <v>407</v>
      </c>
      <c r="C363" t="s">
        <v>37</v>
      </c>
      <c r="D363" t="s">
        <v>741</v>
      </c>
      <c r="E363" s="6" t="s">
        <v>20</v>
      </c>
      <c r="F363" s="6">
        <v>0.6</v>
      </c>
      <c r="G363" s="6" t="s">
        <v>22</v>
      </c>
      <c r="H363" s="6">
        <v>0.4</v>
      </c>
      <c r="I363" t="s">
        <v>742</v>
      </c>
      <c r="J363" t="s">
        <v>743</v>
      </c>
      <c r="L363" t="s">
        <v>48</v>
      </c>
      <c r="M363">
        <v>1.2</v>
      </c>
      <c r="N363">
        <v>0.5</v>
      </c>
      <c r="P363" t="s">
        <v>1932</v>
      </c>
      <c r="Q363">
        <v>5</v>
      </c>
      <c r="R363" t="s">
        <v>1933</v>
      </c>
      <c r="S363">
        <v>3</v>
      </c>
      <c r="U363" t="s">
        <v>60</v>
      </c>
      <c r="V363" t="s">
        <v>74</v>
      </c>
      <c r="W363" t="s">
        <v>218</v>
      </c>
      <c r="X363" t="s">
        <v>1934</v>
      </c>
      <c r="Y363">
        <f t="shared" si="63"/>
        <v>0</v>
      </c>
      <c r="Z363">
        <f t="shared" si="64"/>
        <v>1.2</v>
      </c>
      <c r="AA363">
        <f t="shared" si="65"/>
        <v>0.8</v>
      </c>
      <c r="AB363">
        <f t="shared" si="66"/>
        <v>0</v>
      </c>
      <c r="AC363">
        <f t="shared" si="67"/>
        <v>0</v>
      </c>
      <c r="AD363">
        <f t="shared" si="68"/>
        <v>0</v>
      </c>
      <c r="AE363">
        <f t="shared" si="69"/>
        <v>0</v>
      </c>
      <c r="AF363">
        <f t="shared" si="70"/>
        <v>0</v>
      </c>
      <c r="AG363">
        <f t="shared" si="71"/>
        <v>0</v>
      </c>
      <c r="AH363" t="s">
        <v>561</v>
      </c>
      <c r="AI363" t="s">
        <v>587</v>
      </c>
      <c r="AJ363" t="s">
        <v>744</v>
      </c>
    </row>
    <row r="364" spans="1:36" x14ac:dyDescent="0.2">
      <c r="A364" t="s">
        <v>225</v>
      </c>
      <c r="B364" t="s">
        <v>407</v>
      </c>
      <c r="C364" t="s">
        <v>37</v>
      </c>
      <c r="D364" t="s">
        <v>741</v>
      </c>
      <c r="E364" s="6" t="s">
        <v>20</v>
      </c>
      <c r="F364" s="6">
        <v>0.6</v>
      </c>
      <c r="G364" s="6" t="s">
        <v>22</v>
      </c>
      <c r="H364" s="6">
        <v>0.4</v>
      </c>
      <c r="I364" t="s">
        <v>742</v>
      </c>
      <c r="J364" t="s">
        <v>743</v>
      </c>
      <c r="L364" t="s">
        <v>48</v>
      </c>
      <c r="M364">
        <v>1.2</v>
      </c>
      <c r="N364">
        <v>0.5</v>
      </c>
      <c r="P364" t="s">
        <v>1935</v>
      </c>
      <c r="Q364">
        <v>6</v>
      </c>
      <c r="R364" t="s">
        <v>1936</v>
      </c>
      <c r="S364">
        <v>4</v>
      </c>
      <c r="U364" t="s">
        <v>62</v>
      </c>
      <c r="V364" t="s">
        <v>132</v>
      </c>
      <c r="W364" t="s">
        <v>218</v>
      </c>
      <c r="X364" t="s">
        <v>1937</v>
      </c>
      <c r="Y364">
        <f t="shared" si="63"/>
        <v>0</v>
      </c>
      <c r="Z364">
        <f t="shared" si="64"/>
        <v>1.7999999999999998</v>
      </c>
      <c r="AA364">
        <f t="shared" si="65"/>
        <v>1.2000000000000002</v>
      </c>
      <c r="AB364">
        <f t="shared" si="66"/>
        <v>0</v>
      </c>
      <c r="AC364">
        <f t="shared" si="67"/>
        <v>0</v>
      </c>
      <c r="AD364">
        <f t="shared" si="68"/>
        <v>0</v>
      </c>
      <c r="AE364">
        <f t="shared" si="69"/>
        <v>0</v>
      </c>
      <c r="AF364">
        <f t="shared" si="70"/>
        <v>0</v>
      </c>
      <c r="AG364">
        <f t="shared" si="71"/>
        <v>0</v>
      </c>
      <c r="AH364" t="s">
        <v>561</v>
      </c>
      <c r="AI364" t="s">
        <v>587</v>
      </c>
      <c r="AJ364" t="s">
        <v>744</v>
      </c>
    </row>
    <row r="365" spans="1:36" x14ac:dyDescent="0.2">
      <c r="A365" t="s">
        <v>225</v>
      </c>
      <c r="B365" t="s">
        <v>408</v>
      </c>
      <c r="C365" t="s">
        <v>39</v>
      </c>
      <c r="D365" t="s">
        <v>741</v>
      </c>
      <c r="E365" s="6" t="s">
        <v>20</v>
      </c>
      <c r="F365" s="6">
        <v>1</v>
      </c>
      <c r="I365" t="s">
        <v>745</v>
      </c>
      <c r="J365" t="s">
        <v>746</v>
      </c>
      <c r="L365" t="s">
        <v>48</v>
      </c>
      <c r="M365">
        <v>1</v>
      </c>
      <c r="P365" t="s">
        <v>1938</v>
      </c>
      <c r="Q365">
        <v>1</v>
      </c>
      <c r="R365" t="s">
        <v>1939</v>
      </c>
      <c r="S365">
        <v>0</v>
      </c>
      <c r="T365" t="s">
        <v>172</v>
      </c>
      <c r="U365" t="s">
        <v>61</v>
      </c>
      <c r="V365" t="s">
        <v>83</v>
      </c>
      <c r="W365" t="s">
        <v>222</v>
      </c>
      <c r="Y365">
        <f t="shared" si="63"/>
        <v>0</v>
      </c>
      <c r="Z365">
        <f t="shared" si="64"/>
        <v>2.4</v>
      </c>
      <c r="AA365">
        <f t="shared" si="65"/>
        <v>1.6</v>
      </c>
      <c r="AB365">
        <f t="shared" si="66"/>
        <v>0</v>
      </c>
      <c r="AC365">
        <f t="shared" si="67"/>
        <v>0</v>
      </c>
      <c r="AD365">
        <f t="shared" si="68"/>
        <v>0</v>
      </c>
      <c r="AE365">
        <f t="shared" si="69"/>
        <v>0</v>
      </c>
      <c r="AF365">
        <f t="shared" si="70"/>
        <v>0</v>
      </c>
      <c r="AG365">
        <f t="shared" si="71"/>
        <v>0</v>
      </c>
      <c r="AH365" t="s">
        <v>614</v>
      </c>
      <c r="AI365" t="s">
        <v>615</v>
      </c>
      <c r="AJ365" t="s">
        <v>635</v>
      </c>
    </row>
    <row r="366" spans="1:36" x14ac:dyDescent="0.2">
      <c r="A366" t="s">
        <v>225</v>
      </c>
      <c r="B366" t="s">
        <v>408</v>
      </c>
      <c r="C366" t="s">
        <v>39</v>
      </c>
      <c r="D366" t="s">
        <v>741</v>
      </c>
      <c r="E366" s="6" t="s">
        <v>20</v>
      </c>
      <c r="F366" s="6">
        <v>1</v>
      </c>
      <c r="I366" t="s">
        <v>745</v>
      </c>
      <c r="J366" t="s">
        <v>746</v>
      </c>
      <c r="L366" t="s">
        <v>48</v>
      </c>
      <c r="M366">
        <v>1</v>
      </c>
      <c r="P366" t="s">
        <v>1940</v>
      </c>
      <c r="Q366">
        <v>2</v>
      </c>
      <c r="R366" t="s">
        <v>1941</v>
      </c>
      <c r="S366">
        <v>2</v>
      </c>
      <c r="T366" t="s">
        <v>174</v>
      </c>
      <c r="U366" t="s">
        <v>63</v>
      </c>
      <c r="V366" t="s">
        <v>84</v>
      </c>
      <c r="W366" t="s">
        <v>222</v>
      </c>
      <c r="X366" t="s">
        <v>1942</v>
      </c>
      <c r="Y366">
        <f t="shared" si="63"/>
        <v>0</v>
      </c>
      <c r="Z366">
        <f t="shared" si="64"/>
        <v>0</v>
      </c>
      <c r="AA366">
        <f t="shared" si="65"/>
        <v>0</v>
      </c>
      <c r="AB366">
        <f t="shared" si="66"/>
        <v>0</v>
      </c>
      <c r="AC366">
        <f t="shared" si="67"/>
        <v>0</v>
      </c>
      <c r="AD366">
        <f t="shared" si="68"/>
        <v>0</v>
      </c>
      <c r="AE366">
        <f t="shared" si="69"/>
        <v>0</v>
      </c>
      <c r="AF366">
        <f t="shared" si="70"/>
        <v>0</v>
      </c>
      <c r="AG366">
        <f t="shared" si="71"/>
        <v>0</v>
      </c>
      <c r="AH366" t="s">
        <v>614</v>
      </c>
      <c r="AI366" t="s">
        <v>615</v>
      </c>
      <c r="AJ366" t="s">
        <v>635</v>
      </c>
    </row>
    <row r="367" spans="1:36" x14ac:dyDescent="0.2">
      <c r="A367" t="s">
        <v>225</v>
      </c>
      <c r="B367" t="s">
        <v>408</v>
      </c>
      <c r="C367" t="s">
        <v>39</v>
      </c>
      <c r="D367" t="s">
        <v>741</v>
      </c>
      <c r="E367" s="6" t="s">
        <v>20</v>
      </c>
      <c r="F367" s="6">
        <v>1</v>
      </c>
      <c r="I367" t="s">
        <v>745</v>
      </c>
      <c r="J367" t="s">
        <v>746</v>
      </c>
      <c r="L367" t="s">
        <v>48</v>
      </c>
      <c r="M367">
        <v>1</v>
      </c>
      <c r="P367" t="s">
        <v>1943</v>
      </c>
      <c r="Q367">
        <v>3</v>
      </c>
      <c r="R367" t="s">
        <v>1944</v>
      </c>
      <c r="S367">
        <v>3</v>
      </c>
      <c r="T367" t="s">
        <v>174</v>
      </c>
      <c r="U367" t="s">
        <v>63</v>
      </c>
      <c r="V367" t="s">
        <v>73</v>
      </c>
      <c r="W367" t="s">
        <v>218</v>
      </c>
      <c r="X367" t="s">
        <v>1945</v>
      </c>
      <c r="Y367">
        <f t="shared" si="63"/>
        <v>0</v>
      </c>
      <c r="Z367">
        <f t="shared" si="64"/>
        <v>2</v>
      </c>
      <c r="AA367">
        <f t="shared" si="65"/>
        <v>0</v>
      </c>
      <c r="AB367">
        <f t="shared" si="66"/>
        <v>0</v>
      </c>
      <c r="AC367">
        <f t="shared" si="67"/>
        <v>0</v>
      </c>
      <c r="AD367">
        <f t="shared" si="68"/>
        <v>0</v>
      </c>
      <c r="AE367">
        <f t="shared" si="69"/>
        <v>0</v>
      </c>
      <c r="AF367">
        <f t="shared" si="70"/>
        <v>0</v>
      </c>
      <c r="AG367">
        <f t="shared" si="71"/>
        <v>0</v>
      </c>
      <c r="AH367" t="s">
        <v>614</v>
      </c>
      <c r="AI367" t="s">
        <v>615</v>
      </c>
      <c r="AJ367" t="s">
        <v>635</v>
      </c>
    </row>
    <row r="368" spans="1:36" x14ac:dyDescent="0.2">
      <c r="A368" t="s">
        <v>225</v>
      </c>
      <c r="B368" t="s">
        <v>409</v>
      </c>
      <c r="C368" t="s">
        <v>39</v>
      </c>
      <c r="D368" t="s">
        <v>741</v>
      </c>
      <c r="E368" s="6" t="s">
        <v>20</v>
      </c>
      <c r="F368" s="6">
        <v>0.6</v>
      </c>
      <c r="G368" s="6" t="s">
        <v>30</v>
      </c>
      <c r="H368" s="6">
        <v>0.4</v>
      </c>
      <c r="I368" t="s">
        <v>747</v>
      </c>
      <c r="J368" t="s">
        <v>748</v>
      </c>
      <c r="L368" t="s">
        <v>48</v>
      </c>
      <c r="M368">
        <v>1.2</v>
      </c>
      <c r="N368">
        <v>0.5</v>
      </c>
      <c r="P368" t="s">
        <v>1946</v>
      </c>
      <c r="Q368">
        <v>1</v>
      </c>
      <c r="R368" t="s">
        <v>1947</v>
      </c>
      <c r="S368">
        <v>0</v>
      </c>
      <c r="U368" t="s">
        <v>60</v>
      </c>
      <c r="V368" t="s">
        <v>74</v>
      </c>
      <c r="W368" t="s">
        <v>222</v>
      </c>
      <c r="Y368">
        <f t="shared" si="63"/>
        <v>0</v>
      </c>
      <c r="Z368">
        <f t="shared" si="64"/>
        <v>3</v>
      </c>
      <c r="AA368">
        <f t="shared" si="65"/>
        <v>0</v>
      </c>
      <c r="AB368">
        <f t="shared" si="66"/>
        <v>0</v>
      </c>
      <c r="AC368">
        <f t="shared" si="67"/>
        <v>0</v>
      </c>
      <c r="AD368">
        <f t="shared" si="68"/>
        <v>0</v>
      </c>
      <c r="AE368">
        <f t="shared" si="69"/>
        <v>0</v>
      </c>
      <c r="AF368">
        <f t="shared" si="70"/>
        <v>0</v>
      </c>
      <c r="AG368">
        <f t="shared" si="71"/>
        <v>0</v>
      </c>
      <c r="AH368" t="s">
        <v>749</v>
      </c>
      <c r="AI368" t="s">
        <v>750</v>
      </c>
      <c r="AJ368" t="s">
        <v>751</v>
      </c>
    </row>
    <row r="369" spans="1:36" x14ac:dyDescent="0.2">
      <c r="A369" t="s">
        <v>225</v>
      </c>
      <c r="B369" t="s">
        <v>409</v>
      </c>
      <c r="C369" t="s">
        <v>39</v>
      </c>
      <c r="D369" t="s">
        <v>741</v>
      </c>
      <c r="E369" s="6" t="s">
        <v>20</v>
      </c>
      <c r="F369" s="6">
        <v>0.6</v>
      </c>
      <c r="G369" s="6" t="s">
        <v>30</v>
      </c>
      <c r="H369" s="6">
        <v>0.4</v>
      </c>
      <c r="I369" t="s">
        <v>747</v>
      </c>
      <c r="J369" t="s">
        <v>748</v>
      </c>
      <c r="L369" t="s">
        <v>48</v>
      </c>
      <c r="M369">
        <v>1.2</v>
      </c>
      <c r="N369">
        <v>0.5</v>
      </c>
      <c r="P369" t="s">
        <v>1948</v>
      </c>
      <c r="Q369">
        <v>2</v>
      </c>
      <c r="R369" t="s">
        <v>1949</v>
      </c>
      <c r="S369">
        <v>1</v>
      </c>
      <c r="T369" t="s">
        <v>172</v>
      </c>
      <c r="U369" t="s">
        <v>61</v>
      </c>
      <c r="V369" t="s">
        <v>73</v>
      </c>
      <c r="W369" t="s">
        <v>222</v>
      </c>
      <c r="Y369">
        <f t="shared" si="63"/>
        <v>0</v>
      </c>
      <c r="Z369">
        <f t="shared" si="64"/>
        <v>0</v>
      </c>
      <c r="AA369">
        <f t="shared" si="65"/>
        <v>0</v>
      </c>
      <c r="AB369">
        <f t="shared" si="66"/>
        <v>0</v>
      </c>
      <c r="AC369">
        <f t="shared" si="67"/>
        <v>0</v>
      </c>
      <c r="AD369">
        <f t="shared" si="68"/>
        <v>0</v>
      </c>
      <c r="AE369">
        <f t="shared" si="69"/>
        <v>0</v>
      </c>
      <c r="AF369">
        <f t="shared" si="70"/>
        <v>0</v>
      </c>
      <c r="AG369">
        <f t="shared" si="71"/>
        <v>0</v>
      </c>
      <c r="AH369" t="s">
        <v>749</v>
      </c>
      <c r="AI369" t="s">
        <v>750</v>
      </c>
      <c r="AJ369" t="s">
        <v>751</v>
      </c>
    </row>
    <row r="370" spans="1:36" x14ac:dyDescent="0.2">
      <c r="A370" t="s">
        <v>225</v>
      </c>
      <c r="B370" t="s">
        <v>409</v>
      </c>
      <c r="C370" t="s">
        <v>39</v>
      </c>
      <c r="D370" t="s">
        <v>741</v>
      </c>
      <c r="E370" s="6" t="s">
        <v>20</v>
      </c>
      <c r="F370" s="6">
        <v>0.6</v>
      </c>
      <c r="G370" s="6" t="s">
        <v>30</v>
      </c>
      <c r="H370" s="6">
        <v>0.4</v>
      </c>
      <c r="I370" t="s">
        <v>747</v>
      </c>
      <c r="J370" t="s">
        <v>748</v>
      </c>
      <c r="L370" t="s">
        <v>48</v>
      </c>
      <c r="M370">
        <v>1.2</v>
      </c>
      <c r="N370">
        <v>0.5</v>
      </c>
      <c r="P370" t="s">
        <v>1950</v>
      </c>
      <c r="Q370">
        <v>3</v>
      </c>
      <c r="R370" t="s">
        <v>1951</v>
      </c>
      <c r="S370">
        <v>2</v>
      </c>
      <c r="U370" t="s">
        <v>60</v>
      </c>
      <c r="V370" t="s">
        <v>74</v>
      </c>
      <c r="W370" t="s">
        <v>218</v>
      </c>
      <c r="X370" t="s">
        <v>1952</v>
      </c>
      <c r="Y370">
        <f t="shared" si="63"/>
        <v>0</v>
      </c>
      <c r="Z370">
        <f t="shared" si="64"/>
        <v>0.6</v>
      </c>
      <c r="AA370">
        <f t="shared" si="65"/>
        <v>0</v>
      </c>
      <c r="AB370">
        <f t="shared" si="66"/>
        <v>0</v>
      </c>
      <c r="AC370">
        <f t="shared" si="67"/>
        <v>0</v>
      </c>
      <c r="AD370">
        <f t="shared" si="68"/>
        <v>0</v>
      </c>
      <c r="AE370">
        <f t="shared" si="69"/>
        <v>0.4</v>
      </c>
      <c r="AF370">
        <f t="shared" si="70"/>
        <v>0</v>
      </c>
      <c r="AG370">
        <f t="shared" si="71"/>
        <v>0</v>
      </c>
      <c r="AH370" t="s">
        <v>749</v>
      </c>
      <c r="AI370" t="s">
        <v>750</v>
      </c>
      <c r="AJ370" t="s">
        <v>751</v>
      </c>
    </row>
    <row r="371" spans="1:36" x14ac:dyDescent="0.2">
      <c r="A371" t="s">
        <v>225</v>
      </c>
      <c r="B371" t="s">
        <v>409</v>
      </c>
      <c r="C371" t="s">
        <v>39</v>
      </c>
      <c r="D371" t="s">
        <v>741</v>
      </c>
      <c r="E371" s="6" t="s">
        <v>20</v>
      </c>
      <c r="F371" s="6">
        <v>0.6</v>
      </c>
      <c r="G371" s="6" t="s">
        <v>30</v>
      </c>
      <c r="H371" s="6">
        <v>0.4</v>
      </c>
      <c r="I371" t="s">
        <v>747</v>
      </c>
      <c r="J371" t="s">
        <v>748</v>
      </c>
      <c r="L371" t="s">
        <v>48</v>
      </c>
      <c r="M371">
        <v>1.2</v>
      </c>
      <c r="N371">
        <v>0.5</v>
      </c>
      <c r="P371" t="s">
        <v>1953</v>
      </c>
      <c r="Q371">
        <v>4</v>
      </c>
      <c r="R371" t="s">
        <v>1954</v>
      </c>
      <c r="S371">
        <v>3</v>
      </c>
      <c r="U371" t="s">
        <v>62</v>
      </c>
      <c r="V371" t="s">
        <v>136</v>
      </c>
      <c r="W371" t="s">
        <v>218</v>
      </c>
      <c r="X371" t="s">
        <v>1955</v>
      </c>
      <c r="Y371">
        <f t="shared" si="63"/>
        <v>0</v>
      </c>
      <c r="Z371">
        <f t="shared" si="64"/>
        <v>1.2</v>
      </c>
      <c r="AA371">
        <f t="shared" si="65"/>
        <v>0</v>
      </c>
      <c r="AB371">
        <f t="shared" si="66"/>
        <v>0</v>
      </c>
      <c r="AC371">
        <f t="shared" si="67"/>
        <v>0</v>
      </c>
      <c r="AD371">
        <f t="shared" si="68"/>
        <v>0</v>
      </c>
      <c r="AE371">
        <f t="shared" si="69"/>
        <v>0.8</v>
      </c>
      <c r="AF371">
        <f t="shared" si="70"/>
        <v>0</v>
      </c>
      <c r="AG371">
        <f t="shared" si="71"/>
        <v>0</v>
      </c>
      <c r="AH371" t="s">
        <v>749</v>
      </c>
      <c r="AI371" t="s">
        <v>750</v>
      </c>
      <c r="AJ371" t="s">
        <v>751</v>
      </c>
    </row>
    <row r="372" spans="1:36" x14ac:dyDescent="0.2">
      <c r="A372" t="s">
        <v>225</v>
      </c>
      <c r="B372" t="s">
        <v>409</v>
      </c>
      <c r="C372" t="s">
        <v>39</v>
      </c>
      <c r="D372" t="s">
        <v>741</v>
      </c>
      <c r="E372" s="6" t="s">
        <v>20</v>
      </c>
      <c r="F372" s="6">
        <v>0.6</v>
      </c>
      <c r="G372" s="6" t="s">
        <v>30</v>
      </c>
      <c r="H372" s="6">
        <v>0.4</v>
      </c>
      <c r="I372" t="s">
        <v>747</v>
      </c>
      <c r="J372" t="s">
        <v>748</v>
      </c>
      <c r="L372" t="s">
        <v>48</v>
      </c>
      <c r="M372">
        <v>1.2</v>
      </c>
      <c r="N372">
        <v>0.5</v>
      </c>
      <c r="P372" t="s">
        <v>1956</v>
      </c>
      <c r="Q372">
        <v>5</v>
      </c>
      <c r="R372" t="s">
        <v>1957</v>
      </c>
      <c r="S372">
        <v>4</v>
      </c>
      <c r="U372" t="s">
        <v>62</v>
      </c>
      <c r="V372" t="s">
        <v>132</v>
      </c>
      <c r="W372" t="s">
        <v>218</v>
      </c>
      <c r="X372" t="s">
        <v>1958</v>
      </c>
      <c r="Y372">
        <f t="shared" si="63"/>
        <v>0</v>
      </c>
      <c r="Z372">
        <f t="shared" si="64"/>
        <v>1.7999999999999998</v>
      </c>
      <c r="AA372">
        <f t="shared" si="65"/>
        <v>0</v>
      </c>
      <c r="AB372">
        <f t="shared" si="66"/>
        <v>0</v>
      </c>
      <c r="AC372">
        <f t="shared" si="67"/>
        <v>0</v>
      </c>
      <c r="AD372">
        <f t="shared" si="68"/>
        <v>0</v>
      </c>
      <c r="AE372">
        <f t="shared" si="69"/>
        <v>1.2000000000000002</v>
      </c>
      <c r="AF372">
        <f t="shared" si="70"/>
        <v>0</v>
      </c>
      <c r="AG372">
        <f t="shared" si="71"/>
        <v>0</v>
      </c>
      <c r="AH372" t="s">
        <v>749</v>
      </c>
      <c r="AI372" t="s">
        <v>750</v>
      </c>
      <c r="AJ372" t="s">
        <v>751</v>
      </c>
    </row>
    <row r="373" spans="1:36" x14ac:dyDescent="0.2">
      <c r="A373" t="s">
        <v>225</v>
      </c>
      <c r="B373" t="s">
        <v>410</v>
      </c>
      <c r="C373" t="s">
        <v>37</v>
      </c>
      <c r="D373" t="s">
        <v>752</v>
      </c>
      <c r="E373" s="6" t="s">
        <v>22</v>
      </c>
      <c r="F373" s="6">
        <v>0.6</v>
      </c>
      <c r="G373" s="6" t="s">
        <v>28</v>
      </c>
      <c r="H373" s="6">
        <v>0.4</v>
      </c>
      <c r="I373" t="s">
        <v>753</v>
      </c>
      <c r="J373" t="s">
        <v>754</v>
      </c>
      <c r="L373" t="s">
        <v>46</v>
      </c>
      <c r="M373">
        <v>1.5</v>
      </c>
      <c r="N373">
        <v>0.5</v>
      </c>
      <c r="P373" t="s">
        <v>1959</v>
      </c>
      <c r="Q373">
        <v>1</v>
      </c>
      <c r="R373" t="s">
        <v>1923</v>
      </c>
      <c r="S373">
        <v>0</v>
      </c>
      <c r="T373" t="s">
        <v>273</v>
      </c>
      <c r="U373" t="s">
        <v>65</v>
      </c>
      <c r="V373" t="s">
        <v>135</v>
      </c>
      <c r="W373" t="s">
        <v>222</v>
      </c>
      <c r="Y373">
        <f t="shared" si="63"/>
        <v>0</v>
      </c>
      <c r="Z373">
        <f t="shared" si="64"/>
        <v>2.4</v>
      </c>
      <c r="AA373">
        <f t="shared" si="65"/>
        <v>0</v>
      </c>
      <c r="AB373">
        <f t="shared" si="66"/>
        <v>0</v>
      </c>
      <c r="AC373">
        <f t="shared" si="67"/>
        <v>0</v>
      </c>
      <c r="AD373">
        <f t="shared" si="68"/>
        <v>0</v>
      </c>
      <c r="AE373">
        <f t="shared" si="69"/>
        <v>1.6</v>
      </c>
      <c r="AF373">
        <f t="shared" si="70"/>
        <v>0</v>
      </c>
      <c r="AG373">
        <f t="shared" si="71"/>
        <v>0</v>
      </c>
      <c r="AH373" t="s">
        <v>550</v>
      </c>
      <c r="AI373" t="s">
        <v>551</v>
      </c>
      <c r="AJ373" t="s">
        <v>552</v>
      </c>
    </row>
    <row r="374" spans="1:36" x14ac:dyDescent="0.2">
      <c r="A374" t="s">
        <v>225</v>
      </c>
      <c r="B374" t="s">
        <v>410</v>
      </c>
      <c r="C374" t="s">
        <v>37</v>
      </c>
      <c r="D374" t="s">
        <v>752</v>
      </c>
      <c r="E374" s="6" t="s">
        <v>22</v>
      </c>
      <c r="F374" s="6">
        <v>0.6</v>
      </c>
      <c r="G374" s="6" t="s">
        <v>28</v>
      </c>
      <c r="H374" s="6">
        <v>0.4</v>
      </c>
      <c r="I374" t="s">
        <v>753</v>
      </c>
      <c r="J374" t="s">
        <v>754</v>
      </c>
      <c r="L374" t="s">
        <v>46</v>
      </c>
      <c r="M374">
        <v>1.5</v>
      </c>
      <c r="N374">
        <v>0.5</v>
      </c>
      <c r="P374" t="s">
        <v>1960</v>
      </c>
      <c r="Q374">
        <v>2</v>
      </c>
      <c r="R374" t="s">
        <v>1961</v>
      </c>
      <c r="S374">
        <v>0</v>
      </c>
      <c r="T374" t="s">
        <v>276</v>
      </c>
      <c r="U374" t="s">
        <v>66</v>
      </c>
      <c r="V374" t="s">
        <v>135</v>
      </c>
      <c r="W374" t="s">
        <v>222</v>
      </c>
      <c r="Y374">
        <f t="shared" si="63"/>
        <v>0</v>
      </c>
      <c r="Z374">
        <f t="shared" si="64"/>
        <v>0</v>
      </c>
      <c r="AA374">
        <f t="shared" si="65"/>
        <v>0</v>
      </c>
      <c r="AB374">
        <f t="shared" si="66"/>
        <v>0</v>
      </c>
      <c r="AC374">
        <f t="shared" si="67"/>
        <v>0</v>
      </c>
      <c r="AD374">
        <f t="shared" si="68"/>
        <v>0</v>
      </c>
      <c r="AE374">
        <f t="shared" si="69"/>
        <v>0</v>
      </c>
      <c r="AF374">
        <f t="shared" si="70"/>
        <v>0</v>
      </c>
      <c r="AG374">
        <f t="shared" si="71"/>
        <v>0</v>
      </c>
      <c r="AH374" t="s">
        <v>550</v>
      </c>
      <c r="AI374" t="s">
        <v>551</v>
      </c>
      <c r="AJ374" t="s">
        <v>552</v>
      </c>
    </row>
    <row r="375" spans="1:36" x14ac:dyDescent="0.2">
      <c r="A375" t="s">
        <v>225</v>
      </c>
      <c r="B375" t="s">
        <v>410</v>
      </c>
      <c r="C375" t="s">
        <v>37</v>
      </c>
      <c r="D375" t="s">
        <v>752</v>
      </c>
      <c r="E375" s="6" t="s">
        <v>22</v>
      </c>
      <c r="F375" s="6">
        <v>0.6</v>
      </c>
      <c r="G375" s="6" t="s">
        <v>28</v>
      </c>
      <c r="H375" s="6">
        <v>0.4</v>
      </c>
      <c r="I375" t="s">
        <v>753</v>
      </c>
      <c r="J375" t="s">
        <v>754</v>
      </c>
      <c r="L375" t="s">
        <v>46</v>
      </c>
      <c r="M375">
        <v>1.5</v>
      </c>
      <c r="N375">
        <v>0.5</v>
      </c>
      <c r="P375" t="s">
        <v>1962</v>
      </c>
      <c r="Q375">
        <v>3</v>
      </c>
      <c r="R375" t="s">
        <v>1963</v>
      </c>
      <c r="S375">
        <v>2</v>
      </c>
      <c r="U375" t="s">
        <v>66</v>
      </c>
      <c r="V375" t="s">
        <v>77</v>
      </c>
      <c r="W375" t="s">
        <v>222</v>
      </c>
      <c r="X375" t="s">
        <v>1964</v>
      </c>
      <c r="Y375">
        <f t="shared" si="63"/>
        <v>0</v>
      </c>
      <c r="Z375">
        <f t="shared" si="64"/>
        <v>0</v>
      </c>
      <c r="AA375">
        <f t="shared" si="65"/>
        <v>0</v>
      </c>
      <c r="AB375">
        <f t="shared" si="66"/>
        <v>0</v>
      </c>
      <c r="AC375">
        <f t="shared" si="67"/>
        <v>0</v>
      </c>
      <c r="AD375">
        <f t="shared" si="68"/>
        <v>0</v>
      </c>
      <c r="AE375">
        <f t="shared" si="69"/>
        <v>0</v>
      </c>
      <c r="AF375">
        <f t="shared" si="70"/>
        <v>0</v>
      </c>
      <c r="AG375">
        <f t="shared" si="71"/>
        <v>0</v>
      </c>
      <c r="AH375" t="s">
        <v>550</v>
      </c>
      <c r="AI375" t="s">
        <v>551</v>
      </c>
      <c r="AJ375" t="s">
        <v>552</v>
      </c>
    </row>
    <row r="376" spans="1:36" x14ac:dyDescent="0.2">
      <c r="A376" t="s">
        <v>225</v>
      </c>
      <c r="B376" t="s">
        <v>410</v>
      </c>
      <c r="C376" t="s">
        <v>37</v>
      </c>
      <c r="D376" t="s">
        <v>752</v>
      </c>
      <c r="E376" s="6" t="s">
        <v>22</v>
      </c>
      <c r="F376" s="6">
        <v>0.6</v>
      </c>
      <c r="G376" s="6" t="s">
        <v>28</v>
      </c>
      <c r="H376" s="6">
        <v>0.4</v>
      </c>
      <c r="I376" t="s">
        <v>753</v>
      </c>
      <c r="J376" t="s">
        <v>754</v>
      </c>
      <c r="L376" t="s">
        <v>46</v>
      </c>
      <c r="M376">
        <v>1.5</v>
      </c>
      <c r="N376">
        <v>0.5</v>
      </c>
      <c r="P376" t="s">
        <v>1965</v>
      </c>
      <c r="Q376">
        <v>4</v>
      </c>
      <c r="R376" t="s">
        <v>1966</v>
      </c>
      <c r="S376">
        <v>3</v>
      </c>
      <c r="U376" t="s">
        <v>66</v>
      </c>
      <c r="V376" t="s">
        <v>146</v>
      </c>
      <c r="W376" t="s">
        <v>218</v>
      </c>
      <c r="X376" t="s">
        <v>1967</v>
      </c>
      <c r="Y376">
        <f t="shared" si="63"/>
        <v>0</v>
      </c>
      <c r="Z376">
        <f t="shared" si="64"/>
        <v>0</v>
      </c>
      <c r="AA376">
        <f t="shared" si="65"/>
        <v>1.2</v>
      </c>
      <c r="AB376">
        <f t="shared" si="66"/>
        <v>0</v>
      </c>
      <c r="AC376">
        <f t="shared" si="67"/>
        <v>0</v>
      </c>
      <c r="AD376">
        <f t="shared" si="68"/>
        <v>0.8</v>
      </c>
      <c r="AE376">
        <f t="shared" si="69"/>
        <v>0</v>
      </c>
      <c r="AF376">
        <f t="shared" si="70"/>
        <v>0</v>
      </c>
      <c r="AG376">
        <f t="shared" si="71"/>
        <v>0</v>
      </c>
      <c r="AH376" t="s">
        <v>550</v>
      </c>
      <c r="AI376" t="s">
        <v>551</v>
      </c>
      <c r="AJ376" t="s">
        <v>552</v>
      </c>
    </row>
    <row r="377" spans="1:36" x14ac:dyDescent="0.2">
      <c r="A377" t="s">
        <v>225</v>
      </c>
      <c r="B377" t="s">
        <v>410</v>
      </c>
      <c r="C377" t="s">
        <v>37</v>
      </c>
      <c r="D377" t="s">
        <v>752</v>
      </c>
      <c r="E377" s="6" t="s">
        <v>22</v>
      </c>
      <c r="F377" s="6">
        <v>0.6</v>
      </c>
      <c r="G377" s="6" t="s">
        <v>28</v>
      </c>
      <c r="H377" s="6">
        <v>0.4</v>
      </c>
      <c r="I377" t="s">
        <v>753</v>
      </c>
      <c r="J377" t="s">
        <v>754</v>
      </c>
      <c r="L377" t="s">
        <v>46</v>
      </c>
      <c r="M377">
        <v>1.5</v>
      </c>
      <c r="N377">
        <v>0.5</v>
      </c>
      <c r="P377" t="s">
        <v>1968</v>
      </c>
      <c r="Q377">
        <v>5</v>
      </c>
      <c r="R377" t="s">
        <v>1969</v>
      </c>
      <c r="S377">
        <v>4</v>
      </c>
      <c r="U377" t="s">
        <v>66</v>
      </c>
      <c r="V377" t="s">
        <v>146</v>
      </c>
      <c r="W377" t="s">
        <v>218</v>
      </c>
      <c r="X377" t="s">
        <v>1970</v>
      </c>
      <c r="Y377">
        <f t="shared" si="63"/>
        <v>0</v>
      </c>
      <c r="Z377">
        <f t="shared" si="64"/>
        <v>0</v>
      </c>
      <c r="AA377">
        <f t="shared" si="65"/>
        <v>1.7999999999999998</v>
      </c>
      <c r="AB377">
        <f t="shared" si="66"/>
        <v>0</v>
      </c>
      <c r="AC377">
        <f t="shared" si="67"/>
        <v>0</v>
      </c>
      <c r="AD377">
        <f t="shared" si="68"/>
        <v>1.2000000000000002</v>
      </c>
      <c r="AE377">
        <f t="shared" si="69"/>
        <v>0</v>
      </c>
      <c r="AF377">
        <f t="shared" si="70"/>
        <v>0</v>
      </c>
      <c r="AG377">
        <f t="shared" si="71"/>
        <v>0</v>
      </c>
      <c r="AH377" t="s">
        <v>550</v>
      </c>
      <c r="AI377" t="s">
        <v>551</v>
      </c>
      <c r="AJ377" t="s">
        <v>552</v>
      </c>
    </row>
    <row r="378" spans="1:36" x14ac:dyDescent="0.2">
      <c r="A378" t="s">
        <v>225</v>
      </c>
      <c r="B378" t="s">
        <v>411</v>
      </c>
      <c r="C378" t="s">
        <v>39</v>
      </c>
      <c r="D378" t="s">
        <v>752</v>
      </c>
      <c r="E378" s="6" t="s">
        <v>28</v>
      </c>
      <c r="F378" s="6">
        <v>1</v>
      </c>
      <c r="I378" t="s">
        <v>755</v>
      </c>
      <c r="J378" t="s">
        <v>756</v>
      </c>
      <c r="L378" t="s">
        <v>46</v>
      </c>
      <c r="M378">
        <v>1</v>
      </c>
      <c r="P378" t="s">
        <v>1971</v>
      </c>
      <c r="Q378">
        <v>1</v>
      </c>
      <c r="R378" t="s">
        <v>1972</v>
      </c>
      <c r="S378">
        <v>0</v>
      </c>
      <c r="T378" t="s">
        <v>276</v>
      </c>
      <c r="U378" t="s">
        <v>66</v>
      </c>
      <c r="V378" t="s">
        <v>135</v>
      </c>
      <c r="W378" t="s">
        <v>222</v>
      </c>
      <c r="Y378">
        <f t="shared" si="63"/>
        <v>0</v>
      </c>
      <c r="Z378">
        <f t="shared" si="64"/>
        <v>0</v>
      </c>
      <c r="AA378">
        <f t="shared" si="65"/>
        <v>2.4</v>
      </c>
      <c r="AB378">
        <f t="shared" si="66"/>
        <v>0</v>
      </c>
      <c r="AC378">
        <f t="shared" si="67"/>
        <v>0</v>
      </c>
      <c r="AD378">
        <f t="shared" si="68"/>
        <v>1.6</v>
      </c>
      <c r="AE378">
        <f t="shared" si="69"/>
        <v>0</v>
      </c>
      <c r="AF378">
        <f t="shared" si="70"/>
        <v>0</v>
      </c>
      <c r="AG378">
        <f t="shared" si="71"/>
        <v>0</v>
      </c>
      <c r="AH378" t="s">
        <v>550</v>
      </c>
      <c r="AI378" t="s">
        <v>551</v>
      </c>
      <c r="AJ378" t="s">
        <v>552</v>
      </c>
    </row>
    <row r="379" spans="1:36" x14ac:dyDescent="0.2">
      <c r="A379" t="s">
        <v>225</v>
      </c>
      <c r="B379" t="s">
        <v>411</v>
      </c>
      <c r="C379" t="s">
        <v>39</v>
      </c>
      <c r="D379" t="s">
        <v>752</v>
      </c>
      <c r="E379" s="6" t="s">
        <v>28</v>
      </c>
      <c r="F379" s="6">
        <v>1</v>
      </c>
      <c r="I379" t="s">
        <v>755</v>
      </c>
      <c r="J379" t="s">
        <v>756</v>
      </c>
      <c r="L379" t="s">
        <v>46</v>
      </c>
      <c r="M379">
        <v>1</v>
      </c>
      <c r="P379" t="s">
        <v>1973</v>
      </c>
      <c r="Q379">
        <v>2</v>
      </c>
      <c r="R379" t="s">
        <v>1974</v>
      </c>
      <c r="S379">
        <v>2</v>
      </c>
      <c r="T379" t="s">
        <v>174</v>
      </c>
      <c r="U379" t="s">
        <v>66</v>
      </c>
      <c r="V379" t="s">
        <v>71</v>
      </c>
      <c r="W379" t="s">
        <v>222</v>
      </c>
      <c r="X379" t="s">
        <v>1975</v>
      </c>
      <c r="Y379">
        <f t="shared" si="63"/>
        <v>0</v>
      </c>
      <c r="Z379">
        <f t="shared" si="64"/>
        <v>0</v>
      </c>
      <c r="AA379">
        <f t="shared" si="65"/>
        <v>0</v>
      </c>
      <c r="AB379">
        <f t="shared" si="66"/>
        <v>0</v>
      </c>
      <c r="AC379">
        <f t="shared" si="67"/>
        <v>0</v>
      </c>
      <c r="AD379">
        <f t="shared" si="68"/>
        <v>0</v>
      </c>
      <c r="AE379">
        <f t="shared" si="69"/>
        <v>0</v>
      </c>
      <c r="AF379">
        <f t="shared" si="70"/>
        <v>0</v>
      </c>
      <c r="AG379">
        <f t="shared" si="71"/>
        <v>0</v>
      </c>
      <c r="AH379" t="s">
        <v>550</v>
      </c>
      <c r="AI379" t="s">
        <v>551</v>
      </c>
      <c r="AJ379" t="s">
        <v>552</v>
      </c>
    </row>
    <row r="380" spans="1:36" x14ac:dyDescent="0.2">
      <c r="A380" t="s">
        <v>225</v>
      </c>
      <c r="B380" t="s">
        <v>411</v>
      </c>
      <c r="C380" t="s">
        <v>39</v>
      </c>
      <c r="D380" t="s">
        <v>752</v>
      </c>
      <c r="E380" s="6" t="s">
        <v>28</v>
      </c>
      <c r="F380" s="6">
        <v>1</v>
      </c>
      <c r="I380" t="s">
        <v>755</v>
      </c>
      <c r="J380" t="s">
        <v>756</v>
      </c>
      <c r="L380" t="s">
        <v>46</v>
      </c>
      <c r="M380">
        <v>1</v>
      </c>
      <c r="P380" t="s">
        <v>1976</v>
      </c>
      <c r="Q380">
        <v>3</v>
      </c>
      <c r="R380" t="s">
        <v>1977</v>
      </c>
      <c r="S380">
        <v>3</v>
      </c>
      <c r="U380" t="s">
        <v>66</v>
      </c>
      <c r="V380" t="s">
        <v>71</v>
      </c>
      <c r="W380" t="s">
        <v>218</v>
      </c>
      <c r="X380" t="s">
        <v>1978</v>
      </c>
      <c r="Y380">
        <f t="shared" si="63"/>
        <v>0</v>
      </c>
      <c r="Z380">
        <f t="shared" si="64"/>
        <v>0</v>
      </c>
      <c r="AA380">
        <f t="shared" si="65"/>
        <v>0</v>
      </c>
      <c r="AB380">
        <f t="shared" si="66"/>
        <v>0</v>
      </c>
      <c r="AC380">
        <f t="shared" si="67"/>
        <v>0</v>
      </c>
      <c r="AD380">
        <f t="shared" si="68"/>
        <v>2</v>
      </c>
      <c r="AE380">
        <f t="shared" si="69"/>
        <v>0</v>
      </c>
      <c r="AF380">
        <f t="shared" si="70"/>
        <v>0</v>
      </c>
      <c r="AG380">
        <f t="shared" si="71"/>
        <v>0</v>
      </c>
      <c r="AH380" t="s">
        <v>550</v>
      </c>
      <c r="AI380" t="s">
        <v>551</v>
      </c>
      <c r="AJ380" t="s">
        <v>552</v>
      </c>
    </row>
    <row r="381" spans="1:36" x14ac:dyDescent="0.2">
      <c r="A381" t="s">
        <v>225</v>
      </c>
      <c r="B381" t="s">
        <v>412</v>
      </c>
      <c r="C381" t="s">
        <v>39</v>
      </c>
      <c r="D381" t="s">
        <v>752</v>
      </c>
      <c r="E381" s="6" t="s">
        <v>22</v>
      </c>
      <c r="F381" s="6">
        <v>1</v>
      </c>
      <c r="I381" t="s">
        <v>757</v>
      </c>
      <c r="J381" t="s">
        <v>758</v>
      </c>
      <c r="L381" t="s">
        <v>48</v>
      </c>
      <c r="M381">
        <v>1.3</v>
      </c>
      <c r="N381">
        <v>0.5</v>
      </c>
      <c r="P381" t="s">
        <v>1979</v>
      </c>
      <c r="Q381">
        <v>1</v>
      </c>
      <c r="R381" t="s">
        <v>1980</v>
      </c>
      <c r="S381">
        <v>0</v>
      </c>
      <c r="T381" t="s">
        <v>178</v>
      </c>
      <c r="U381" t="s">
        <v>60</v>
      </c>
      <c r="V381" t="s">
        <v>74</v>
      </c>
      <c r="W381" t="s">
        <v>222</v>
      </c>
      <c r="Y381">
        <f t="shared" si="63"/>
        <v>0</v>
      </c>
      <c r="Z381">
        <f t="shared" si="64"/>
        <v>0</v>
      </c>
      <c r="AA381">
        <f t="shared" si="65"/>
        <v>0</v>
      </c>
      <c r="AB381">
        <f t="shared" si="66"/>
        <v>0</v>
      </c>
      <c r="AC381">
        <f t="shared" si="67"/>
        <v>0</v>
      </c>
      <c r="AD381">
        <f t="shared" si="68"/>
        <v>3</v>
      </c>
      <c r="AE381">
        <f t="shared" si="69"/>
        <v>0</v>
      </c>
      <c r="AF381">
        <f t="shared" si="70"/>
        <v>0</v>
      </c>
      <c r="AG381">
        <f t="shared" si="71"/>
        <v>0</v>
      </c>
      <c r="AH381" t="s">
        <v>570</v>
      </c>
      <c r="AI381" t="s">
        <v>594</v>
      </c>
      <c r="AJ381" t="s">
        <v>704</v>
      </c>
    </row>
    <row r="382" spans="1:36" x14ac:dyDescent="0.2">
      <c r="A382" t="s">
        <v>225</v>
      </c>
      <c r="B382" t="s">
        <v>412</v>
      </c>
      <c r="C382" t="s">
        <v>39</v>
      </c>
      <c r="D382" t="s">
        <v>752</v>
      </c>
      <c r="E382" s="6" t="s">
        <v>22</v>
      </c>
      <c r="F382" s="6">
        <v>1</v>
      </c>
      <c r="I382" t="s">
        <v>757</v>
      </c>
      <c r="J382" t="s">
        <v>758</v>
      </c>
      <c r="L382" t="s">
        <v>48</v>
      </c>
      <c r="M382">
        <v>1.3</v>
      </c>
      <c r="N382">
        <v>0.5</v>
      </c>
      <c r="P382" t="s">
        <v>1981</v>
      </c>
      <c r="Q382">
        <v>2</v>
      </c>
      <c r="R382" t="s">
        <v>1982</v>
      </c>
      <c r="S382">
        <v>2</v>
      </c>
      <c r="U382" t="s">
        <v>60</v>
      </c>
      <c r="V382" t="s">
        <v>77</v>
      </c>
      <c r="W382" t="s">
        <v>222</v>
      </c>
      <c r="X382" t="s">
        <v>1983</v>
      </c>
      <c r="Y382">
        <f t="shared" si="63"/>
        <v>0</v>
      </c>
      <c r="Z382">
        <f t="shared" si="64"/>
        <v>0</v>
      </c>
      <c r="AA382">
        <f t="shared" si="65"/>
        <v>0</v>
      </c>
      <c r="AB382">
        <f t="shared" si="66"/>
        <v>0</v>
      </c>
      <c r="AC382">
        <f t="shared" si="67"/>
        <v>0</v>
      </c>
      <c r="AD382">
        <f t="shared" si="68"/>
        <v>0</v>
      </c>
      <c r="AE382">
        <f t="shared" si="69"/>
        <v>0</v>
      </c>
      <c r="AF382">
        <f t="shared" si="70"/>
        <v>0</v>
      </c>
      <c r="AG382">
        <f t="shared" si="71"/>
        <v>0</v>
      </c>
      <c r="AH382" t="s">
        <v>570</v>
      </c>
      <c r="AI382" t="s">
        <v>594</v>
      </c>
      <c r="AJ382" t="s">
        <v>704</v>
      </c>
    </row>
    <row r="383" spans="1:36" x14ac:dyDescent="0.2">
      <c r="A383" t="s">
        <v>225</v>
      </c>
      <c r="B383" t="s">
        <v>412</v>
      </c>
      <c r="C383" t="s">
        <v>39</v>
      </c>
      <c r="D383" t="s">
        <v>752</v>
      </c>
      <c r="E383" s="6" t="s">
        <v>22</v>
      </c>
      <c r="F383" s="6">
        <v>1</v>
      </c>
      <c r="I383" t="s">
        <v>757</v>
      </c>
      <c r="J383" t="s">
        <v>758</v>
      </c>
      <c r="L383" t="s">
        <v>48</v>
      </c>
      <c r="M383">
        <v>1.3</v>
      </c>
      <c r="N383">
        <v>0.5</v>
      </c>
      <c r="P383" t="s">
        <v>1984</v>
      </c>
      <c r="Q383">
        <v>3</v>
      </c>
      <c r="R383" t="s">
        <v>1985</v>
      </c>
      <c r="S383">
        <v>3</v>
      </c>
      <c r="U383" t="s">
        <v>60</v>
      </c>
      <c r="V383" t="s">
        <v>77</v>
      </c>
      <c r="W383" t="s">
        <v>218</v>
      </c>
      <c r="X383" t="s">
        <v>1986</v>
      </c>
      <c r="Y383">
        <f t="shared" si="63"/>
        <v>0</v>
      </c>
      <c r="Z383">
        <f t="shared" si="64"/>
        <v>0</v>
      </c>
      <c r="AA383">
        <f t="shared" si="65"/>
        <v>2</v>
      </c>
      <c r="AB383">
        <f t="shared" si="66"/>
        <v>0</v>
      </c>
      <c r="AC383">
        <f t="shared" si="67"/>
        <v>0</v>
      </c>
      <c r="AD383">
        <f t="shared" si="68"/>
        <v>0</v>
      </c>
      <c r="AE383">
        <f t="shared" si="69"/>
        <v>0</v>
      </c>
      <c r="AF383">
        <f t="shared" si="70"/>
        <v>0</v>
      </c>
      <c r="AG383">
        <f t="shared" si="71"/>
        <v>0</v>
      </c>
      <c r="AH383" t="s">
        <v>570</v>
      </c>
      <c r="AI383" t="s">
        <v>594</v>
      </c>
      <c r="AJ383" t="s">
        <v>704</v>
      </c>
    </row>
    <row r="384" spans="1:36" x14ac:dyDescent="0.2">
      <c r="A384" t="s">
        <v>225</v>
      </c>
      <c r="B384" t="s">
        <v>412</v>
      </c>
      <c r="C384" t="s">
        <v>39</v>
      </c>
      <c r="D384" t="s">
        <v>752</v>
      </c>
      <c r="E384" s="6" t="s">
        <v>22</v>
      </c>
      <c r="F384" s="6">
        <v>1</v>
      </c>
      <c r="I384" t="s">
        <v>757</v>
      </c>
      <c r="J384" t="s">
        <v>758</v>
      </c>
      <c r="L384" t="s">
        <v>48</v>
      </c>
      <c r="M384">
        <v>1.3</v>
      </c>
      <c r="N384">
        <v>0.5</v>
      </c>
      <c r="P384" t="s">
        <v>1987</v>
      </c>
      <c r="Q384">
        <v>4</v>
      </c>
      <c r="R384" t="s">
        <v>1988</v>
      </c>
      <c r="S384">
        <v>4</v>
      </c>
      <c r="U384" t="s">
        <v>62</v>
      </c>
      <c r="V384" t="s">
        <v>83</v>
      </c>
      <c r="W384" t="s">
        <v>218</v>
      </c>
      <c r="X384" t="s">
        <v>1989</v>
      </c>
      <c r="Y384">
        <f t="shared" si="63"/>
        <v>0</v>
      </c>
      <c r="Z384">
        <f t="shared" si="64"/>
        <v>0</v>
      </c>
      <c r="AA384">
        <f t="shared" si="65"/>
        <v>3</v>
      </c>
      <c r="AB384">
        <f t="shared" si="66"/>
        <v>0</v>
      </c>
      <c r="AC384">
        <f t="shared" si="67"/>
        <v>0</v>
      </c>
      <c r="AD384">
        <f t="shared" si="68"/>
        <v>0</v>
      </c>
      <c r="AE384">
        <f t="shared" si="69"/>
        <v>0</v>
      </c>
      <c r="AF384">
        <f t="shared" si="70"/>
        <v>0</v>
      </c>
      <c r="AG384">
        <f t="shared" si="71"/>
        <v>0</v>
      </c>
      <c r="AH384" t="s">
        <v>570</v>
      </c>
      <c r="AI384" t="s">
        <v>594</v>
      </c>
      <c r="AJ384" t="s">
        <v>704</v>
      </c>
    </row>
    <row r="385" spans="1:36" x14ac:dyDescent="0.2">
      <c r="A385" t="s">
        <v>225</v>
      </c>
      <c r="B385" t="s">
        <v>413</v>
      </c>
      <c r="C385" t="s">
        <v>37</v>
      </c>
      <c r="D385" t="s">
        <v>759</v>
      </c>
      <c r="E385" s="6" t="s">
        <v>22</v>
      </c>
      <c r="F385" s="6">
        <v>0.6</v>
      </c>
      <c r="G385" s="6" t="s">
        <v>20</v>
      </c>
      <c r="H385" s="6">
        <v>0.4</v>
      </c>
      <c r="I385" t="s">
        <v>760</v>
      </c>
      <c r="J385" t="s">
        <v>761</v>
      </c>
      <c r="L385" t="s">
        <v>48</v>
      </c>
      <c r="M385">
        <v>1.4</v>
      </c>
      <c r="N385">
        <v>0.5</v>
      </c>
      <c r="P385" t="s">
        <v>1990</v>
      </c>
      <c r="Q385">
        <v>1</v>
      </c>
      <c r="R385" t="s">
        <v>1991</v>
      </c>
      <c r="S385">
        <v>0</v>
      </c>
      <c r="T385" t="s">
        <v>172</v>
      </c>
      <c r="U385" t="s">
        <v>61</v>
      </c>
      <c r="V385" t="s">
        <v>83</v>
      </c>
      <c r="W385" t="s">
        <v>222</v>
      </c>
      <c r="Y385">
        <f t="shared" si="63"/>
        <v>0</v>
      </c>
      <c r="Z385">
        <f t="shared" si="64"/>
        <v>0</v>
      </c>
      <c r="AA385">
        <f t="shared" si="65"/>
        <v>4</v>
      </c>
      <c r="AB385">
        <f t="shared" si="66"/>
        <v>0</v>
      </c>
      <c r="AC385">
        <f t="shared" si="67"/>
        <v>0</v>
      </c>
      <c r="AD385">
        <f t="shared" si="68"/>
        <v>0</v>
      </c>
      <c r="AE385">
        <f t="shared" si="69"/>
        <v>0</v>
      </c>
      <c r="AF385">
        <f t="shared" si="70"/>
        <v>0</v>
      </c>
      <c r="AG385">
        <f t="shared" si="71"/>
        <v>0</v>
      </c>
      <c r="AH385" t="s">
        <v>561</v>
      </c>
      <c r="AI385" t="s">
        <v>562</v>
      </c>
      <c r="AJ385" t="s">
        <v>762</v>
      </c>
    </row>
    <row r="386" spans="1:36" x14ac:dyDescent="0.2">
      <c r="A386" t="s">
        <v>225</v>
      </c>
      <c r="B386" t="s">
        <v>413</v>
      </c>
      <c r="C386" t="s">
        <v>37</v>
      </c>
      <c r="D386" t="s">
        <v>759</v>
      </c>
      <c r="E386" s="6" t="s">
        <v>22</v>
      </c>
      <c r="F386" s="6">
        <v>0.6</v>
      </c>
      <c r="G386" s="6" t="s">
        <v>20</v>
      </c>
      <c r="H386" s="6">
        <v>0.4</v>
      </c>
      <c r="I386" t="s">
        <v>760</v>
      </c>
      <c r="J386" t="s">
        <v>761</v>
      </c>
      <c r="L386" t="s">
        <v>48</v>
      </c>
      <c r="M386">
        <v>1.4</v>
      </c>
      <c r="N386">
        <v>0.5</v>
      </c>
      <c r="P386" t="s">
        <v>1992</v>
      </c>
      <c r="Q386">
        <v>2</v>
      </c>
      <c r="R386" t="s">
        <v>1993</v>
      </c>
      <c r="S386">
        <v>1</v>
      </c>
      <c r="T386" t="s">
        <v>172</v>
      </c>
      <c r="U386" t="s">
        <v>61</v>
      </c>
      <c r="V386" t="s">
        <v>77</v>
      </c>
      <c r="W386" t="s">
        <v>222</v>
      </c>
      <c r="Y386">
        <f t="shared" si="63"/>
        <v>0</v>
      </c>
      <c r="Z386">
        <f t="shared" si="64"/>
        <v>0</v>
      </c>
      <c r="AA386">
        <f t="shared" si="65"/>
        <v>0</v>
      </c>
      <c r="AB386">
        <f t="shared" si="66"/>
        <v>0</v>
      </c>
      <c r="AC386">
        <f t="shared" si="67"/>
        <v>0</v>
      </c>
      <c r="AD386">
        <f t="shared" si="68"/>
        <v>0</v>
      </c>
      <c r="AE386">
        <f t="shared" si="69"/>
        <v>0</v>
      </c>
      <c r="AF386">
        <f t="shared" si="70"/>
        <v>0</v>
      </c>
      <c r="AG386">
        <f t="shared" si="71"/>
        <v>0</v>
      </c>
      <c r="AH386" t="s">
        <v>561</v>
      </c>
      <c r="AI386" t="s">
        <v>562</v>
      </c>
      <c r="AJ386" t="s">
        <v>762</v>
      </c>
    </row>
    <row r="387" spans="1:36" x14ac:dyDescent="0.2">
      <c r="A387" t="s">
        <v>225</v>
      </c>
      <c r="B387" t="s">
        <v>413</v>
      </c>
      <c r="C387" t="s">
        <v>37</v>
      </c>
      <c r="D387" t="s">
        <v>759</v>
      </c>
      <c r="E387" s="6" t="s">
        <v>22</v>
      </c>
      <c r="F387" s="6">
        <v>0.6</v>
      </c>
      <c r="G387" s="6" t="s">
        <v>20</v>
      </c>
      <c r="H387" s="6">
        <v>0.4</v>
      </c>
      <c r="I387" t="s">
        <v>760</v>
      </c>
      <c r="J387" t="s">
        <v>761</v>
      </c>
      <c r="L387" t="s">
        <v>48</v>
      </c>
      <c r="M387">
        <v>1.4</v>
      </c>
      <c r="N387">
        <v>0.5</v>
      </c>
      <c r="P387" t="s">
        <v>1994</v>
      </c>
      <c r="Q387">
        <v>3</v>
      </c>
      <c r="R387" t="s">
        <v>1995</v>
      </c>
      <c r="S387">
        <v>2</v>
      </c>
      <c r="U387" t="s">
        <v>66</v>
      </c>
      <c r="V387" t="s">
        <v>72</v>
      </c>
      <c r="W387" t="s">
        <v>222</v>
      </c>
      <c r="X387" t="s">
        <v>1996</v>
      </c>
      <c r="Y387">
        <f t="shared" si="63"/>
        <v>0</v>
      </c>
      <c r="Z387">
        <f t="shared" si="64"/>
        <v>0.4</v>
      </c>
      <c r="AA387">
        <f t="shared" si="65"/>
        <v>0.6</v>
      </c>
      <c r="AB387">
        <f t="shared" si="66"/>
        <v>0</v>
      </c>
      <c r="AC387">
        <f t="shared" si="67"/>
        <v>0</v>
      </c>
      <c r="AD387">
        <f t="shared" si="68"/>
        <v>0</v>
      </c>
      <c r="AE387">
        <f t="shared" si="69"/>
        <v>0</v>
      </c>
      <c r="AF387">
        <f t="shared" si="70"/>
        <v>0</v>
      </c>
      <c r="AG387">
        <f t="shared" si="71"/>
        <v>0</v>
      </c>
      <c r="AH387" t="s">
        <v>561</v>
      </c>
      <c r="AI387" t="s">
        <v>562</v>
      </c>
      <c r="AJ387" t="s">
        <v>762</v>
      </c>
    </row>
    <row r="388" spans="1:36" x14ac:dyDescent="0.2">
      <c r="A388" t="s">
        <v>225</v>
      </c>
      <c r="B388" t="s">
        <v>413</v>
      </c>
      <c r="C388" t="s">
        <v>37</v>
      </c>
      <c r="D388" t="s">
        <v>759</v>
      </c>
      <c r="E388" s="6" t="s">
        <v>22</v>
      </c>
      <c r="F388" s="6">
        <v>0.6</v>
      </c>
      <c r="G388" s="6" t="s">
        <v>20</v>
      </c>
      <c r="H388" s="6">
        <v>0.4</v>
      </c>
      <c r="I388" t="s">
        <v>760</v>
      </c>
      <c r="J388" t="s">
        <v>761</v>
      </c>
      <c r="L388" t="s">
        <v>48</v>
      </c>
      <c r="M388">
        <v>1.4</v>
      </c>
      <c r="N388">
        <v>0.5</v>
      </c>
      <c r="P388" t="s">
        <v>1997</v>
      </c>
      <c r="Q388">
        <v>4</v>
      </c>
      <c r="R388" t="s">
        <v>1998</v>
      </c>
      <c r="S388">
        <v>3</v>
      </c>
      <c r="U388" t="s">
        <v>62</v>
      </c>
      <c r="V388" t="s">
        <v>77</v>
      </c>
      <c r="W388" t="s">
        <v>218</v>
      </c>
      <c r="X388" t="s">
        <v>1999</v>
      </c>
      <c r="Y388">
        <f t="shared" si="63"/>
        <v>0</v>
      </c>
      <c r="Z388">
        <f t="shared" si="64"/>
        <v>0.8</v>
      </c>
      <c r="AA388">
        <f t="shared" si="65"/>
        <v>1.2</v>
      </c>
      <c r="AB388">
        <f t="shared" si="66"/>
        <v>0</v>
      </c>
      <c r="AC388">
        <f t="shared" si="67"/>
        <v>0</v>
      </c>
      <c r="AD388">
        <f t="shared" si="68"/>
        <v>0</v>
      </c>
      <c r="AE388">
        <f t="shared" si="69"/>
        <v>0</v>
      </c>
      <c r="AF388">
        <f t="shared" si="70"/>
        <v>0</v>
      </c>
      <c r="AG388">
        <f t="shared" si="71"/>
        <v>0</v>
      </c>
      <c r="AH388" t="s">
        <v>561</v>
      </c>
      <c r="AI388" t="s">
        <v>562</v>
      </c>
      <c r="AJ388" t="s">
        <v>762</v>
      </c>
    </row>
    <row r="389" spans="1:36" x14ac:dyDescent="0.2">
      <c r="A389" t="s">
        <v>225</v>
      </c>
      <c r="B389" t="s">
        <v>413</v>
      </c>
      <c r="C389" t="s">
        <v>37</v>
      </c>
      <c r="D389" t="s">
        <v>759</v>
      </c>
      <c r="E389" s="6" t="s">
        <v>22</v>
      </c>
      <c r="F389" s="6">
        <v>0.6</v>
      </c>
      <c r="G389" s="6" t="s">
        <v>20</v>
      </c>
      <c r="H389" s="6">
        <v>0.4</v>
      </c>
      <c r="I389" t="s">
        <v>760</v>
      </c>
      <c r="J389" t="s">
        <v>761</v>
      </c>
      <c r="L389" t="s">
        <v>48</v>
      </c>
      <c r="M389">
        <v>1.4</v>
      </c>
      <c r="N389">
        <v>0.5</v>
      </c>
      <c r="P389" t="s">
        <v>2000</v>
      </c>
      <c r="Q389">
        <v>5</v>
      </c>
      <c r="R389" t="s">
        <v>2001</v>
      </c>
      <c r="S389">
        <v>4</v>
      </c>
      <c r="U389" t="s">
        <v>62</v>
      </c>
      <c r="V389" t="s">
        <v>132</v>
      </c>
      <c r="W389" t="s">
        <v>218</v>
      </c>
      <c r="X389" t="s">
        <v>2002</v>
      </c>
      <c r="Y389">
        <f t="shared" si="63"/>
        <v>0</v>
      </c>
      <c r="Z389">
        <f t="shared" si="64"/>
        <v>1.2000000000000002</v>
      </c>
      <c r="AA389">
        <f t="shared" si="65"/>
        <v>1.7999999999999998</v>
      </c>
      <c r="AB389">
        <f t="shared" si="66"/>
        <v>0</v>
      </c>
      <c r="AC389">
        <f t="shared" si="67"/>
        <v>0</v>
      </c>
      <c r="AD389">
        <f t="shared" si="68"/>
        <v>0</v>
      </c>
      <c r="AE389">
        <f t="shared" si="69"/>
        <v>0</v>
      </c>
      <c r="AF389">
        <f t="shared" si="70"/>
        <v>0</v>
      </c>
      <c r="AG389">
        <f t="shared" si="71"/>
        <v>0</v>
      </c>
      <c r="AH389" t="s">
        <v>561</v>
      </c>
      <c r="AI389" t="s">
        <v>562</v>
      </c>
      <c r="AJ389" t="s">
        <v>762</v>
      </c>
    </row>
    <row r="390" spans="1:36" x14ac:dyDescent="0.2">
      <c r="A390" t="s">
        <v>225</v>
      </c>
      <c r="B390" t="s">
        <v>414</v>
      </c>
      <c r="C390" t="s">
        <v>39</v>
      </c>
      <c r="D390" t="s">
        <v>759</v>
      </c>
      <c r="E390" s="6" t="s">
        <v>20</v>
      </c>
      <c r="F390" s="6">
        <v>1</v>
      </c>
      <c r="I390" t="s">
        <v>763</v>
      </c>
      <c r="J390" t="s">
        <v>764</v>
      </c>
      <c r="L390" t="s">
        <v>48</v>
      </c>
      <c r="M390">
        <v>1</v>
      </c>
      <c r="P390" t="s">
        <v>2003</v>
      </c>
      <c r="Q390">
        <v>1</v>
      </c>
      <c r="R390" t="s">
        <v>2004</v>
      </c>
      <c r="S390">
        <v>0</v>
      </c>
      <c r="T390" t="s">
        <v>172</v>
      </c>
      <c r="U390" t="s">
        <v>61</v>
      </c>
      <c r="V390" t="s">
        <v>77</v>
      </c>
      <c r="W390" t="s">
        <v>222</v>
      </c>
      <c r="Y390">
        <f t="shared" si="63"/>
        <v>0</v>
      </c>
      <c r="Z390">
        <f t="shared" si="64"/>
        <v>1.6</v>
      </c>
      <c r="AA390">
        <f t="shared" si="65"/>
        <v>2.4</v>
      </c>
      <c r="AB390">
        <f t="shared" si="66"/>
        <v>0</v>
      </c>
      <c r="AC390">
        <f t="shared" si="67"/>
        <v>0</v>
      </c>
      <c r="AD390">
        <f t="shared" si="68"/>
        <v>0</v>
      </c>
      <c r="AE390">
        <f t="shared" si="69"/>
        <v>0</v>
      </c>
      <c r="AF390">
        <f t="shared" si="70"/>
        <v>0</v>
      </c>
      <c r="AG390">
        <f t="shared" si="71"/>
        <v>0</v>
      </c>
      <c r="AH390" t="s">
        <v>521</v>
      </c>
      <c r="AI390" t="s">
        <v>535</v>
      </c>
      <c r="AJ390" t="s">
        <v>540</v>
      </c>
    </row>
    <row r="391" spans="1:36" x14ac:dyDescent="0.2">
      <c r="A391" t="s">
        <v>225</v>
      </c>
      <c r="B391" t="s">
        <v>414</v>
      </c>
      <c r="C391" t="s">
        <v>39</v>
      </c>
      <c r="D391" t="s">
        <v>759</v>
      </c>
      <c r="E391" s="6" t="s">
        <v>20</v>
      </c>
      <c r="F391" s="6">
        <v>1</v>
      </c>
      <c r="I391" t="s">
        <v>763</v>
      </c>
      <c r="J391" t="s">
        <v>764</v>
      </c>
      <c r="L391" t="s">
        <v>48</v>
      </c>
      <c r="M391">
        <v>1</v>
      </c>
      <c r="P391" t="s">
        <v>2005</v>
      </c>
      <c r="Q391">
        <v>2</v>
      </c>
      <c r="R391" t="s">
        <v>2006</v>
      </c>
      <c r="S391">
        <v>2</v>
      </c>
      <c r="U391" t="s">
        <v>60</v>
      </c>
      <c r="V391" t="s">
        <v>74</v>
      </c>
      <c r="W391" t="s">
        <v>222</v>
      </c>
      <c r="Y391">
        <f t="shared" si="63"/>
        <v>0</v>
      </c>
      <c r="Z391">
        <f t="shared" si="64"/>
        <v>0</v>
      </c>
      <c r="AA391">
        <f t="shared" si="65"/>
        <v>0</v>
      </c>
      <c r="AB391">
        <f t="shared" si="66"/>
        <v>0</v>
      </c>
      <c r="AC391">
        <f t="shared" si="67"/>
        <v>0</v>
      </c>
      <c r="AD391">
        <f t="shared" si="68"/>
        <v>0</v>
      </c>
      <c r="AE391">
        <f t="shared" si="69"/>
        <v>0</v>
      </c>
      <c r="AF391">
        <f t="shared" si="70"/>
        <v>0</v>
      </c>
      <c r="AG391">
        <f t="shared" si="71"/>
        <v>0</v>
      </c>
      <c r="AH391" t="s">
        <v>521</v>
      </c>
      <c r="AI391" t="s">
        <v>535</v>
      </c>
      <c r="AJ391" t="s">
        <v>540</v>
      </c>
    </row>
    <row r="392" spans="1:36" x14ac:dyDescent="0.2">
      <c r="A392" t="s">
        <v>225</v>
      </c>
      <c r="B392" t="s">
        <v>414</v>
      </c>
      <c r="C392" t="s">
        <v>39</v>
      </c>
      <c r="D392" t="s">
        <v>759</v>
      </c>
      <c r="E392" s="6" t="s">
        <v>20</v>
      </c>
      <c r="F392" s="6">
        <v>1</v>
      </c>
      <c r="I392" t="s">
        <v>763</v>
      </c>
      <c r="J392" t="s">
        <v>764</v>
      </c>
      <c r="L392" t="s">
        <v>48</v>
      </c>
      <c r="M392">
        <v>1</v>
      </c>
      <c r="P392" t="s">
        <v>2007</v>
      </c>
      <c r="Q392">
        <v>3</v>
      </c>
      <c r="R392" t="s">
        <v>2008</v>
      </c>
      <c r="S392">
        <v>3</v>
      </c>
      <c r="U392" t="s">
        <v>62</v>
      </c>
      <c r="V392" t="s">
        <v>74</v>
      </c>
      <c r="W392" t="s">
        <v>218</v>
      </c>
      <c r="X392" t="s">
        <v>2009</v>
      </c>
      <c r="Y392">
        <f t="shared" si="63"/>
        <v>0</v>
      </c>
      <c r="Z392">
        <f t="shared" si="64"/>
        <v>2</v>
      </c>
      <c r="AA392">
        <f t="shared" si="65"/>
        <v>0</v>
      </c>
      <c r="AB392">
        <f t="shared" si="66"/>
        <v>0</v>
      </c>
      <c r="AC392">
        <f t="shared" si="67"/>
        <v>0</v>
      </c>
      <c r="AD392">
        <f t="shared" si="68"/>
        <v>0</v>
      </c>
      <c r="AE392">
        <f t="shared" si="69"/>
        <v>0</v>
      </c>
      <c r="AF392">
        <f t="shared" si="70"/>
        <v>0</v>
      </c>
      <c r="AG392">
        <f t="shared" si="71"/>
        <v>0</v>
      </c>
      <c r="AH392" t="s">
        <v>521</v>
      </c>
      <c r="AI392" t="s">
        <v>535</v>
      </c>
      <c r="AJ392" t="s">
        <v>540</v>
      </c>
    </row>
    <row r="393" spans="1:36" x14ac:dyDescent="0.2">
      <c r="A393" t="s">
        <v>225</v>
      </c>
      <c r="B393" t="s">
        <v>415</v>
      </c>
      <c r="C393" t="s">
        <v>39</v>
      </c>
      <c r="D393" t="s">
        <v>759</v>
      </c>
      <c r="E393" s="6" t="s">
        <v>22</v>
      </c>
      <c r="F393" s="6">
        <v>0.7</v>
      </c>
      <c r="G393" s="6" t="s">
        <v>32</v>
      </c>
      <c r="H393" s="6">
        <v>0.3</v>
      </c>
      <c r="I393" t="s">
        <v>765</v>
      </c>
      <c r="J393" t="s">
        <v>766</v>
      </c>
      <c r="L393" t="s">
        <v>48</v>
      </c>
      <c r="M393">
        <v>1</v>
      </c>
      <c r="P393" t="s">
        <v>2010</v>
      </c>
      <c r="Q393">
        <v>1</v>
      </c>
      <c r="R393" t="s">
        <v>2011</v>
      </c>
      <c r="S393">
        <v>0</v>
      </c>
      <c r="T393" t="s">
        <v>178</v>
      </c>
      <c r="U393" t="s">
        <v>55</v>
      </c>
      <c r="V393" t="s">
        <v>79</v>
      </c>
      <c r="W393" t="s">
        <v>222</v>
      </c>
      <c r="Y393">
        <f t="shared" si="63"/>
        <v>0</v>
      </c>
      <c r="Z393">
        <f t="shared" si="64"/>
        <v>3</v>
      </c>
      <c r="AA393">
        <f t="shared" si="65"/>
        <v>0</v>
      </c>
      <c r="AB393">
        <f t="shared" si="66"/>
        <v>0</v>
      </c>
      <c r="AC393">
        <f t="shared" si="67"/>
        <v>0</v>
      </c>
      <c r="AD393">
        <f t="shared" si="68"/>
        <v>0</v>
      </c>
      <c r="AE393">
        <f t="shared" si="69"/>
        <v>0</v>
      </c>
      <c r="AF393">
        <f t="shared" si="70"/>
        <v>0</v>
      </c>
      <c r="AG393">
        <f t="shared" si="71"/>
        <v>0</v>
      </c>
      <c r="AH393" t="s">
        <v>521</v>
      </c>
      <c r="AI393" t="s">
        <v>566</v>
      </c>
      <c r="AJ393" t="s">
        <v>567</v>
      </c>
    </row>
    <row r="394" spans="1:36" x14ac:dyDescent="0.2">
      <c r="A394" t="s">
        <v>225</v>
      </c>
      <c r="B394" t="s">
        <v>415</v>
      </c>
      <c r="C394" t="s">
        <v>39</v>
      </c>
      <c r="D394" t="s">
        <v>759</v>
      </c>
      <c r="E394" s="6" t="s">
        <v>22</v>
      </c>
      <c r="F394" s="6">
        <v>0.7</v>
      </c>
      <c r="G394" s="6" t="s">
        <v>32</v>
      </c>
      <c r="H394" s="6">
        <v>0.3</v>
      </c>
      <c r="I394" t="s">
        <v>765</v>
      </c>
      <c r="J394" t="s">
        <v>766</v>
      </c>
      <c r="L394" t="s">
        <v>48</v>
      </c>
      <c r="M394">
        <v>1</v>
      </c>
      <c r="P394" t="s">
        <v>2012</v>
      </c>
      <c r="Q394">
        <v>2</v>
      </c>
      <c r="R394" t="s">
        <v>2013</v>
      </c>
      <c r="S394">
        <v>1</v>
      </c>
      <c r="T394" t="s">
        <v>178</v>
      </c>
      <c r="U394" t="s">
        <v>55</v>
      </c>
      <c r="V394" t="s">
        <v>145</v>
      </c>
      <c r="W394" t="s">
        <v>222</v>
      </c>
      <c r="Y394">
        <f t="shared" si="63"/>
        <v>0</v>
      </c>
      <c r="Z394">
        <f t="shared" si="64"/>
        <v>0</v>
      </c>
      <c r="AA394">
        <f t="shared" si="65"/>
        <v>0</v>
      </c>
      <c r="AB394">
        <f t="shared" si="66"/>
        <v>0</v>
      </c>
      <c r="AC394">
        <f t="shared" si="67"/>
        <v>0</v>
      </c>
      <c r="AD394">
        <f t="shared" si="68"/>
        <v>0</v>
      </c>
      <c r="AE394">
        <f t="shared" si="69"/>
        <v>0</v>
      </c>
      <c r="AF394">
        <f t="shared" si="70"/>
        <v>0</v>
      </c>
      <c r="AG394">
        <f t="shared" si="71"/>
        <v>0</v>
      </c>
      <c r="AH394" t="s">
        <v>521</v>
      </c>
      <c r="AI394" t="s">
        <v>566</v>
      </c>
      <c r="AJ394" t="s">
        <v>567</v>
      </c>
    </row>
    <row r="395" spans="1:36" x14ac:dyDescent="0.2">
      <c r="A395" t="s">
        <v>225</v>
      </c>
      <c r="B395" t="s">
        <v>415</v>
      </c>
      <c r="C395" t="s">
        <v>39</v>
      </c>
      <c r="D395" t="s">
        <v>759</v>
      </c>
      <c r="E395" s="6" t="s">
        <v>22</v>
      </c>
      <c r="F395" s="6">
        <v>0.7</v>
      </c>
      <c r="G395" s="6" t="s">
        <v>32</v>
      </c>
      <c r="H395" s="6">
        <v>0.3</v>
      </c>
      <c r="I395" t="s">
        <v>765</v>
      </c>
      <c r="J395" t="s">
        <v>766</v>
      </c>
      <c r="L395" t="s">
        <v>48</v>
      </c>
      <c r="M395">
        <v>1</v>
      </c>
      <c r="P395" t="s">
        <v>2014</v>
      </c>
      <c r="Q395">
        <v>3</v>
      </c>
      <c r="R395" t="s">
        <v>2015</v>
      </c>
      <c r="S395">
        <v>3</v>
      </c>
      <c r="U395" t="s">
        <v>55</v>
      </c>
      <c r="V395" t="s">
        <v>145</v>
      </c>
      <c r="W395" t="s">
        <v>218</v>
      </c>
      <c r="X395" t="s">
        <v>2016</v>
      </c>
      <c r="Y395">
        <f t="shared" si="63"/>
        <v>0</v>
      </c>
      <c r="Z395">
        <f t="shared" si="64"/>
        <v>0</v>
      </c>
      <c r="AA395">
        <f t="shared" si="65"/>
        <v>0.7</v>
      </c>
      <c r="AB395">
        <f t="shared" si="66"/>
        <v>0</v>
      </c>
      <c r="AC395">
        <f t="shared" si="67"/>
        <v>0</v>
      </c>
      <c r="AD395">
        <f t="shared" si="68"/>
        <v>0</v>
      </c>
      <c r="AE395">
        <f t="shared" si="69"/>
        <v>0</v>
      </c>
      <c r="AF395">
        <f t="shared" si="70"/>
        <v>0.3</v>
      </c>
      <c r="AG395">
        <f t="shared" si="71"/>
        <v>0</v>
      </c>
      <c r="AH395" t="s">
        <v>521</v>
      </c>
      <c r="AI395" t="s">
        <v>566</v>
      </c>
      <c r="AJ395" t="s">
        <v>567</v>
      </c>
    </row>
    <row r="396" spans="1:36" x14ac:dyDescent="0.2">
      <c r="A396" t="s">
        <v>225</v>
      </c>
      <c r="B396" t="s">
        <v>415</v>
      </c>
      <c r="C396" t="s">
        <v>39</v>
      </c>
      <c r="D396" t="s">
        <v>759</v>
      </c>
      <c r="E396" s="6" t="s">
        <v>22</v>
      </c>
      <c r="F396" s="6">
        <v>0.7</v>
      </c>
      <c r="G396" s="6" t="s">
        <v>32</v>
      </c>
      <c r="H396" s="6">
        <v>0.3</v>
      </c>
      <c r="I396" t="s">
        <v>765</v>
      </c>
      <c r="J396" t="s">
        <v>766</v>
      </c>
      <c r="L396" t="s">
        <v>48</v>
      </c>
      <c r="M396">
        <v>1</v>
      </c>
      <c r="P396" t="s">
        <v>2017</v>
      </c>
      <c r="Q396">
        <v>4</v>
      </c>
      <c r="R396" t="s">
        <v>2018</v>
      </c>
      <c r="S396">
        <v>4</v>
      </c>
      <c r="U396" t="s">
        <v>55</v>
      </c>
      <c r="V396" t="s">
        <v>145</v>
      </c>
      <c r="W396" t="s">
        <v>218</v>
      </c>
      <c r="X396" t="s">
        <v>2019</v>
      </c>
      <c r="Y396">
        <f t="shared" si="63"/>
        <v>0</v>
      </c>
      <c r="Z396">
        <f t="shared" si="64"/>
        <v>0</v>
      </c>
      <c r="AA396">
        <f t="shared" si="65"/>
        <v>2.0999999999999996</v>
      </c>
      <c r="AB396">
        <f t="shared" si="66"/>
        <v>0</v>
      </c>
      <c r="AC396">
        <f t="shared" si="67"/>
        <v>0</v>
      </c>
      <c r="AD396">
        <f t="shared" si="68"/>
        <v>0</v>
      </c>
      <c r="AE396">
        <f t="shared" si="69"/>
        <v>0</v>
      </c>
      <c r="AF396">
        <f t="shared" si="70"/>
        <v>0.89999999999999991</v>
      </c>
      <c r="AG396">
        <f t="shared" si="71"/>
        <v>0</v>
      </c>
      <c r="AH396" t="s">
        <v>521</v>
      </c>
      <c r="AI396" t="s">
        <v>566</v>
      </c>
      <c r="AJ396" t="s">
        <v>567</v>
      </c>
    </row>
    <row r="397" spans="1:36" x14ac:dyDescent="0.2">
      <c r="A397" t="s">
        <v>225</v>
      </c>
      <c r="B397" t="s">
        <v>416</v>
      </c>
      <c r="C397" t="s">
        <v>37</v>
      </c>
      <c r="D397" t="s">
        <v>767</v>
      </c>
      <c r="E397" s="6" t="s">
        <v>28</v>
      </c>
      <c r="F397" s="6">
        <v>0.6</v>
      </c>
      <c r="G397" s="6" t="s">
        <v>22</v>
      </c>
      <c r="H397" s="6">
        <v>0.4</v>
      </c>
      <c r="I397" t="s">
        <v>768</v>
      </c>
      <c r="J397" t="s">
        <v>769</v>
      </c>
      <c r="L397" t="s">
        <v>46</v>
      </c>
      <c r="M397">
        <v>1.5</v>
      </c>
      <c r="N397">
        <v>0.5</v>
      </c>
      <c r="P397" t="s">
        <v>2020</v>
      </c>
      <c r="Q397">
        <v>1</v>
      </c>
      <c r="R397" t="s">
        <v>2021</v>
      </c>
      <c r="S397">
        <v>0</v>
      </c>
      <c r="T397" t="s">
        <v>276</v>
      </c>
      <c r="U397" t="s">
        <v>66</v>
      </c>
      <c r="V397" t="s">
        <v>135</v>
      </c>
      <c r="W397" t="s">
        <v>222</v>
      </c>
      <c r="Y397">
        <f t="shared" si="63"/>
        <v>0</v>
      </c>
      <c r="Z397">
        <f t="shared" si="64"/>
        <v>0</v>
      </c>
      <c r="AA397">
        <f t="shared" si="65"/>
        <v>2.8</v>
      </c>
      <c r="AB397">
        <f t="shared" si="66"/>
        <v>0</v>
      </c>
      <c r="AC397">
        <f t="shared" si="67"/>
        <v>0</v>
      </c>
      <c r="AD397">
        <f t="shared" si="68"/>
        <v>0</v>
      </c>
      <c r="AE397">
        <f t="shared" si="69"/>
        <v>0</v>
      </c>
      <c r="AF397">
        <f t="shared" si="70"/>
        <v>1.2</v>
      </c>
      <c r="AG397">
        <f t="shared" si="71"/>
        <v>0</v>
      </c>
      <c r="AH397" t="s">
        <v>614</v>
      </c>
      <c r="AI397" t="s">
        <v>700</v>
      </c>
      <c r="AJ397" t="s">
        <v>701</v>
      </c>
    </row>
    <row r="398" spans="1:36" x14ac:dyDescent="0.2">
      <c r="A398" t="s">
        <v>225</v>
      </c>
      <c r="B398" t="s">
        <v>416</v>
      </c>
      <c r="C398" t="s">
        <v>37</v>
      </c>
      <c r="D398" t="s">
        <v>767</v>
      </c>
      <c r="E398" s="6" t="s">
        <v>28</v>
      </c>
      <c r="F398" s="6">
        <v>0.6</v>
      </c>
      <c r="G398" s="6" t="s">
        <v>22</v>
      </c>
      <c r="H398" s="6">
        <v>0.4</v>
      </c>
      <c r="I398" t="s">
        <v>768</v>
      </c>
      <c r="J398" t="s">
        <v>769</v>
      </c>
      <c r="L398" t="s">
        <v>46</v>
      </c>
      <c r="M398">
        <v>1.5</v>
      </c>
      <c r="N398">
        <v>0.5</v>
      </c>
      <c r="P398" t="s">
        <v>2022</v>
      </c>
      <c r="Q398">
        <v>2</v>
      </c>
      <c r="R398" t="s">
        <v>2023</v>
      </c>
      <c r="S398">
        <v>2</v>
      </c>
      <c r="U398" t="s">
        <v>66</v>
      </c>
      <c r="V398" t="s">
        <v>135</v>
      </c>
      <c r="W398" t="s">
        <v>222</v>
      </c>
      <c r="Y398">
        <f t="shared" si="63"/>
        <v>0</v>
      </c>
      <c r="Z398">
        <f t="shared" si="64"/>
        <v>0</v>
      </c>
      <c r="AA398">
        <f t="shared" si="65"/>
        <v>0</v>
      </c>
      <c r="AB398">
        <f t="shared" si="66"/>
        <v>0</v>
      </c>
      <c r="AC398">
        <f t="shared" si="67"/>
        <v>0</v>
      </c>
      <c r="AD398">
        <f t="shared" si="68"/>
        <v>0</v>
      </c>
      <c r="AE398">
        <f t="shared" si="69"/>
        <v>0</v>
      </c>
      <c r="AF398">
        <f t="shared" si="70"/>
        <v>0</v>
      </c>
      <c r="AG398">
        <f t="shared" si="71"/>
        <v>0</v>
      </c>
      <c r="AH398" t="s">
        <v>614</v>
      </c>
      <c r="AI398" t="s">
        <v>700</v>
      </c>
      <c r="AJ398" t="s">
        <v>701</v>
      </c>
    </row>
    <row r="399" spans="1:36" x14ac:dyDescent="0.2">
      <c r="A399" t="s">
        <v>225</v>
      </c>
      <c r="B399" t="s">
        <v>416</v>
      </c>
      <c r="C399" t="s">
        <v>37</v>
      </c>
      <c r="D399" t="s">
        <v>767</v>
      </c>
      <c r="E399" s="6" t="s">
        <v>28</v>
      </c>
      <c r="F399" s="6">
        <v>0.6</v>
      </c>
      <c r="G399" s="6" t="s">
        <v>22</v>
      </c>
      <c r="H399" s="6">
        <v>0.4</v>
      </c>
      <c r="I399" t="s">
        <v>768</v>
      </c>
      <c r="J399" t="s">
        <v>769</v>
      </c>
      <c r="L399" t="s">
        <v>46</v>
      </c>
      <c r="M399">
        <v>1.5</v>
      </c>
      <c r="N399">
        <v>0.5</v>
      </c>
      <c r="P399" t="s">
        <v>2024</v>
      </c>
      <c r="Q399">
        <v>3</v>
      </c>
      <c r="R399" t="s">
        <v>2025</v>
      </c>
      <c r="S399">
        <v>3</v>
      </c>
      <c r="U399" t="s">
        <v>66</v>
      </c>
      <c r="V399" t="s">
        <v>77</v>
      </c>
      <c r="W399" t="s">
        <v>218</v>
      </c>
      <c r="X399" t="s">
        <v>2026</v>
      </c>
      <c r="Y399">
        <f t="shared" si="63"/>
        <v>0</v>
      </c>
      <c r="Z399">
        <f t="shared" si="64"/>
        <v>0</v>
      </c>
      <c r="AA399">
        <f t="shared" si="65"/>
        <v>0.8</v>
      </c>
      <c r="AB399">
        <f t="shared" si="66"/>
        <v>0</v>
      </c>
      <c r="AC399">
        <f t="shared" si="67"/>
        <v>0</v>
      </c>
      <c r="AD399">
        <f t="shared" si="68"/>
        <v>1.2</v>
      </c>
      <c r="AE399">
        <f t="shared" si="69"/>
        <v>0</v>
      </c>
      <c r="AF399">
        <f t="shared" si="70"/>
        <v>0</v>
      </c>
      <c r="AG399">
        <f t="shared" si="71"/>
        <v>0</v>
      </c>
      <c r="AH399" t="s">
        <v>614</v>
      </c>
      <c r="AI399" t="s">
        <v>700</v>
      </c>
      <c r="AJ399" t="s">
        <v>701</v>
      </c>
    </row>
    <row r="400" spans="1:36" x14ac:dyDescent="0.2">
      <c r="A400" t="s">
        <v>225</v>
      </c>
      <c r="B400" t="s">
        <v>416</v>
      </c>
      <c r="C400" t="s">
        <v>37</v>
      </c>
      <c r="D400" t="s">
        <v>767</v>
      </c>
      <c r="E400" s="6" t="s">
        <v>28</v>
      </c>
      <c r="F400" s="6">
        <v>0.6</v>
      </c>
      <c r="G400" s="6" t="s">
        <v>22</v>
      </c>
      <c r="H400" s="6">
        <v>0.4</v>
      </c>
      <c r="I400" t="s">
        <v>768</v>
      </c>
      <c r="J400" t="s">
        <v>769</v>
      </c>
      <c r="L400" t="s">
        <v>46</v>
      </c>
      <c r="M400">
        <v>1.5</v>
      </c>
      <c r="N400">
        <v>0.5</v>
      </c>
      <c r="P400" t="s">
        <v>2027</v>
      </c>
      <c r="Q400">
        <v>4</v>
      </c>
      <c r="R400" t="s">
        <v>2028</v>
      </c>
      <c r="S400">
        <v>4</v>
      </c>
      <c r="U400" t="s">
        <v>66</v>
      </c>
      <c r="V400" t="s">
        <v>146</v>
      </c>
      <c r="W400" t="s">
        <v>218</v>
      </c>
      <c r="X400" t="s">
        <v>2029</v>
      </c>
      <c r="Y400">
        <f t="shared" si="63"/>
        <v>0</v>
      </c>
      <c r="Z400">
        <f t="shared" si="64"/>
        <v>0</v>
      </c>
      <c r="AA400">
        <f t="shared" si="65"/>
        <v>1.2000000000000002</v>
      </c>
      <c r="AB400">
        <f t="shared" si="66"/>
        <v>0</v>
      </c>
      <c r="AC400">
        <f t="shared" si="67"/>
        <v>0</v>
      </c>
      <c r="AD400">
        <f t="shared" si="68"/>
        <v>1.7999999999999998</v>
      </c>
      <c r="AE400">
        <f t="shared" si="69"/>
        <v>0</v>
      </c>
      <c r="AF400">
        <f t="shared" si="70"/>
        <v>0</v>
      </c>
      <c r="AG400">
        <f t="shared" si="71"/>
        <v>0</v>
      </c>
      <c r="AH400" t="s">
        <v>614</v>
      </c>
      <c r="AI400" t="s">
        <v>700</v>
      </c>
      <c r="AJ400" t="s">
        <v>701</v>
      </c>
    </row>
    <row r="401" spans="1:36" x14ac:dyDescent="0.2">
      <c r="A401" t="s">
        <v>225</v>
      </c>
      <c r="B401" t="s">
        <v>417</v>
      </c>
      <c r="C401" t="s">
        <v>39</v>
      </c>
      <c r="D401" t="s">
        <v>767</v>
      </c>
      <c r="E401" s="6" t="s">
        <v>20</v>
      </c>
      <c r="F401" s="6">
        <v>0.5</v>
      </c>
      <c r="G401" s="6" t="s">
        <v>28</v>
      </c>
      <c r="H401" s="6">
        <v>0.5</v>
      </c>
      <c r="I401" t="s">
        <v>770</v>
      </c>
      <c r="J401" t="s">
        <v>771</v>
      </c>
      <c r="L401" t="s">
        <v>46</v>
      </c>
      <c r="M401">
        <v>1</v>
      </c>
      <c r="P401" t="s">
        <v>2030</v>
      </c>
      <c r="Q401">
        <v>1</v>
      </c>
      <c r="R401" t="s">
        <v>2031</v>
      </c>
      <c r="S401">
        <v>0</v>
      </c>
      <c r="T401" t="s">
        <v>276</v>
      </c>
      <c r="U401" t="s">
        <v>66</v>
      </c>
      <c r="V401" t="s">
        <v>135</v>
      </c>
      <c r="W401" t="s">
        <v>222</v>
      </c>
      <c r="Y401">
        <f t="shared" si="63"/>
        <v>0</v>
      </c>
      <c r="Z401">
        <f t="shared" si="64"/>
        <v>0</v>
      </c>
      <c r="AA401">
        <f t="shared" si="65"/>
        <v>1.6</v>
      </c>
      <c r="AB401">
        <f t="shared" si="66"/>
        <v>0</v>
      </c>
      <c r="AC401">
        <f t="shared" si="67"/>
        <v>0</v>
      </c>
      <c r="AD401">
        <f t="shared" si="68"/>
        <v>2.4</v>
      </c>
      <c r="AE401">
        <f t="shared" si="69"/>
        <v>0</v>
      </c>
      <c r="AF401">
        <f t="shared" si="70"/>
        <v>0</v>
      </c>
      <c r="AG401">
        <f t="shared" si="71"/>
        <v>0</v>
      </c>
      <c r="AH401" t="s">
        <v>614</v>
      </c>
      <c r="AI401" t="s">
        <v>772</v>
      </c>
      <c r="AJ401" t="s">
        <v>773</v>
      </c>
    </row>
    <row r="402" spans="1:36" x14ac:dyDescent="0.2">
      <c r="A402" t="s">
        <v>225</v>
      </c>
      <c r="B402" t="s">
        <v>417</v>
      </c>
      <c r="C402" t="s">
        <v>39</v>
      </c>
      <c r="D402" t="s">
        <v>767</v>
      </c>
      <c r="E402" s="6" t="s">
        <v>20</v>
      </c>
      <c r="F402" s="6">
        <v>0.5</v>
      </c>
      <c r="G402" s="6" t="s">
        <v>28</v>
      </c>
      <c r="H402" s="6">
        <v>0.5</v>
      </c>
      <c r="I402" t="s">
        <v>770</v>
      </c>
      <c r="J402" t="s">
        <v>771</v>
      </c>
      <c r="L402" t="s">
        <v>46</v>
      </c>
      <c r="M402">
        <v>1</v>
      </c>
      <c r="P402" t="s">
        <v>2032</v>
      </c>
      <c r="Q402">
        <v>2</v>
      </c>
      <c r="R402" t="s">
        <v>2033</v>
      </c>
      <c r="S402">
        <v>2</v>
      </c>
      <c r="T402" t="s">
        <v>174</v>
      </c>
      <c r="U402" t="s">
        <v>66</v>
      </c>
      <c r="V402" t="s">
        <v>71</v>
      </c>
      <c r="W402" t="s">
        <v>222</v>
      </c>
      <c r="Y402">
        <f t="shared" si="63"/>
        <v>0</v>
      </c>
      <c r="Z402">
        <f t="shared" si="64"/>
        <v>0</v>
      </c>
      <c r="AA402">
        <f t="shared" si="65"/>
        <v>0</v>
      </c>
      <c r="AB402">
        <f t="shared" si="66"/>
        <v>0</v>
      </c>
      <c r="AC402">
        <f t="shared" si="67"/>
        <v>0</v>
      </c>
      <c r="AD402">
        <f t="shared" si="68"/>
        <v>0</v>
      </c>
      <c r="AE402">
        <f t="shared" si="69"/>
        <v>0</v>
      </c>
      <c r="AF402">
        <f t="shared" si="70"/>
        <v>0</v>
      </c>
      <c r="AG402">
        <f t="shared" si="71"/>
        <v>0</v>
      </c>
      <c r="AH402" t="s">
        <v>614</v>
      </c>
      <c r="AI402" t="s">
        <v>772</v>
      </c>
      <c r="AJ402" t="s">
        <v>773</v>
      </c>
    </row>
    <row r="403" spans="1:36" x14ac:dyDescent="0.2">
      <c r="A403" t="s">
        <v>225</v>
      </c>
      <c r="B403" t="s">
        <v>417</v>
      </c>
      <c r="C403" t="s">
        <v>39</v>
      </c>
      <c r="D403" t="s">
        <v>767</v>
      </c>
      <c r="E403" s="6" t="s">
        <v>20</v>
      </c>
      <c r="F403" s="6">
        <v>0.5</v>
      </c>
      <c r="G403" s="6" t="s">
        <v>28</v>
      </c>
      <c r="H403" s="6">
        <v>0.5</v>
      </c>
      <c r="I403" t="s">
        <v>770</v>
      </c>
      <c r="J403" t="s">
        <v>771</v>
      </c>
      <c r="L403" t="s">
        <v>46</v>
      </c>
      <c r="M403">
        <v>1</v>
      </c>
      <c r="P403" t="s">
        <v>2034</v>
      </c>
      <c r="Q403">
        <v>3</v>
      </c>
      <c r="R403" t="s">
        <v>2035</v>
      </c>
      <c r="S403">
        <v>3</v>
      </c>
      <c r="U403" t="s">
        <v>66</v>
      </c>
      <c r="V403" t="s">
        <v>135</v>
      </c>
      <c r="W403" t="s">
        <v>218</v>
      </c>
      <c r="X403" t="s">
        <v>2036</v>
      </c>
      <c r="Y403">
        <f t="shared" si="63"/>
        <v>0</v>
      </c>
      <c r="Z403">
        <f t="shared" si="64"/>
        <v>1</v>
      </c>
      <c r="AA403">
        <f t="shared" si="65"/>
        <v>0</v>
      </c>
      <c r="AB403">
        <f t="shared" si="66"/>
        <v>0</v>
      </c>
      <c r="AC403">
        <f t="shared" si="67"/>
        <v>0</v>
      </c>
      <c r="AD403">
        <f t="shared" si="68"/>
        <v>1</v>
      </c>
      <c r="AE403">
        <f t="shared" si="69"/>
        <v>0</v>
      </c>
      <c r="AF403">
        <f t="shared" si="70"/>
        <v>0</v>
      </c>
      <c r="AG403">
        <f t="shared" si="71"/>
        <v>0</v>
      </c>
      <c r="AH403" t="s">
        <v>614</v>
      </c>
      <c r="AI403" t="s">
        <v>772</v>
      </c>
      <c r="AJ403" t="s">
        <v>773</v>
      </c>
    </row>
    <row r="404" spans="1:36" x14ac:dyDescent="0.2">
      <c r="A404" t="s">
        <v>225</v>
      </c>
      <c r="B404" t="s">
        <v>418</v>
      </c>
      <c r="C404" t="s">
        <v>39</v>
      </c>
      <c r="D404" t="s">
        <v>767</v>
      </c>
      <c r="E404" s="6" t="s">
        <v>22</v>
      </c>
      <c r="F404" s="6">
        <v>1</v>
      </c>
      <c r="I404" t="s">
        <v>774</v>
      </c>
      <c r="J404" t="s">
        <v>775</v>
      </c>
      <c r="L404" t="s">
        <v>48</v>
      </c>
      <c r="M404">
        <v>1.4</v>
      </c>
      <c r="N404">
        <v>0.5</v>
      </c>
      <c r="P404" t="s">
        <v>2037</v>
      </c>
      <c r="Q404">
        <v>1</v>
      </c>
      <c r="R404" t="s">
        <v>2038</v>
      </c>
      <c r="S404">
        <v>0</v>
      </c>
      <c r="T404" t="s">
        <v>172</v>
      </c>
      <c r="U404" t="s">
        <v>61</v>
      </c>
      <c r="V404" t="s">
        <v>77</v>
      </c>
      <c r="W404" t="s">
        <v>222</v>
      </c>
      <c r="Y404">
        <f t="shared" si="63"/>
        <v>0</v>
      </c>
      <c r="Z404">
        <f t="shared" si="64"/>
        <v>1.5</v>
      </c>
      <c r="AA404">
        <f t="shared" si="65"/>
        <v>0</v>
      </c>
      <c r="AB404">
        <f t="shared" si="66"/>
        <v>0</v>
      </c>
      <c r="AC404">
        <f t="shared" si="67"/>
        <v>0</v>
      </c>
      <c r="AD404">
        <f t="shared" si="68"/>
        <v>1.5</v>
      </c>
      <c r="AE404">
        <f t="shared" si="69"/>
        <v>0</v>
      </c>
      <c r="AF404">
        <f t="shared" si="70"/>
        <v>0</v>
      </c>
      <c r="AG404">
        <f t="shared" si="71"/>
        <v>0</v>
      </c>
      <c r="AH404" t="s">
        <v>614</v>
      </c>
      <c r="AI404" t="s">
        <v>700</v>
      </c>
      <c r="AJ404" t="s">
        <v>701</v>
      </c>
    </row>
    <row r="405" spans="1:36" x14ac:dyDescent="0.2">
      <c r="A405" t="s">
        <v>225</v>
      </c>
      <c r="B405" t="s">
        <v>418</v>
      </c>
      <c r="C405" t="s">
        <v>39</v>
      </c>
      <c r="D405" t="s">
        <v>767</v>
      </c>
      <c r="E405" s="6" t="s">
        <v>22</v>
      </c>
      <c r="F405" s="6">
        <v>1</v>
      </c>
      <c r="I405" t="s">
        <v>774</v>
      </c>
      <c r="J405" t="s">
        <v>775</v>
      </c>
      <c r="L405" t="s">
        <v>48</v>
      </c>
      <c r="M405">
        <v>1.4</v>
      </c>
      <c r="N405">
        <v>0.5</v>
      </c>
      <c r="P405" t="s">
        <v>2039</v>
      </c>
      <c r="Q405">
        <v>2</v>
      </c>
      <c r="R405" t="s">
        <v>2040</v>
      </c>
      <c r="S405">
        <v>1</v>
      </c>
      <c r="T405" t="s">
        <v>172</v>
      </c>
      <c r="U405" t="s">
        <v>61</v>
      </c>
      <c r="V405" t="s">
        <v>77</v>
      </c>
      <c r="W405" t="s">
        <v>222</v>
      </c>
      <c r="Y405">
        <f t="shared" si="63"/>
        <v>0</v>
      </c>
      <c r="Z405">
        <f t="shared" si="64"/>
        <v>0</v>
      </c>
      <c r="AA405">
        <f t="shared" si="65"/>
        <v>0</v>
      </c>
      <c r="AB405">
        <f t="shared" si="66"/>
        <v>0</v>
      </c>
      <c r="AC405">
        <f t="shared" si="67"/>
        <v>0</v>
      </c>
      <c r="AD405">
        <f t="shared" si="68"/>
        <v>0</v>
      </c>
      <c r="AE405">
        <f t="shared" si="69"/>
        <v>0</v>
      </c>
      <c r="AF405">
        <f t="shared" si="70"/>
        <v>0</v>
      </c>
      <c r="AG405">
        <f t="shared" si="71"/>
        <v>0</v>
      </c>
      <c r="AH405" t="s">
        <v>614</v>
      </c>
      <c r="AI405" t="s">
        <v>700</v>
      </c>
      <c r="AJ405" t="s">
        <v>701</v>
      </c>
    </row>
    <row r="406" spans="1:36" x14ac:dyDescent="0.2">
      <c r="A406" t="s">
        <v>225</v>
      </c>
      <c r="B406" t="s">
        <v>418</v>
      </c>
      <c r="C406" t="s">
        <v>39</v>
      </c>
      <c r="D406" t="s">
        <v>767</v>
      </c>
      <c r="E406" s="6" t="s">
        <v>22</v>
      </c>
      <c r="F406" s="6">
        <v>1</v>
      </c>
      <c r="I406" t="s">
        <v>774</v>
      </c>
      <c r="J406" t="s">
        <v>775</v>
      </c>
      <c r="L406" t="s">
        <v>48</v>
      </c>
      <c r="M406">
        <v>1.4</v>
      </c>
      <c r="N406">
        <v>0.5</v>
      </c>
      <c r="P406" t="s">
        <v>2041</v>
      </c>
      <c r="Q406">
        <v>3</v>
      </c>
      <c r="R406" t="s">
        <v>2042</v>
      </c>
      <c r="S406">
        <v>2</v>
      </c>
      <c r="U406" t="s">
        <v>60</v>
      </c>
      <c r="V406" t="s">
        <v>73</v>
      </c>
      <c r="W406" t="s">
        <v>222</v>
      </c>
      <c r="Y406">
        <f t="shared" si="63"/>
        <v>0</v>
      </c>
      <c r="Z406">
        <f t="shared" si="64"/>
        <v>0</v>
      </c>
      <c r="AA406">
        <f t="shared" si="65"/>
        <v>1</v>
      </c>
      <c r="AB406">
        <f t="shared" si="66"/>
        <v>0</v>
      </c>
      <c r="AC406">
        <f t="shared" si="67"/>
        <v>0</v>
      </c>
      <c r="AD406">
        <f t="shared" si="68"/>
        <v>0</v>
      </c>
      <c r="AE406">
        <f t="shared" si="69"/>
        <v>0</v>
      </c>
      <c r="AF406">
        <f t="shared" si="70"/>
        <v>0</v>
      </c>
      <c r="AG406">
        <f t="shared" si="71"/>
        <v>0</v>
      </c>
      <c r="AH406" t="s">
        <v>614</v>
      </c>
      <c r="AI406" t="s">
        <v>700</v>
      </c>
      <c r="AJ406" t="s">
        <v>701</v>
      </c>
    </row>
    <row r="407" spans="1:36" x14ac:dyDescent="0.2">
      <c r="A407" t="s">
        <v>225</v>
      </c>
      <c r="B407" t="s">
        <v>418</v>
      </c>
      <c r="C407" t="s">
        <v>39</v>
      </c>
      <c r="D407" t="s">
        <v>767</v>
      </c>
      <c r="E407" s="6" t="s">
        <v>22</v>
      </c>
      <c r="F407" s="6">
        <v>1</v>
      </c>
      <c r="I407" t="s">
        <v>774</v>
      </c>
      <c r="J407" t="s">
        <v>775</v>
      </c>
      <c r="L407" t="s">
        <v>48</v>
      </c>
      <c r="M407">
        <v>1.4</v>
      </c>
      <c r="N407">
        <v>0.5</v>
      </c>
      <c r="P407" t="s">
        <v>2043</v>
      </c>
      <c r="Q407">
        <v>4</v>
      </c>
      <c r="R407" t="s">
        <v>2044</v>
      </c>
      <c r="S407">
        <v>3</v>
      </c>
      <c r="U407" t="s">
        <v>62</v>
      </c>
      <c r="V407" t="s">
        <v>146</v>
      </c>
      <c r="W407" t="s">
        <v>218</v>
      </c>
      <c r="X407" t="s">
        <v>2045</v>
      </c>
      <c r="Y407">
        <f t="shared" si="63"/>
        <v>0</v>
      </c>
      <c r="Z407">
        <f t="shared" si="64"/>
        <v>0</v>
      </c>
      <c r="AA407">
        <f t="shared" si="65"/>
        <v>2</v>
      </c>
      <c r="AB407">
        <f t="shared" si="66"/>
        <v>0</v>
      </c>
      <c r="AC407">
        <f t="shared" si="67"/>
        <v>0</v>
      </c>
      <c r="AD407">
        <f t="shared" si="68"/>
        <v>0</v>
      </c>
      <c r="AE407">
        <f t="shared" si="69"/>
        <v>0</v>
      </c>
      <c r="AF407">
        <f t="shared" si="70"/>
        <v>0</v>
      </c>
      <c r="AG407">
        <f t="shared" si="71"/>
        <v>0</v>
      </c>
      <c r="AH407" t="s">
        <v>614</v>
      </c>
      <c r="AI407" t="s">
        <v>700</v>
      </c>
      <c r="AJ407" t="s">
        <v>701</v>
      </c>
    </row>
    <row r="408" spans="1:36" x14ac:dyDescent="0.2">
      <c r="A408" t="s">
        <v>225</v>
      </c>
      <c r="B408" t="s">
        <v>418</v>
      </c>
      <c r="C408" t="s">
        <v>39</v>
      </c>
      <c r="D408" t="s">
        <v>767</v>
      </c>
      <c r="E408" s="6" t="s">
        <v>22</v>
      </c>
      <c r="F408" s="6">
        <v>1</v>
      </c>
      <c r="I408" t="s">
        <v>774</v>
      </c>
      <c r="J408" t="s">
        <v>775</v>
      </c>
      <c r="L408" t="s">
        <v>48</v>
      </c>
      <c r="M408">
        <v>1.4</v>
      </c>
      <c r="N408">
        <v>0.5</v>
      </c>
      <c r="P408" t="s">
        <v>2046</v>
      </c>
      <c r="Q408">
        <v>5</v>
      </c>
      <c r="R408" t="s">
        <v>2047</v>
      </c>
      <c r="S408">
        <v>4</v>
      </c>
      <c r="U408" t="s">
        <v>62</v>
      </c>
      <c r="V408" t="s">
        <v>146</v>
      </c>
      <c r="W408" t="s">
        <v>218</v>
      </c>
      <c r="X408" t="s">
        <v>2048</v>
      </c>
      <c r="Y408">
        <f t="shared" ref="Y408:Y471" si="72">(S407*IF(E407="G",F407,0))+(S407*IF(G407="G",H407,0))</f>
        <v>0</v>
      </c>
      <c r="Z408">
        <f t="shared" ref="Z408:Z471" si="73">(S407*IF(E407="E",F407,0))+(S407*IF(G407="E",H407,0))</f>
        <v>0</v>
      </c>
      <c r="AA408">
        <f t="shared" ref="AA408:AA471" si="74">(S407*IF(E407="T",F407,0))+(S407*IF(G407="T",H407,0))</f>
        <v>3</v>
      </c>
      <c r="AB408">
        <f t="shared" ref="AB408:AB471" si="75">(S407*IF(E407="L",F407,0))+(S407*IF(G407="L",H407,0))</f>
        <v>0</v>
      </c>
      <c r="AC408">
        <f t="shared" ref="AC408:AC471" si="76">(S407*IF(E407="H",F407,0))+(S407*IF(G407="H",H407,0))</f>
        <v>0</v>
      </c>
      <c r="AD408">
        <f t="shared" ref="AD408:AD471" si="77">(S407*IF(E407="V",F407,0))+(S407*IF(G407="V",H407,0))</f>
        <v>0</v>
      </c>
      <c r="AE408">
        <f t="shared" ref="AE408:AE471" si="78">(S407*IF(E407="R",F407,0))+(S407*IF(G407="R",H407,0))</f>
        <v>0</v>
      </c>
      <c r="AF408">
        <f t="shared" ref="AF408:AF471" si="79">(S407*IF(E407="F",F407,0))+(S407*IF(G407="F",H407,0))</f>
        <v>0</v>
      </c>
      <c r="AG408">
        <f t="shared" ref="AG408:AG471" si="80">(S407*IF(E407="W",F407,0))+(S407*IF(G407="W",H407,0))</f>
        <v>0</v>
      </c>
      <c r="AH408" t="s">
        <v>614</v>
      </c>
      <c r="AI408" t="s">
        <v>700</v>
      </c>
      <c r="AJ408" t="s">
        <v>701</v>
      </c>
    </row>
    <row r="409" spans="1:36" x14ac:dyDescent="0.2">
      <c r="A409" t="s">
        <v>225</v>
      </c>
      <c r="B409" t="s">
        <v>419</v>
      </c>
      <c r="C409" t="s">
        <v>37</v>
      </c>
      <c r="D409" t="s">
        <v>776</v>
      </c>
      <c r="E409" s="6" t="s">
        <v>30</v>
      </c>
      <c r="F409" s="6">
        <v>0.6</v>
      </c>
      <c r="G409" s="6" t="s">
        <v>20</v>
      </c>
      <c r="H409" s="6">
        <v>0.4</v>
      </c>
      <c r="I409" t="s">
        <v>777</v>
      </c>
      <c r="J409" t="s">
        <v>778</v>
      </c>
      <c r="L409" t="s">
        <v>48</v>
      </c>
      <c r="M409">
        <v>1.5</v>
      </c>
      <c r="N409">
        <v>0.5</v>
      </c>
      <c r="P409" t="s">
        <v>2049</v>
      </c>
      <c r="Q409">
        <v>1</v>
      </c>
      <c r="R409" t="s">
        <v>2050</v>
      </c>
      <c r="S409">
        <v>0</v>
      </c>
      <c r="U409" t="s">
        <v>60</v>
      </c>
      <c r="V409" t="s">
        <v>74</v>
      </c>
      <c r="W409" t="s">
        <v>222</v>
      </c>
      <c r="Y409">
        <f t="shared" si="72"/>
        <v>0</v>
      </c>
      <c r="Z409">
        <f t="shared" si="73"/>
        <v>0</v>
      </c>
      <c r="AA409">
        <f t="shared" si="74"/>
        <v>4</v>
      </c>
      <c r="AB409">
        <f t="shared" si="75"/>
        <v>0</v>
      </c>
      <c r="AC409">
        <f t="shared" si="76"/>
        <v>0</v>
      </c>
      <c r="AD409">
        <f t="shared" si="77"/>
        <v>0</v>
      </c>
      <c r="AE409">
        <f t="shared" si="78"/>
        <v>0</v>
      </c>
      <c r="AF409">
        <f t="shared" si="79"/>
        <v>0</v>
      </c>
      <c r="AG409">
        <f t="shared" si="80"/>
        <v>0</v>
      </c>
      <c r="AH409" t="s">
        <v>521</v>
      </c>
      <c r="AI409" t="s">
        <v>535</v>
      </c>
      <c r="AJ409" t="s">
        <v>779</v>
      </c>
    </row>
    <row r="410" spans="1:36" x14ac:dyDescent="0.2">
      <c r="A410" t="s">
        <v>225</v>
      </c>
      <c r="B410" t="s">
        <v>419</v>
      </c>
      <c r="C410" t="s">
        <v>37</v>
      </c>
      <c r="D410" t="s">
        <v>776</v>
      </c>
      <c r="E410" s="6" t="s">
        <v>30</v>
      </c>
      <c r="F410" s="6">
        <v>0.6</v>
      </c>
      <c r="G410" s="6" t="s">
        <v>20</v>
      </c>
      <c r="H410" s="6">
        <v>0.4</v>
      </c>
      <c r="I410" t="s">
        <v>777</v>
      </c>
      <c r="J410" t="s">
        <v>778</v>
      </c>
      <c r="L410" t="s">
        <v>48</v>
      </c>
      <c r="M410">
        <v>1.5</v>
      </c>
      <c r="N410">
        <v>0.5</v>
      </c>
      <c r="P410" t="s">
        <v>2051</v>
      </c>
      <c r="Q410">
        <v>2</v>
      </c>
      <c r="R410" t="s">
        <v>2052</v>
      </c>
      <c r="S410">
        <v>2</v>
      </c>
      <c r="U410" t="s">
        <v>60</v>
      </c>
      <c r="V410" t="s">
        <v>74</v>
      </c>
      <c r="W410" t="s">
        <v>222</v>
      </c>
      <c r="Y410">
        <f t="shared" si="72"/>
        <v>0</v>
      </c>
      <c r="Z410">
        <f t="shared" si="73"/>
        <v>0</v>
      </c>
      <c r="AA410">
        <f t="shared" si="74"/>
        <v>0</v>
      </c>
      <c r="AB410">
        <f t="shared" si="75"/>
        <v>0</v>
      </c>
      <c r="AC410">
        <f t="shared" si="76"/>
        <v>0</v>
      </c>
      <c r="AD410">
        <f t="shared" si="77"/>
        <v>0</v>
      </c>
      <c r="AE410">
        <f t="shared" si="78"/>
        <v>0</v>
      </c>
      <c r="AF410">
        <f t="shared" si="79"/>
        <v>0</v>
      </c>
      <c r="AG410">
        <f t="shared" si="80"/>
        <v>0</v>
      </c>
      <c r="AH410" t="s">
        <v>521</v>
      </c>
      <c r="AI410" t="s">
        <v>535</v>
      </c>
      <c r="AJ410" t="s">
        <v>779</v>
      </c>
    </row>
    <row r="411" spans="1:36" x14ac:dyDescent="0.2">
      <c r="A411" t="s">
        <v>225</v>
      </c>
      <c r="B411" t="s">
        <v>419</v>
      </c>
      <c r="C411" t="s">
        <v>37</v>
      </c>
      <c r="D411" t="s">
        <v>776</v>
      </c>
      <c r="E411" s="6" t="s">
        <v>30</v>
      </c>
      <c r="F411" s="6">
        <v>0.6</v>
      </c>
      <c r="G411" s="6" t="s">
        <v>20</v>
      </c>
      <c r="H411" s="6">
        <v>0.4</v>
      </c>
      <c r="I411" t="s">
        <v>777</v>
      </c>
      <c r="J411" t="s">
        <v>778</v>
      </c>
      <c r="L411" t="s">
        <v>48</v>
      </c>
      <c r="M411">
        <v>1.5</v>
      </c>
      <c r="N411">
        <v>0.5</v>
      </c>
      <c r="P411" t="s">
        <v>2053</v>
      </c>
      <c r="Q411">
        <v>3</v>
      </c>
      <c r="R411" t="s">
        <v>2054</v>
      </c>
      <c r="S411">
        <v>3</v>
      </c>
      <c r="U411" t="s">
        <v>62</v>
      </c>
      <c r="V411" t="s">
        <v>136</v>
      </c>
      <c r="W411" t="s">
        <v>218</v>
      </c>
      <c r="X411" t="s">
        <v>2055</v>
      </c>
      <c r="Y411">
        <f t="shared" si="72"/>
        <v>0</v>
      </c>
      <c r="Z411">
        <f t="shared" si="73"/>
        <v>0.8</v>
      </c>
      <c r="AA411">
        <f t="shared" si="74"/>
        <v>0</v>
      </c>
      <c r="AB411">
        <f t="shared" si="75"/>
        <v>0</v>
      </c>
      <c r="AC411">
        <f t="shared" si="76"/>
        <v>0</v>
      </c>
      <c r="AD411">
        <f t="shared" si="77"/>
        <v>0</v>
      </c>
      <c r="AE411">
        <f t="shared" si="78"/>
        <v>1.2</v>
      </c>
      <c r="AF411">
        <f t="shared" si="79"/>
        <v>0</v>
      </c>
      <c r="AG411">
        <f t="shared" si="80"/>
        <v>0</v>
      </c>
      <c r="AH411" t="s">
        <v>521</v>
      </c>
      <c r="AI411" t="s">
        <v>535</v>
      </c>
      <c r="AJ411" t="s">
        <v>779</v>
      </c>
    </row>
    <row r="412" spans="1:36" x14ac:dyDescent="0.2">
      <c r="A412" t="s">
        <v>225</v>
      </c>
      <c r="B412" t="s">
        <v>419</v>
      </c>
      <c r="C412" t="s">
        <v>37</v>
      </c>
      <c r="D412" t="s">
        <v>776</v>
      </c>
      <c r="E412" s="6" t="s">
        <v>30</v>
      </c>
      <c r="F412" s="6">
        <v>0.6</v>
      </c>
      <c r="G412" s="6" t="s">
        <v>20</v>
      </c>
      <c r="H412" s="6">
        <v>0.4</v>
      </c>
      <c r="I412" t="s">
        <v>777</v>
      </c>
      <c r="J412" t="s">
        <v>778</v>
      </c>
      <c r="L412" t="s">
        <v>48</v>
      </c>
      <c r="M412">
        <v>1.5</v>
      </c>
      <c r="N412">
        <v>0.5</v>
      </c>
      <c r="P412" t="s">
        <v>2056</v>
      </c>
      <c r="Q412">
        <v>4</v>
      </c>
      <c r="R412" t="s">
        <v>2057</v>
      </c>
      <c r="S412">
        <v>4</v>
      </c>
      <c r="U412" t="s">
        <v>62</v>
      </c>
      <c r="V412" t="s">
        <v>132</v>
      </c>
      <c r="W412" t="s">
        <v>218</v>
      </c>
      <c r="X412" t="s">
        <v>2058</v>
      </c>
      <c r="Y412">
        <f t="shared" si="72"/>
        <v>0</v>
      </c>
      <c r="Z412">
        <f t="shared" si="73"/>
        <v>1.2000000000000002</v>
      </c>
      <c r="AA412">
        <f t="shared" si="74"/>
        <v>0</v>
      </c>
      <c r="AB412">
        <f t="shared" si="75"/>
        <v>0</v>
      </c>
      <c r="AC412">
        <f t="shared" si="76"/>
        <v>0</v>
      </c>
      <c r="AD412">
        <f t="shared" si="77"/>
        <v>0</v>
      </c>
      <c r="AE412">
        <f t="shared" si="78"/>
        <v>1.7999999999999998</v>
      </c>
      <c r="AF412">
        <f t="shared" si="79"/>
        <v>0</v>
      </c>
      <c r="AG412">
        <f t="shared" si="80"/>
        <v>0</v>
      </c>
      <c r="AH412" t="s">
        <v>521</v>
      </c>
      <c r="AI412" t="s">
        <v>535</v>
      </c>
      <c r="AJ412" t="s">
        <v>779</v>
      </c>
    </row>
    <row r="413" spans="1:36" x14ac:dyDescent="0.2">
      <c r="A413" t="s">
        <v>225</v>
      </c>
      <c r="B413" t="s">
        <v>420</v>
      </c>
      <c r="C413" t="s">
        <v>39</v>
      </c>
      <c r="D413" t="s">
        <v>776</v>
      </c>
      <c r="E413" s="6" t="s">
        <v>20</v>
      </c>
      <c r="F413" s="6">
        <v>1</v>
      </c>
      <c r="I413" t="s">
        <v>780</v>
      </c>
      <c r="J413" t="s">
        <v>781</v>
      </c>
      <c r="L413" t="s">
        <v>48</v>
      </c>
      <c r="M413">
        <v>1</v>
      </c>
      <c r="P413" t="s">
        <v>2059</v>
      </c>
      <c r="Q413">
        <v>1</v>
      </c>
      <c r="R413" t="s">
        <v>2060</v>
      </c>
      <c r="S413">
        <v>0</v>
      </c>
      <c r="T413" t="s">
        <v>174</v>
      </c>
      <c r="U413" t="s">
        <v>63</v>
      </c>
      <c r="V413" t="s">
        <v>84</v>
      </c>
      <c r="W413" t="s">
        <v>222</v>
      </c>
      <c r="Y413">
        <f t="shared" si="72"/>
        <v>0</v>
      </c>
      <c r="Z413">
        <f t="shared" si="73"/>
        <v>1.6</v>
      </c>
      <c r="AA413">
        <f t="shared" si="74"/>
        <v>0</v>
      </c>
      <c r="AB413">
        <f t="shared" si="75"/>
        <v>0</v>
      </c>
      <c r="AC413">
        <f t="shared" si="76"/>
        <v>0</v>
      </c>
      <c r="AD413">
        <f t="shared" si="77"/>
        <v>0</v>
      </c>
      <c r="AE413">
        <f t="shared" si="78"/>
        <v>2.4</v>
      </c>
      <c r="AF413">
        <f t="shared" si="79"/>
        <v>0</v>
      </c>
      <c r="AG413">
        <f t="shared" si="80"/>
        <v>0</v>
      </c>
      <c r="AH413" t="s">
        <v>521</v>
      </c>
      <c r="AI413" t="s">
        <v>566</v>
      </c>
      <c r="AJ413" t="s">
        <v>567</v>
      </c>
    </row>
    <row r="414" spans="1:36" x14ac:dyDescent="0.2">
      <c r="A414" t="s">
        <v>225</v>
      </c>
      <c r="B414" t="s">
        <v>420</v>
      </c>
      <c r="C414" t="s">
        <v>39</v>
      </c>
      <c r="D414" t="s">
        <v>776</v>
      </c>
      <c r="E414" s="6" t="s">
        <v>20</v>
      </c>
      <c r="F414" s="6">
        <v>1</v>
      </c>
      <c r="I414" t="s">
        <v>780</v>
      </c>
      <c r="J414" t="s">
        <v>781</v>
      </c>
      <c r="L414" t="s">
        <v>48</v>
      </c>
      <c r="M414">
        <v>1</v>
      </c>
      <c r="P414" t="s">
        <v>2061</v>
      </c>
      <c r="Q414">
        <v>2</v>
      </c>
      <c r="R414" t="s">
        <v>2062</v>
      </c>
      <c r="S414">
        <v>2</v>
      </c>
      <c r="T414" t="s">
        <v>174</v>
      </c>
      <c r="U414" t="s">
        <v>63</v>
      </c>
      <c r="V414" t="s">
        <v>73</v>
      </c>
      <c r="W414" t="s">
        <v>222</v>
      </c>
      <c r="Y414">
        <f t="shared" si="72"/>
        <v>0</v>
      </c>
      <c r="Z414">
        <f t="shared" si="73"/>
        <v>0</v>
      </c>
      <c r="AA414">
        <f t="shared" si="74"/>
        <v>0</v>
      </c>
      <c r="AB414">
        <f t="shared" si="75"/>
        <v>0</v>
      </c>
      <c r="AC414">
        <f t="shared" si="76"/>
        <v>0</v>
      </c>
      <c r="AD414">
        <f t="shared" si="77"/>
        <v>0</v>
      </c>
      <c r="AE414">
        <f t="shared" si="78"/>
        <v>0</v>
      </c>
      <c r="AF414">
        <f t="shared" si="79"/>
        <v>0</v>
      </c>
      <c r="AG414">
        <f t="shared" si="80"/>
        <v>0</v>
      </c>
      <c r="AH414" t="s">
        <v>521</v>
      </c>
      <c r="AI414" t="s">
        <v>566</v>
      </c>
      <c r="AJ414" t="s">
        <v>567</v>
      </c>
    </row>
    <row r="415" spans="1:36" x14ac:dyDescent="0.2">
      <c r="A415" t="s">
        <v>225</v>
      </c>
      <c r="B415" t="s">
        <v>420</v>
      </c>
      <c r="C415" t="s">
        <v>39</v>
      </c>
      <c r="D415" t="s">
        <v>776</v>
      </c>
      <c r="E415" s="6" t="s">
        <v>20</v>
      </c>
      <c r="F415" s="6">
        <v>1</v>
      </c>
      <c r="I415" t="s">
        <v>780</v>
      </c>
      <c r="J415" t="s">
        <v>781</v>
      </c>
      <c r="L415" t="s">
        <v>48</v>
      </c>
      <c r="M415">
        <v>1</v>
      </c>
      <c r="P415" t="s">
        <v>2063</v>
      </c>
      <c r="Q415">
        <v>3</v>
      </c>
      <c r="R415" t="s">
        <v>2064</v>
      </c>
      <c r="S415">
        <v>3</v>
      </c>
      <c r="T415" t="s">
        <v>174</v>
      </c>
      <c r="U415" t="s">
        <v>63</v>
      </c>
      <c r="V415" t="s">
        <v>84</v>
      </c>
      <c r="W415" t="s">
        <v>218</v>
      </c>
      <c r="X415" t="s">
        <v>2065</v>
      </c>
      <c r="Y415">
        <f t="shared" si="72"/>
        <v>0</v>
      </c>
      <c r="Z415">
        <f t="shared" si="73"/>
        <v>2</v>
      </c>
      <c r="AA415">
        <f t="shared" si="74"/>
        <v>0</v>
      </c>
      <c r="AB415">
        <f t="shared" si="75"/>
        <v>0</v>
      </c>
      <c r="AC415">
        <f t="shared" si="76"/>
        <v>0</v>
      </c>
      <c r="AD415">
        <f t="shared" si="77"/>
        <v>0</v>
      </c>
      <c r="AE415">
        <f t="shared" si="78"/>
        <v>0</v>
      </c>
      <c r="AF415">
        <f t="shared" si="79"/>
        <v>0</v>
      </c>
      <c r="AG415">
        <f t="shared" si="80"/>
        <v>0</v>
      </c>
      <c r="AH415" t="s">
        <v>521</v>
      </c>
      <c r="AI415" t="s">
        <v>566</v>
      </c>
      <c r="AJ415" t="s">
        <v>567</v>
      </c>
    </row>
    <row r="416" spans="1:36" x14ac:dyDescent="0.2">
      <c r="A416" t="s">
        <v>225</v>
      </c>
      <c r="B416" t="s">
        <v>421</v>
      </c>
      <c r="C416" t="s">
        <v>39</v>
      </c>
      <c r="D416" t="s">
        <v>776</v>
      </c>
      <c r="E416" s="6" t="s">
        <v>30</v>
      </c>
      <c r="F416" s="6">
        <v>1</v>
      </c>
      <c r="I416" t="s">
        <v>782</v>
      </c>
      <c r="J416" t="s">
        <v>783</v>
      </c>
      <c r="L416" t="s">
        <v>52</v>
      </c>
      <c r="M416">
        <v>1.3</v>
      </c>
      <c r="N416">
        <v>0.5</v>
      </c>
      <c r="P416" t="s">
        <v>2066</v>
      </c>
      <c r="Q416">
        <v>1</v>
      </c>
      <c r="R416" t="s">
        <v>2067</v>
      </c>
      <c r="S416">
        <v>0</v>
      </c>
      <c r="T416" t="s">
        <v>176</v>
      </c>
      <c r="U416" t="s">
        <v>64</v>
      </c>
      <c r="V416" t="s">
        <v>68</v>
      </c>
      <c r="W416" t="s">
        <v>222</v>
      </c>
      <c r="Y416">
        <f t="shared" si="72"/>
        <v>0</v>
      </c>
      <c r="Z416">
        <f t="shared" si="73"/>
        <v>3</v>
      </c>
      <c r="AA416">
        <f t="shared" si="74"/>
        <v>0</v>
      </c>
      <c r="AB416">
        <f t="shared" si="75"/>
        <v>0</v>
      </c>
      <c r="AC416">
        <f t="shared" si="76"/>
        <v>0</v>
      </c>
      <c r="AD416">
        <f t="shared" si="77"/>
        <v>0</v>
      </c>
      <c r="AE416">
        <f t="shared" si="78"/>
        <v>0</v>
      </c>
      <c r="AF416">
        <f t="shared" si="79"/>
        <v>0</v>
      </c>
      <c r="AG416">
        <f t="shared" si="80"/>
        <v>0</v>
      </c>
      <c r="AH416" t="s">
        <v>570</v>
      </c>
      <c r="AI416" t="s">
        <v>571</v>
      </c>
      <c r="AJ416" t="s">
        <v>604</v>
      </c>
    </row>
    <row r="417" spans="1:36" x14ac:dyDescent="0.2">
      <c r="A417" t="s">
        <v>225</v>
      </c>
      <c r="B417" t="s">
        <v>421</v>
      </c>
      <c r="C417" t="s">
        <v>39</v>
      </c>
      <c r="D417" t="s">
        <v>776</v>
      </c>
      <c r="E417" s="6" t="s">
        <v>30</v>
      </c>
      <c r="F417" s="6">
        <v>1</v>
      </c>
      <c r="I417" t="s">
        <v>782</v>
      </c>
      <c r="J417" t="s">
        <v>783</v>
      </c>
      <c r="L417" t="s">
        <v>52</v>
      </c>
      <c r="M417">
        <v>1.3</v>
      </c>
      <c r="N417">
        <v>0.5</v>
      </c>
      <c r="P417" t="s">
        <v>2068</v>
      </c>
      <c r="Q417">
        <v>2</v>
      </c>
      <c r="R417" t="s">
        <v>2069</v>
      </c>
      <c r="S417">
        <v>1</v>
      </c>
      <c r="U417" t="s">
        <v>60</v>
      </c>
      <c r="V417" t="s">
        <v>68</v>
      </c>
      <c r="W417" t="s">
        <v>222</v>
      </c>
      <c r="Y417">
        <f t="shared" si="72"/>
        <v>0</v>
      </c>
      <c r="Z417">
        <f t="shared" si="73"/>
        <v>0</v>
      </c>
      <c r="AA417">
        <f t="shared" si="74"/>
        <v>0</v>
      </c>
      <c r="AB417">
        <f t="shared" si="75"/>
        <v>0</v>
      </c>
      <c r="AC417">
        <f t="shared" si="76"/>
        <v>0</v>
      </c>
      <c r="AD417">
        <f t="shared" si="77"/>
        <v>0</v>
      </c>
      <c r="AE417">
        <f t="shared" si="78"/>
        <v>0</v>
      </c>
      <c r="AF417">
        <f t="shared" si="79"/>
        <v>0</v>
      </c>
      <c r="AG417">
        <f t="shared" si="80"/>
        <v>0</v>
      </c>
      <c r="AH417" t="s">
        <v>570</v>
      </c>
      <c r="AI417" t="s">
        <v>571</v>
      </c>
      <c r="AJ417" t="s">
        <v>604</v>
      </c>
    </row>
    <row r="418" spans="1:36" x14ac:dyDescent="0.2">
      <c r="A418" t="s">
        <v>225</v>
      </c>
      <c r="B418" t="s">
        <v>421</v>
      </c>
      <c r="C418" t="s">
        <v>39</v>
      </c>
      <c r="D418" t="s">
        <v>776</v>
      </c>
      <c r="E418" s="6" t="s">
        <v>30</v>
      </c>
      <c r="F418" s="6">
        <v>1</v>
      </c>
      <c r="I418" t="s">
        <v>782</v>
      </c>
      <c r="J418" t="s">
        <v>783</v>
      </c>
      <c r="L418" t="s">
        <v>52</v>
      </c>
      <c r="M418">
        <v>1.3</v>
      </c>
      <c r="N418">
        <v>0.5</v>
      </c>
      <c r="P418" t="s">
        <v>2070</v>
      </c>
      <c r="Q418">
        <v>3</v>
      </c>
      <c r="R418" t="s">
        <v>2071</v>
      </c>
      <c r="S418">
        <v>3</v>
      </c>
      <c r="U418" t="s">
        <v>59</v>
      </c>
      <c r="V418" t="s">
        <v>78</v>
      </c>
      <c r="W418" t="s">
        <v>218</v>
      </c>
      <c r="X418" t="s">
        <v>2072</v>
      </c>
      <c r="Y418">
        <f t="shared" si="72"/>
        <v>0</v>
      </c>
      <c r="Z418">
        <f t="shared" si="73"/>
        <v>0</v>
      </c>
      <c r="AA418">
        <f t="shared" si="74"/>
        <v>0</v>
      </c>
      <c r="AB418">
        <f t="shared" si="75"/>
        <v>0</v>
      </c>
      <c r="AC418">
        <f t="shared" si="76"/>
        <v>0</v>
      </c>
      <c r="AD418">
        <f t="shared" si="77"/>
        <v>0</v>
      </c>
      <c r="AE418">
        <f t="shared" si="78"/>
        <v>1</v>
      </c>
      <c r="AF418">
        <f t="shared" si="79"/>
        <v>0</v>
      </c>
      <c r="AG418">
        <f t="shared" si="80"/>
        <v>0</v>
      </c>
      <c r="AH418" t="s">
        <v>570</v>
      </c>
      <c r="AI418" t="s">
        <v>571</v>
      </c>
      <c r="AJ418" t="s">
        <v>604</v>
      </c>
    </row>
    <row r="419" spans="1:36" x14ac:dyDescent="0.2">
      <c r="A419" t="s">
        <v>225</v>
      </c>
      <c r="B419" t="s">
        <v>421</v>
      </c>
      <c r="C419" t="s">
        <v>39</v>
      </c>
      <c r="D419" t="s">
        <v>776</v>
      </c>
      <c r="E419" s="6" t="s">
        <v>30</v>
      </c>
      <c r="F419" s="6">
        <v>1</v>
      </c>
      <c r="I419" t="s">
        <v>782</v>
      </c>
      <c r="J419" t="s">
        <v>783</v>
      </c>
      <c r="L419" t="s">
        <v>52</v>
      </c>
      <c r="M419">
        <v>1.3</v>
      </c>
      <c r="N419">
        <v>0.5</v>
      </c>
      <c r="P419" t="s">
        <v>2073</v>
      </c>
      <c r="Q419">
        <v>4</v>
      </c>
      <c r="R419" t="s">
        <v>2074</v>
      </c>
      <c r="S419">
        <v>4</v>
      </c>
      <c r="U419" t="s">
        <v>59</v>
      </c>
      <c r="V419" t="s">
        <v>139</v>
      </c>
      <c r="W419" t="s">
        <v>218</v>
      </c>
      <c r="X419" t="s">
        <v>2075</v>
      </c>
      <c r="Y419">
        <f t="shared" si="72"/>
        <v>0</v>
      </c>
      <c r="Z419">
        <f t="shared" si="73"/>
        <v>0</v>
      </c>
      <c r="AA419">
        <f t="shared" si="74"/>
        <v>0</v>
      </c>
      <c r="AB419">
        <f t="shared" si="75"/>
        <v>0</v>
      </c>
      <c r="AC419">
        <f t="shared" si="76"/>
        <v>0</v>
      </c>
      <c r="AD419">
        <f t="shared" si="77"/>
        <v>0</v>
      </c>
      <c r="AE419">
        <f t="shared" si="78"/>
        <v>3</v>
      </c>
      <c r="AF419">
        <f t="shared" si="79"/>
        <v>0</v>
      </c>
      <c r="AG419">
        <f t="shared" si="80"/>
        <v>0</v>
      </c>
      <c r="AH419" t="s">
        <v>570</v>
      </c>
      <c r="AI419" t="s">
        <v>571</v>
      </c>
      <c r="AJ419" t="s">
        <v>604</v>
      </c>
    </row>
    <row r="420" spans="1:36" x14ac:dyDescent="0.2">
      <c r="A420" t="s">
        <v>225</v>
      </c>
      <c r="B420" t="s">
        <v>422</v>
      </c>
      <c r="C420" t="s">
        <v>37</v>
      </c>
      <c r="D420" t="s">
        <v>784</v>
      </c>
      <c r="E420" s="6" t="s">
        <v>22</v>
      </c>
      <c r="F420" s="6">
        <v>0.6</v>
      </c>
      <c r="G420" s="6" t="s">
        <v>30</v>
      </c>
      <c r="H420" s="6">
        <v>0.4</v>
      </c>
      <c r="I420" t="s">
        <v>785</v>
      </c>
      <c r="J420" t="s">
        <v>786</v>
      </c>
      <c r="L420" t="s">
        <v>48</v>
      </c>
      <c r="M420">
        <v>1.5</v>
      </c>
      <c r="N420">
        <v>0.5</v>
      </c>
      <c r="P420" t="s">
        <v>2076</v>
      </c>
      <c r="Q420">
        <v>1</v>
      </c>
      <c r="R420" t="s">
        <v>2077</v>
      </c>
      <c r="S420">
        <v>0</v>
      </c>
      <c r="U420" t="s">
        <v>62</v>
      </c>
      <c r="V420" t="s">
        <v>136</v>
      </c>
      <c r="W420" t="s">
        <v>222</v>
      </c>
      <c r="Y420">
        <f t="shared" si="72"/>
        <v>0</v>
      </c>
      <c r="Z420">
        <f t="shared" si="73"/>
        <v>0</v>
      </c>
      <c r="AA420">
        <f t="shared" si="74"/>
        <v>0</v>
      </c>
      <c r="AB420">
        <f t="shared" si="75"/>
        <v>0</v>
      </c>
      <c r="AC420">
        <f t="shared" si="76"/>
        <v>0</v>
      </c>
      <c r="AD420">
        <f t="shared" si="77"/>
        <v>0</v>
      </c>
      <c r="AE420">
        <f t="shared" si="78"/>
        <v>4</v>
      </c>
      <c r="AF420">
        <f t="shared" si="79"/>
        <v>0</v>
      </c>
      <c r="AG420">
        <f t="shared" si="80"/>
        <v>0</v>
      </c>
      <c r="AH420" t="s">
        <v>550</v>
      </c>
      <c r="AI420" t="s">
        <v>551</v>
      </c>
      <c r="AJ420" t="s">
        <v>619</v>
      </c>
    </row>
    <row r="421" spans="1:36" x14ac:dyDescent="0.2">
      <c r="A421" t="s">
        <v>225</v>
      </c>
      <c r="B421" t="s">
        <v>422</v>
      </c>
      <c r="C421" t="s">
        <v>37</v>
      </c>
      <c r="D421" t="s">
        <v>784</v>
      </c>
      <c r="E421" s="6" t="s">
        <v>22</v>
      </c>
      <c r="F421" s="6">
        <v>0.6</v>
      </c>
      <c r="G421" s="6" t="s">
        <v>30</v>
      </c>
      <c r="H421" s="6">
        <v>0.4</v>
      </c>
      <c r="I421" t="s">
        <v>785</v>
      </c>
      <c r="J421" t="s">
        <v>786</v>
      </c>
      <c r="L421" t="s">
        <v>48</v>
      </c>
      <c r="M421">
        <v>1.5</v>
      </c>
      <c r="N421">
        <v>0.5</v>
      </c>
      <c r="P421" t="s">
        <v>2078</v>
      </c>
      <c r="Q421">
        <v>2</v>
      </c>
      <c r="R421" t="s">
        <v>2079</v>
      </c>
      <c r="S421">
        <v>2</v>
      </c>
      <c r="U421" t="s">
        <v>62</v>
      </c>
      <c r="V421" t="s">
        <v>136</v>
      </c>
      <c r="W421" t="s">
        <v>222</v>
      </c>
      <c r="Y421">
        <f t="shared" si="72"/>
        <v>0</v>
      </c>
      <c r="Z421">
        <f t="shared" si="73"/>
        <v>0</v>
      </c>
      <c r="AA421">
        <f t="shared" si="74"/>
        <v>0</v>
      </c>
      <c r="AB421">
        <f t="shared" si="75"/>
        <v>0</v>
      </c>
      <c r="AC421">
        <f t="shared" si="76"/>
        <v>0</v>
      </c>
      <c r="AD421">
        <f t="shared" si="77"/>
        <v>0</v>
      </c>
      <c r="AE421">
        <f t="shared" si="78"/>
        <v>0</v>
      </c>
      <c r="AF421">
        <f t="shared" si="79"/>
        <v>0</v>
      </c>
      <c r="AG421">
        <f t="shared" si="80"/>
        <v>0</v>
      </c>
      <c r="AH421" t="s">
        <v>550</v>
      </c>
      <c r="AI421" t="s">
        <v>551</v>
      </c>
      <c r="AJ421" t="s">
        <v>619</v>
      </c>
    </row>
    <row r="422" spans="1:36" x14ac:dyDescent="0.2">
      <c r="A422" t="s">
        <v>225</v>
      </c>
      <c r="B422" t="s">
        <v>422</v>
      </c>
      <c r="C422" t="s">
        <v>37</v>
      </c>
      <c r="D422" t="s">
        <v>784</v>
      </c>
      <c r="E422" s="6" t="s">
        <v>22</v>
      </c>
      <c r="F422" s="6">
        <v>0.6</v>
      </c>
      <c r="G422" s="6" t="s">
        <v>30</v>
      </c>
      <c r="H422" s="6">
        <v>0.4</v>
      </c>
      <c r="I422" t="s">
        <v>785</v>
      </c>
      <c r="J422" t="s">
        <v>786</v>
      </c>
      <c r="L422" t="s">
        <v>48</v>
      </c>
      <c r="M422">
        <v>1.5</v>
      </c>
      <c r="N422">
        <v>0.5</v>
      </c>
      <c r="P422" t="s">
        <v>2080</v>
      </c>
      <c r="Q422">
        <v>3</v>
      </c>
      <c r="R422" t="s">
        <v>2081</v>
      </c>
      <c r="S422">
        <v>3</v>
      </c>
      <c r="U422" t="s">
        <v>62</v>
      </c>
      <c r="V422" t="s">
        <v>136</v>
      </c>
      <c r="W422" t="s">
        <v>218</v>
      </c>
      <c r="X422" t="s">
        <v>2082</v>
      </c>
      <c r="Y422">
        <f t="shared" si="72"/>
        <v>0</v>
      </c>
      <c r="Z422">
        <f t="shared" si="73"/>
        <v>0</v>
      </c>
      <c r="AA422">
        <f t="shared" si="74"/>
        <v>1.2</v>
      </c>
      <c r="AB422">
        <f t="shared" si="75"/>
        <v>0</v>
      </c>
      <c r="AC422">
        <f t="shared" si="76"/>
        <v>0</v>
      </c>
      <c r="AD422">
        <f t="shared" si="77"/>
        <v>0</v>
      </c>
      <c r="AE422">
        <f t="shared" si="78"/>
        <v>0.8</v>
      </c>
      <c r="AF422">
        <f t="shared" si="79"/>
        <v>0</v>
      </c>
      <c r="AG422">
        <f t="shared" si="80"/>
        <v>0</v>
      </c>
      <c r="AH422" t="s">
        <v>550</v>
      </c>
      <c r="AI422" t="s">
        <v>551</v>
      </c>
      <c r="AJ422" t="s">
        <v>619</v>
      </c>
    </row>
    <row r="423" spans="1:36" x14ac:dyDescent="0.2">
      <c r="A423" t="s">
        <v>225</v>
      </c>
      <c r="B423" t="s">
        <v>422</v>
      </c>
      <c r="C423" t="s">
        <v>37</v>
      </c>
      <c r="D423" t="s">
        <v>784</v>
      </c>
      <c r="E423" s="6" t="s">
        <v>22</v>
      </c>
      <c r="F423" s="6">
        <v>0.6</v>
      </c>
      <c r="G423" s="6" t="s">
        <v>30</v>
      </c>
      <c r="H423" s="6">
        <v>0.4</v>
      </c>
      <c r="I423" t="s">
        <v>785</v>
      </c>
      <c r="J423" t="s">
        <v>786</v>
      </c>
      <c r="L423" t="s">
        <v>48</v>
      </c>
      <c r="M423">
        <v>1.5</v>
      </c>
      <c r="N423">
        <v>0.5</v>
      </c>
      <c r="P423" t="s">
        <v>2083</v>
      </c>
      <c r="Q423">
        <v>4</v>
      </c>
      <c r="R423" t="s">
        <v>2084</v>
      </c>
      <c r="S423">
        <v>4</v>
      </c>
      <c r="U423" t="s">
        <v>62</v>
      </c>
      <c r="V423" t="s">
        <v>83</v>
      </c>
      <c r="W423" t="s">
        <v>218</v>
      </c>
      <c r="X423" t="s">
        <v>2085</v>
      </c>
      <c r="Y423">
        <f t="shared" si="72"/>
        <v>0</v>
      </c>
      <c r="Z423">
        <f t="shared" si="73"/>
        <v>0</v>
      </c>
      <c r="AA423">
        <f t="shared" si="74"/>
        <v>1.7999999999999998</v>
      </c>
      <c r="AB423">
        <f t="shared" si="75"/>
        <v>0</v>
      </c>
      <c r="AC423">
        <f t="shared" si="76"/>
        <v>0</v>
      </c>
      <c r="AD423">
        <f t="shared" si="77"/>
        <v>0</v>
      </c>
      <c r="AE423">
        <f t="shared" si="78"/>
        <v>1.2000000000000002</v>
      </c>
      <c r="AF423">
        <f t="shared" si="79"/>
        <v>0</v>
      </c>
      <c r="AG423">
        <f t="shared" si="80"/>
        <v>0</v>
      </c>
      <c r="AH423" t="s">
        <v>550</v>
      </c>
      <c r="AI423" t="s">
        <v>551</v>
      </c>
      <c r="AJ423" t="s">
        <v>619</v>
      </c>
    </row>
    <row r="424" spans="1:36" x14ac:dyDescent="0.2">
      <c r="A424" t="s">
        <v>225</v>
      </c>
      <c r="B424" t="s">
        <v>423</v>
      </c>
      <c r="C424" t="s">
        <v>39</v>
      </c>
      <c r="D424" t="s">
        <v>784</v>
      </c>
      <c r="E424" s="6" t="s">
        <v>20</v>
      </c>
      <c r="F424" s="6">
        <v>1</v>
      </c>
      <c r="I424" t="s">
        <v>787</v>
      </c>
      <c r="J424" t="s">
        <v>788</v>
      </c>
      <c r="L424" t="s">
        <v>48</v>
      </c>
      <c r="M424">
        <v>1</v>
      </c>
      <c r="P424" t="s">
        <v>2086</v>
      </c>
      <c r="Q424">
        <v>1</v>
      </c>
      <c r="R424" t="s">
        <v>2087</v>
      </c>
      <c r="S424">
        <v>0</v>
      </c>
      <c r="T424" t="s">
        <v>180</v>
      </c>
      <c r="U424" t="s">
        <v>57</v>
      </c>
      <c r="V424" t="s">
        <v>144</v>
      </c>
      <c r="W424" t="s">
        <v>222</v>
      </c>
      <c r="Y424">
        <f t="shared" si="72"/>
        <v>0</v>
      </c>
      <c r="Z424">
        <f t="shared" si="73"/>
        <v>0</v>
      </c>
      <c r="AA424">
        <f t="shared" si="74"/>
        <v>2.4</v>
      </c>
      <c r="AB424">
        <f t="shared" si="75"/>
        <v>0</v>
      </c>
      <c r="AC424">
        <f t="shared" si="76"/>
        <v>0</v>
      </c>
      <c r="AD424">
        <f t="shared" si="77"/>
        <v>0</v>
      </c>
      <c r="AE424">
        <f t="shared" si="78"/>
        <v>1.6</v>
      </c>
      <c r="AF424">
        <f t="shared" si="79"/>
        <v>0</v>
      </c>
      <c r="AG424">
        <f t="shared" si="80"/>
        <v>0</v>
      </c>
      <c r="AH424" t="s">
        <v>561</v>
      </c>
      <c r="AI424" t="s">
        <v>562</v>
      </c>
      <c r="AJ424" t="s">
        <v>762</v>
      </c>
    </row>
    <row r="425" spans="1:36" x14ac:dyDescent="0.2">
      <c r="A425" t="s">
        <v>225</v>
      </c>
      <c r="B425" t="s">
        <v>423</v>
      </c>
      <c r="C425" t="s">
        <v>39</v>
      </c>
      <c r="D425" t="s">
        <v>784</v>
      </c>
      <c r="E425" s="6" t="s">
        <v>20</v>
      </c>
      <c r="F425" s="6">
        <v>1</v>
      </c>
      <c r="I425" t="s">
        <v>787</v>
      </c>
      <c r="J425" t="s">
        <v>788</v>
      </c>
      <c r="L425" t="s">
        <v>48</v>
      </c>
      <c r="M425">
        <v>1</v>
      </c>
      <c r="P425" t="s">
        <v>2088</v>
      </c>
      <c r="Q425">
        <v>2</v>
      </c>
      <c r="R425" t="s">
        <v>2089</v>
      </c>
      <c r="S425">
        <v>2</v>
      </c>
      <c r="T425" t="s">
        <v>174</v>
      </c>
      <c r="U425" t="s">
        <v>57</v>
      </c>
      <c r="V425" t="s">
        <v>84</v>
      </c>
      <c r="W425" t="s">
        <v>222</v>
      </c>
      <c r="Y425">
        <f t="shared" si="72"/>
        <v>0</v>
      </c>
      <c r="Z425">
        <f t="shared" si="73"/>
        <v>0</v>
      </c>
      <c r="AA425">
        <f t="shared" si="74"/>
        <v>0</v>
      </c>
      <c r="AB425">
        <f t="shared" si="75"/>
        <v>0</v>
      </c>
      <c r="AC425">
        <f t="shared" si="76"/>
        <v>0</v>
      </c>
      <c r="AD425">
        <f t="shared" si="77"/>
        <v>0</v>
      </c>
      <c r="AE425">
        <f t="shared" si="78"/>
        <v>0</v>
      </c>
      <c r="AF425">
        <f t="shared" si="79"/>
        <v>0</v>
      </c>
      <c r="AG425">
        <f t="shared" si="80"/>
        <v>0</v>
      </c>
      <c r="AH425" t="s">
        <v>561</v>
      </c>
      <c r="AI425" t="s">
        <v>562</v>
      </c>
      <c r="AJ425" t="s">
        <v>762</v>
      </c>
    </row>
    <row r="426" spans="1:36" x14ac:dyDescent="0.2">
      <c r="A426" t="s">
        <v>225</v>
      </c>
      <c r="B426" t="s">
        <v>423</v>
      </c>
      <c r="C426" t="s">
        <v>39</v>
      </c>
      <c r="D426" t="s">
        <v>784</v>
      </c>
      <c r="E426" s="6" t="s">
        <v>20</v>
      </c>
      <c r="F426" s="6">
        <v>1</v>
      </c>
      <c r="I426" t="s">
        <v>787</v>
      </c>
      <c r="J426" t="s">
        <v>788</v>
      </c>
      <c r="L426" t="s">
        <v>48</v>
      </c>
      <c r="M426">
        <v>1</v>
      </c>
      <c r="P426" t="s">
        <v>2090</v>
      </c>
      <c r="Q426">
        <v>3</v>
      </c>
      <c r="R426" t="s">
        <v>2091</v>
      </c>
      <c r="S426">
        <v>3</v>
      </c>
      <c r="U426" t="s">
        <v>57</v>
      </c>
      <c r="V426" t="s">
        <v>144</v>
      </c>
      <c r="W426" t="s">
        <v>218</v>
      </c>
      <c r="X426" t="s">
        <v>2092</v>
      </c>
      <c r="Y426">
        <f t="shared" si="72"/>
        <v>0</v>
      </c>
      <c r="Z426">
        <f t="shared" si="73"/>
        <v>2</v>
      </c>
      <c r="AA426">
        <f t="shared" si="74"/>
        <v>0</v>
      </c>
      <c r="AB426">
        <f t="shared" si="75"/>
        <v>0</v>
      </c>
      <c r="AC426">
        <f t="shared" si="76"/>
        <v>0</v>
      </c>
      <c r="AD426">
        <f t="shared" si="77"/>
        <v>0</v>
      </c>
      <c r="AE426">
        <f t="shared" si="78"/>
        <v>0</v>
      </c>
      <c r="AF426">
        <f t="shared" si="79"/>
        <v>0</v>
      </c>
      <c r="AG426">
        <f t="shared" si="80"/>
        <v>0</v>
      </c>
      <c r="AH426" t="s">
        <v>561</v>
      </c>
      <c r="AI426" t="s">
        <v>562</v>
      </c>
      <c r="AJ426" t="s">
        <v>762</v>
      </c>
    </row>
    <row r="427" spans="1:36" x14ac:dyDescent="0.2">
      <c r="A427" t="s">
        <v>225</v>
      </c>
      <c r="B427" t="s">
        <v>424</v>
      </c>
      <c r="C427" t="s">
        <v>39</v>
      </c>
      <c r="D427" t="s">
        <v>784</v>
      </c>
      <c r="E427" s="6" t="s">
        <v>22</v>
      </c>
      <c r="F427" s="6">
        <v>0.7</v>
      </c>
      <c r="G427" s="6" t="s">
        <v>32</v>
      </c>
      <c r="H427" s="6">
        <v>0.3</v>
      </c>
      <c r="I427" t="s">
        <v>789</v>
      </c>
      <c r="J427" t="s">
        <v>790</v>
      </c>
      <c r="L427" t="s">
        <v>48</v>
      </c>
      <c r="M427">
        <v>1</v>
      </c>
      <c r="P427" t="s">
        <v>2093</v>
      </c>
      <c r="Q427">
        <v>1</v>
      </c>
      <c r="R427" t="s">
        <v>2094</v>
      </c>
      <c r="S427">
        <v>0</v>
      </c>
      <c r="T427" t="s">
        <v>2095</v>
      </c>
      <c r="U427" t="s">
        <v>55</v>
      </c>
      <c r="V427" t="s">
        <v>79</v>
      </c>
      <c r="W427" t="s">
        <v>222</v>
      </c>
      <c r="Y427">
        <f t="shared" si="72"/>
        <v>0</v>
      </c>
      <c r="Z427">
        <f t="shared" si="73"/>
        <v>3</v>
      </c>
      <c r="AA427">
        <f t="shared" si="74"/>
        <v>0</v>
      </c>
      <c r="AB427">
        <f t="shared" si="75"/>
        <v>0</v>
      </c>
      <c r="AC427">
        <f t="shared" si="76"/>
        <v>0</v>
      </c>
      <c r="AD427">
        <f t="shared" si="77"/>
        <v>0</v>
      </c>
      <c r="AE427">
        <f t="shared" si="78"/>
        <v>0</v>
      </c>
      <c r="AF427">
        <f t="shared" si="79"/>
        <v>0</v>
      </c>
      <c r="AG427">
        <f t="shared" si="80"/>
        <v>0</v>
      </c>
      <c r="AH427" t="s">
        <v>561</v>
      </c>
      <c r="AI427" t="s">
        <v>562</v>
      </c>
      <c r="AJ427" t="s">
        <v>762</v>
      </c>
    </row>
    <row r="428" spans="1:36" x14ac:dyDescent="0.2">
      <c r="A428" t="s">
        <v>225</v>
      </c>
      <c r="B428" t="s">
        <v>424</v>
      </c>
      <c r="C428" t="s">
        <v>39</v>
      </c>
      <c r="D428" t="s">
        <v>784</v>
      </c>
      <c r="E428" s="6" t="s">
        <v>22</v>
      </c>
      <c r="F428" s="6">
        <v>0.7</v>
      </c>
      <c r="G428" s="6" t="s">
        <v>32</v>
      </c>
      <c r="H428" s="6">
        <v>0.3</v>
      </c>
      <c r="I428" t="s">
        <v>789</v>
      </c>
      <c r="J428" t="s">
        <v>790</v>
      </c>
      <c r="L428" t="s">
        <v>48</v>
      </c>
      <c r="M428">
        <v>1</v>
      </c>
      <c r="P428" t="s">
        <v>2096</v>
      </c>
      <c r="Q428">
        <v>2</v>
      </c>
      <c r="R428" t="s">
        <v>2097</v>
      </c>
      <c r="S428">
        <v>1</v>
      </c>
      <c r="T428" t="s">
        <v>172</v>
      </c>
      <c r="U428" t="s">
        <v>61</v>
      </c>
      <c r="V428" t="s">
        <v>79</v>
      </c>
      <c r="W428" t="s">
        <v>222</v>
      </c>
      <c r="Y428">
        <f t="shared" si="72"/>
        <v>0</v>
      </c>
      <c r="Z428">
        <f t="shared" si="73"/>
        <v>0</v>
      </c>
      <c r="AA428">
        <f t="shared" si="74"/>
        <v>0</v>
      </c>
      <c r="AB428">
        <f t="shared" si="75"/>
        <v>0</v>
      </c>
      <c r="AC428">
        <f t="shared" si="76"/>
        <v>0</v>
      </c>
      <c r="AD428">
        <f t="shared" si="77"/>
        <v>0</v>
      </c>
      <c r="AE428">
        <f t="shared" si="78"/>
        <v>0</v>
      </c>
      <c r="AF428">
        <f t="shared" si="79"/>
        <v>0</v>
      </c>
      <c r="AG428">
        <f t="shared" si="80"/>
        <v>0</v>
      </c>
      <c r="AH428" t="s">
        <v>561</v>
      </c>
      <c r="AI428" t="s">
        <v>562</v>
      </c>
      <c r="AJ428" t="s">
        <v>762</v>
      </c>
    </row>
    <row r="429" spans="1:36" x14ac:dyDescent="0.2">
      <c r="A429" t="s">
        <v>225</v>
      </c>
      <c r="B429" t="s">
        <v>424</v>
      </c>
      <c r="C429" t="s">
        <v>39</v>
      </c>
      <c r="D429" t="s">
        <v>784</v>
      </c>
      <c r="E429" s="6" t="s">
        <v>22</v>
      </c>
      <c r="F429" s="6">
        <v>0.7</v>
      </c>
      <c r="G429" s="6" t="s">
        <v>32</v>
      </c>
      <c r="H429" s="6">
        <v>0.3</v>
      </c>
      <c r="I429" t="s">
        <v>789</v>
      </c>
      <c r="J429" t="s">
        <v>790</v>
      </c>
      <c r="L429" t="s">
        <v>48</v>
      </c>
      <c r="M429">
        <v>1</v>
      </c>
      <c r="P429" t="s">
        <v>2098</v>
      </c>
      <c r="Q429">
        <v>3</v>
      </c>
      <c r="R429" t="s">
        <v>2099</v>
      </c>
      <c r="S429">
        <v>3</v>
      </c>
      <c r="U429" t="s">
        <v>55</v>
      </c>
      <c r="V429" t="s">
        <v>145</v>
      </c>
      <c r="W429" t="s">
        <v>222</v>
      </c>
      <c r="Y429">
        <f t="shared" si="72"/>
        <v>0</v>
      </c>
      <c r="Z429">
        <f t="shared" si="73"/>
        <v>0</v>
      </c>
      <c r="AA429">
        <f t="shared" si="74"/>
        <v>0.7</v>
      </c>
      <c r="AB429">
        <f t="shared" si="75"/>
        <v>0</v>
      </c>
      <c r="AC429">
        <f t="shared" si="76"/>
        <v>0</v>
      </c>
      <c r="AD429">
        <f t="shared" si="77"/>
        <v>0</v>
      </c>
      <c r="AE429">
        <f t="shared" si="78"/>
        <v>0</v>
      </c>
      <c r="AF429">
        <f t="shared" si="79"/>
        <v>0.3</v>
      </c>
      <c r="AG429">
        <f t="shared" si="80"/>
        <v>0</v>
      </c>
      <c r="AH429" t="s">
        <v>561</v>
      </c>
      <c r="AI429" t="s">
        <v>562</v>
      </c>
      <c r="AJ429" t="s">
        <v>762</v>
      </c>
    </row>
    <row r="430" spans="1:36" x14ac:dyDescent="0.2">
      <c r="A430" t="s">
        <v>225</v>
      </c>
      <c r="B430" t="s">
        <v>424</v>
      </c>
      <c r="C430" t="s">
        <v>39</v>
      </c>
      <c r="D430" t="s">
        <v>784</v>
      </c>
      <c r="E430" s="6" t="s">
        <v>22</v>
      </c>
      <c r="F430" s="6">
        <v>0.7</v>
      </c>
      <c r="G430" s="6" t="s">
        <v>32</v>
      </c>
      <c r="H430" s="6">
        <v>0.3</v>
      </c>
      <c r="I430" t="s">
        <v>789</v>
      </c>
      <c r="J430" t="s">
        <v>790</v>
      </c>
      <c r="L430" t="s">
        <v>48</v>
      </c>
      <c r="M430">
        <v>1</v>
      </c>
      <c r="P430" t="s">
        <v>2100</v>
      </c>
      <c r="Q430">
        <v>4</v>
      </c>
      <c r="R430" t="s">
        <v>2101</v>
      </c>
      <c r="S430">
        <v>4</v>
      </c>
      <c r="U430" t="s">
        <v>55</v>
      </c>
      <c r="V430" t="s">
        <v>145</v>
      </c>
      <c r="W430" t="s">
        <v>218</v>
      </c>
      <c r="X430" t="s">
        <v>2102</v>
      </c>
      <c r="Y430">
        <f t="shared" si="72"/>
        <v>0</v>
      </c>
      <c r="Z430">
        <f t="shared" si="73"/>
        <v>0</v>
      </c>
      <c r="AA430">
        <f t="shared" si="74"/>
        <v>2.0999999999999996</v>
      </c>
      <c r="AB430">
        <f t="shared" si="75"/>
        <v>0</v>
      </c>
      <c r="AC430">
        <f t="shared" si="76"/>
        <v>0</v>
      </c>
      <c r="AD430">
        <f t="shared" si="77"/>
        <v>0</v>
      </c>
      <c r="AE430">
        <f t="shared" si="78"/>
        <v>0</v>
      </c>
      <c r="AF430">
        <f t="shared" si="79"/>
        <v>0.89999999999999991</v>
      </c>
      <c r="AG430">
        <f t="shared" si="80"/>
        <v>0</v>
      </c>
      <c r="AH430" t="s">
        <v>561</v>
      </c>
      <c r="AI430" t="s">
        <v>562</v>
      </c>
      <c r="AJ430" t="s">
        <v>762</v>
      </c>
    </row>
    <row r="431" spans="1:36" x14ac:dyDescent="0.2">
      <c r="A431" t="s">
        <v>225</v>
      </c>
      <c r="B431" t="s">
        <v>425</v>
      </c>
      <c r="C431" t="s">
        <v>37</v>
      </c>
      <c r="D431" t="s">
        <v>791</v>
      </c>
      <c r="E431" s="6" t="s">
        <v>30</v>
      </c>
      <c r="F431" s="6">
        <v>0.5</v>
      </c>
      <c r="G431" s="6" t="s">
        <v>24</v>
      </c>
      <c r="H431" s="6">
        <v>0.5</v>
      </c>
      <c r="I431" t="s">
        <v>792</v>
      </c>
      <c r="J431" t="s">
        <v>793</v>
      </c>
      <c r="L431" t="s">
        <v>52</v>
      </c>
      <c r="M431">
        <v>1.5</v>
      </c>
      <c r="N431">
        <v>0.5</v>
      </c>
      <c r="P431" t="s">
        <v>2103</v>
      </c>
      <c r="Q431">
        <v>1</v>
      </c>
      <c r="R431" t="s">
        <v>2104</v>
      </c>
      <c r="S431">
        <v>0</v>
      </c>
      <c r="T431" t="s">
        <v>248</v>
      </c>
      <c r="U431" t="s">
        <v>59</v>
      </c>
      <c r="V431" t="s">
        <v>78</v>
      </c>
      <c r="W431" t="s">
        <v>222</v>
      </c>
      <c r="Y431">
        <f t="shared" si="72"/>
        <v>0</v>
      </c>
      <c r="Z431">
        <f t="shared" si="73"/>
        <v>0</v>
      </c>
      <c r="AA431">
        <f t="shared" si="74"/>
        <v>2.8</v>
      </c>
      <c r="AB431">
        <f t="shared" si="75"/>
        <v>0</v>
      </c>
      <c r="AC431">
        <f t="shared" si="76"/>
        <v>0</v>
      </c>
      <c r="AD431">
        <f t="shared" si="77"/>
        <v>0</v>
      </c>
      <c r="AE431">
        <f t="shared" si="78"/>
        <v>0</v>
      </c>
      <c r="AF431">
        <f t="shared" si="79"/>
        <v>1.2</v>
      </c>
      <c r="AG431">
        <f t="shared" si="80"/>
        <v>0</v>
      </c>
      <c r="AH431" t="s">
        <v>561</v>
      </c>
      <c r="AI431" t="s">
        <v>587</v>
      </c>
      <c r="AJ431" t="s">
        <v>591</v>
      </c>
    </row>
    <row r="432" spans="1:36" x14ac:dyDescent="0.2">
      <c r="A432" t="s">
        <v>225</v>
      </c>
      <c r="B432" t="s">
        <v>425</v>
      </c>
      <c r="C432" t="s">
        <v>37</v>
      </c>
      <c r="D432" t="s">
        <v>791</v>
      </c>
      <c r="E432" s="6" t="s">
        <v>30</v>
      </c>
      <c r="F432" s="6">
        <v>0.5</v>
      </c>
      <c r="G432" s="6" t="s">
        <v>24</v>
      </c>
      <c r="H432" s="6">
        <v>0.5</v>
      </c>
      <c r="I432" t="s">
        <v>792</v>
      </c>
      <c r="J432" t="s">
        <v>793</v>
      </c>
      <c r="L432" t="s">
        <v>52</v>
      </c>
      <c r="M432">
        <v>1.5</v>
      </c>
      <c r="N432">
        <v>0.5</v>
      </c>
      <c r="P432" t="s">
        <v>2105</v>
      </c>
      <c r="Q432">
        <v>2</v>
      </c>
      <c r="R432" t="s">
        <v>2106</v>
      </c>
      <c r="S432">
        <v>2</v>
      </c>
      <c r="U432" t="s">
        <v>59</v>
      </c>
      <c r="V432" t="s">
        <v>78</v>
      </c>
      <c r="W432" t="s">
        <v>222</v>
      </c>
      <c r="Y432">
        <f t="shared" si="72"/>
        <v>0</v>
      </c>
      <c r="Z432">
        <f t="shared" si="73"/>
        <v>0</v>
      </c>
      <c r="AA432">
        <f t="shared" si="74"/>
        <v>0</v>
      </c>
      <c r="AB432">
        <f t="shared" si="75"/>
        <v>0</v>
      </c>
      <c r="AC432">
        <f t="shared" si="76"/>
        <v>0</v>
      </c>
      <c r="AD432">
        <f t="shared" si="77"/>
        <v>0</v>
      </c>
      <c r="AE432">
        <f t="shared" si="78"/>
        <v>0</v>
      </c>
      <c r="AF432">
        <f t="shared" si="79"/>
        <v>0</v>
      </c>
      <c r="AG432">
        <f t="shared" si="80"/>
        <v>0</v>
      </c>
      <c r="AH432" t="s">
        <v>561</v>
      </c>
      <c r="AI432" t="s">
        <v>587</v>
      </c>
      <c r="AJ432" t="s">
        <v>591</v>
      </c>
    </row>
    <row r="433" spans="1:36" x14ac:dyDescent="0.2">
      <c r="A433" t="s">
        <v>225</v>
      </c>
      <c r="B433" t="s">
        <v>425</v>
      </c>
      <c r="C433" t="s">
        <v>37</v>
      </c>
      <c r="D433" t="s">
        <v>791</v>
      </c>
      <c r="E433" s="6" t="s">
        <v>30</v>
      </c>
      <c r="F433" s="6">
        <v>0.5</v>
      </c>
      <c r="G433" s="6" t="s">
        <v>24</v>
      </c>
      <c r="H433" s="6">
        <v>0.5</v>
      </c>
      <c r="I433" t="s">
        <v>792</v>
      </c>
      <c r="J433" t="s">
        <v>793</v>
      </c>
      <c r="L433" t="s">
        <v>52</v>
      </c>
      <c r="M433">
        <v>1.5</v>
      </c>
      <c r="N433">
        <v>0.5</v>
      </c>
      <c r="P433" t="s">
        <v>2107</v>
      </c>
      <c r="Q433">
        <v>3</v>
      </c>
      <c r="R433" t="s">
        <v>2108</v>
      </c>
      <c r="S433">
        <v>3</v>
      </c>
      <c r="U433" t="s">
        <v>59</v>
      </c>
      <c r="V433" t="s">
        <v>139</v>
      </c>
      <c r="W433" t="s">
        <v>218</v>
      </c>
      <c r="X433" t="s">
        <v>2109</v>
      </c>
      <c r="Y433">
        <f t="shared" si="72"/>
        <v>0</v>
      </c>
      <c r="Z433">
        <f t="shared" si="73"/>
        <v>0</v>
      </c>
      <c r="AA433">
        <f t="shared" si="74"/>
        <v>0</v>
      </c>
      <c r="AB433">
        <f t="shared" si="75"/>
        <v>1</v>
      </c>
      <c r="AC433">
        <f t="shared" si="76"/>
        <v>0</v>
      </c>
      <c r="AD433">
        <f t="shared" si="77"/>
        <v>0</v>
      </c>
      <c r="AE433">
        <f t="shared" si="78"/>
        <v>1</v>
      </c>
      <c r="AF433">
        <f t="shared" si="79"/>
        <v>0</v>
      </c>
      <c r="AG433">
        <f t="shared" si="80"/>
        <v>0</v>
      </c>
      <c r="AH433" t="s">
        <v>561</v>
      </c>
      <c r="AI433" t="s">
        <v>587</v>
      </c>
      <c r="AJ433" t="s">
        <v>591</v>
      </c>
    </row>
    <row r="434" spans="1:36" x14ac:dyDescent="0.2">
      <c r="A434" t="s">
        <v>225</v>
      </c>
      <c r="B434" t="s">
        <v>425</v>
      </c>
      <c r="C434" t="s">
        <v>37</v>
      </c>
      <c r="D434" t="s">
        <v>791</v>
      </c>
      <c r="E434" s="6" t="s">
        <v>30</v>
      </c>
      <c r="F434" s="6">
        <v>0.5</v>
      </c>
      <c r="G434" s="6" t="s">
        <v>24</v>
      </c>
      <c r="H434" s="6">
        <v>0.5</v>
      </c>
      <c r="I434" t="s">
        <v>792</v>
      </c>
      <c r="J434" t="s">
        <v>793</v>
      </c>
      <c r="L434" t="s">
        <v>52</v>
      </c>
      <c r="M434">
        <v>1.5</v>
      </c>
      <c r="N434">
        <v>0.5</v>
      </c>
      <c r="P434" t="s">
        <v>2110</v>
      </c>
      <c r="Q434">
        <v>4</v>
      </c>
      <c r="R434" t="s">
        <v>2111</v>
      </c>
      <c r="S434">
        <v>4</v>
      </c>
      <c r="U434" t="s">
        <v>59</v>
      </c>
      <c r="V434" t="s">
        <v>139</v>
      </c>
      <c r="W434" t="s">
        <v>218</v>
      </c>
      <c r="X434" t="s">
        <v>2112</v>
      </c>
      <c r="Y434">
        <f t="shared" si="72"/>
        <v>0</v>
      </c>
      <c r="Z434">
        <f t="shared" si="73"/>
        <v>0</v>
      </c>
      <c r="AA434">
        <f t="shared" si="74"/>
        <v>0</v>
      </c>
      <c r="AB434">
        <f t="shared" si="75"/>
        <v>1.5</v>
      </c>
      <c r="AC434">
        <f t="shared" si="76"/>
        <v>0</v>
      </c>
      <c r="AD434">
        <f t="shared" si="77"/>
        <v>0</v>
      </c>
      <c r="AE434">
        <f t="shared" si="78"/>
        <v>1.5</v>
      </c>
      <c r="AF434">
        <f t="shared" si="79"/>
        <v>0</v>
      </c>
      <c r="AG434">
        <f t="shared" si="80"/>
        <v>0</v>
      </c>
      <c r="AH434" t="s">
        <v>561</v>
      </c>
      <c r="AI434" t="s">
        <v>587</v>
      </c>
      <c r="AJ434" t="s">
        <v>591</v>
      </c>
    </row>
    <row r="435" spans="1:36" x14ac:dyDescent="0.2">
      <c r="A435" t="s">
        <v>225</v>
      </c>
      <c r="B435" t="s">
        <v>426</v>
      </c>
      <c r="C435" t="s">
        <v>39</v>
      </c>
      <c r="D435" t="s">
        <v>791</v>
      </c>
      <c r="E435" s="6" t="s">
        <v>20</v>
      </c>
      <c r="F435" s="6">
        <v>1</v>
      </c>
      <c r="I435" t="s">
        <v>794</v>
      </c>
      <c r="J435" t="s">
        <v>795</v>
      </c>
      <c r="L435" t="s">
        <v>48</v>
      </c>
      <c r="M435">
        <v>1</v>
      </c>
      <c r="P435" t="s">
        <v>2113</v>
      </c>
      <c r="Q435">
        <v>1</v>
      </c>
      <c r="R435" t="s">
        <v>2114</v>
      </c>
      <c r="S435">
        <v>0</v>
      </c>
      <c r="T435" t="s">
        <v>174</v>
      </c>
      <c r="U435" t="s">
        <v>63</v>
      </c>
      <c r="V435" t="s">
        <v>78</v>
      </c>
      <c r="W435" t="s">
        <v>222</v>
      </c>
      <c r="Y435">
        <f t="shared" si="72"/>
        <v>0</v>
      </c>
      <c r="Z435">
        <f t="shared" si="73"/>
        <v>0</v>
      </c>
      <c r="AA435">
        <f t="shared" si="74"/>
        <v>0</v>
      </c>
      <c r="AB435">
        <f t="shared" si="75"/>
        <v>2</v>
      </c>
      <c r="AC435">
        <f t="shared" si="76"/>
        <v>0</v>
      </c>
      <c r="AD435">
        <f t="shared" si="77"/>
        <v>0</v>
      </c>
      <c r="AE435">
        <f t="shared" si="78"/>
        <v>2</v>
      </c>
      <c r="AF435">
        <f t="shared" si="79"/>
        <v>0</v>
      </c>
      <c r="AG435">
        <f t="shared" si="80"/>
        <v>0</v>
      </c>
      <c r="AH435" t="s">
        <v>561</v>
      </c>
      <c r="AI435" t="s">
        <v>587</v>
      </c>
      <c r="AJ435" t="s">
        <v>591</v>
      </c>
    </row>
    <row r="436" spans="1:36" x14ac:dyDescent="0.2">
      <c r="A436" t="s">
        <v>225</v>
      </c>
      <c r="B436" t="s">
        <v>426</v>
      </c>
      <c r="C436" t="s">
        <v>39</v>
      </c>
      <c r="D436" t="s">
        <v>791</v>
      </c>
      <c r="E436" s="6" t="s">
        <v>20</v>
      </c>
      <c r="F436" s="6">
        <v>1</v>
      </c>
      <c r="I436" t="s">
        <v>794</v>
      </c>
      <c r="J436" t="s">
        <v>795</v>
      </c>
      <c r="L436" t="s">
        <v>48</v>
      </c>
      <c r="M436">
        <v>1</v>
      </c>
      <c r="P436" t="s">
        <v>2115</v>
      </c>
      <c r="Q436">
        <v>2</v>
      </c>
      <c r="R436" t="s">
        <v>2116</v>
      </c>
      <c r="S436">
        <v>2</v>
      </c>
      <c r="U436" t="s">
        <v>60</v>
      </c>
      <c r="V436" t="s">
        <v>78</v>
      </c>
      <c r="W436" t="s">
        <v>222</v>
      </c>
      <c r="Y436">
        <f t="shared" si="72"/>
        <v>0</v>
      </c>
      <c r="Z436">
        <f t="shared" si="73"/>
        <v>0</v>
      </c>
      <c r="AA436">
        <f t="shared" si="74"/>
        <v>0</v>
      </c>
      <c r="AB436">
        <f t="shared" si="75"/>
        <v>0</v>
      </c>
      <c r="AC436">
        <f t="shared" si="76"/>
        <v>0</v>
      </c>
      <c r="AD436">
        <f t="shared" si="77"/>
        <v>0</v>
      </c>
      <c r="AE436">
        <f t="shared" si="78"/>
        <v>0</v>
      </c>
      <c r="AF436">
        <f t="shared" si="79"/>
        <v>0</v>
      </c>
      <c r="AG436">
        <f t="shared" si="80"/>
        <v>0</v>
      </c>
      <c r="AH436" t="s">
        <v>561</v>
      </c>
      <c r="AI436" t="s">
        <v>587</v>
      </c>
      <c r="AJ436" t="s">
        <v>591</v>
      </c>
    </row>
    <row r="437" spans="1:36" x14ac:dyDescent="0.2">
      <c r="A437" t="s">
        <v>225</v>
      </c>
      <c r="B437" t="s">
        <v>426</v>
      </c>
      <c r="C437" t="s">
        <v>39</v>
      </c>
      <c r="D437" t="s">
        <v>791</v>
      </c>
      <c r="E437" s="6" t="s">
        <v>20</v>
      </c>
      <c r="F437" s="6">
        <v>1</v>
      </c>
      <c r="I437" t="s">
        <v>794</v>
      </c>
      <c r="J437" t="s">
        <v>795</v>
      </c>
      <c r="L437" t="s">
        <v>48</v>
      </c>
      <c r="M437">
        <v>1</v>
      </c>
      <c r="P437" t="s">
        <v>2117</v>
      </c>
      <c r="Q437">
        <v>3</v>
      </c>
      <c r="R437" t="s">
        <v>2118</v>
      </c>
      <c r="S437">
        <v>3</v>
      </c>
      <c r="U437" t="s">
        <v>62</v>
      </c>
      <c r="V437" t="s">
        <v>78</v>
      </c>
      <c r="W437" t="s">
        <v>218</v>
      </c>
      <c r="X437" t="s">
        <v>2119</v>
      </c>
      <c r="Y437">
        <f t="shared" si="72"/>
        <v>0</v>
      </c>
      <c r="Z437">
        <f t="shared" si="73"/>
        <v>2</v>
      </c>
      <c r="AA437">
        <f t="shared" si="74"/>
        <v>0</v>
      </c>
      <c r="AB437">
        <f t="shared" si="75"/>
        <v>0</v>
      </c>
      <c r="AC437">
        <f t="shared" si="76"/>
        <v>0</v>
      </c>
      <c r="AD437">
        <f t="shared" si="77"/>
        <v>0</v>
      </c>
      <c r="AE437">
        <f t="shared" si="78"/>
        <v>0</v>
      </c>
      <c r="AF437">
        <f t="shared" si="79"/>
        <v>0</v>
      </c>
      <c r="AG437">
        <f t="shared" si="80"/>
        <v>0</v>
      </c>
      <c r="AH437" t="s">
        <v>561</v>
      </c>
      <c r="AI437" t="s">
        <v>587</v>
      </c>
      <c r="AJ437" t="s">
        <v>591</v>
      </c>
    </row>
    <row r="438" spans="1:36" x14ac:dyDescent="0.2">
      <c r="A438" t="s">
        <v>225</v>
      </c>
      <c r="B438" t="s">
        <v>427</v>
      </c>
      <c r="C438" t="s">
        <v>41</v>
      </c>
      <c r="D438" t="s">
        <v>791</v>
      </c>
      <c r="E438" s="6" t="s">
        <v>22</v>
      </c>
      <c r="F438" s="6">
        <v>0.5</v>
      </c>
      <c r="G438" s="6" t="s">
        <v>24</v>
      </c>
      <c r="H438" s="6">
        <v>0.5</v>
      </c>
      <c r="I438" t="s">
        <v>796</v>
      </c>
      <c r="J438" t="s">
        <v>797</v>
      </c>
      <c r="L438" t="s">
        <v>52</v>
      </c>
      <c r="M438">
        <v>1.3</v>
      </c>
      <c r="N438">
        <v>0.5</v>
      </c>
      <c r="P438" t="s">
        <v>2120</v>
      </c>
      <c r="Q438">
        <v>1</v>
      </c>
      <c r="R438" t="s">
        <v>2121</v>
      </c>
      <c r="S438">
        <v>0</v>
      </c>
      <c r="T438" t="s">
        <v>248</v>
      </c>
      <c r="U438" t="s">
        <v>59</v>
      </c>
      <c r="V438" t="s">
        <v>78</v>
      </c>
      <c r="W438" t="s">
        <v>222</v>
      </c>
      <c r="Y438">
        <f t="shared" si="72"/>
        <v>0</v>
      </c>
      <c r="Z438">
        <f t="shared" si="73"/>
        <v>3</v>
      </c>
      <c r="AA438">
        <f t="shared" si="74"/>
        <v>0</v>
      </c>
      <c r="AB438">
        <f t="shared" si="75"/>
        <v>0</v>
      </c>
      <c r="AC438">
        <f t="shared" si="76"/>
        <v>0</v>
      </c>
      <c r="AD438">
        <f t="shared" si="77"/>
        <v>0</v>
      </c>
      <c r="AE438">
        <f t="shared" si="78"/>
        <v>0</v>
      </c>
      <c r="AF438">
        <f t="shared" si="79"/>
        <v>0</v>
      </c>
      <c r="AG438">
        <f t="shared" si="80"/>
        <v>0</v>
      </c>
      <c r="AH438" t="s">
        <v>614</v>
      </c>
      <c r="AI438" t="s">
        <v>772</v>
      </c>
      <c r="AJ438" t="s">
        <v>798</v>
      </c>
    </row>
    <row r="439" spans="1:36" x14ac:dyDescent="0.2">
      <c r="A439" t="s">
        <v>225</v>
      </c>
      <c r="B439" t="s">
        <v>427</v>
      </c>
      <c r="C439" t="s">
        <v>41</v>
      </c>
      <c r="D439" t="s">
        <v>791</v>
      </c>
      <c r="E439" s="6" t="s">
        <v>22</v>
      </c>
      <c r="F439" s="6">
        <v>0.5</v>
      </c>
      <c r="G439" s="6" t="s">
        <v>24</v>
      </c>
      <c r="H439" s="6">
        <v>0.5</v>
      </c>
      <c r="I439" t="s">
        <v>796</v>
      </c>
      <c r="J439" t="s">
        <v>797</v>
      </c>
      <c r="L439" t="s">
        <v>52</v>
      </c>
      <c r="M439">
        <v>1.3</v>
      </c>
      <c r="N439">
        <v>0.5</v>
      </c>
      <c r="P439" t="s">
        <v>2122</v>
      </c>
      <c r="Q439">
        <v>2</v>
      </c>
      <c r="R439" t="s">
        <v>2123</v>
      </c>
      <c r="U439" t="s">
        <v>59</v>
      </c>
      <c r="V439" t="s">
        <v>76</v>
      </c>
      <c r="W439" t="s">
        <v>222</v>
      </c>
      <c r="Y439">
        <f t="shared" si="72"/>
        <v>0</v>
      </c>
      <c r="Z439">
        <f t="shared" si="73"/>
        <v>0</v>
      </c>
      <c r="AA439">
        <f t="shared" si="74"/>
        <v>0</v>
      </c>
      <c r="AB439">
        <f t="shared" si="75"/>
        <v>0</v>
      </c>
      <c r="AC439">
        <f t="shared" si="76"/>
        <v>0</v>
      </c>
      <c r="AD439">
        <f t="shared" si="77"/>
        <v>0</v>
      </c>
      <c r="AE439">
        <f t="shared" si="78"/>
        <v>0</v>
      </c>
      <c r="AF439">
        <f t="shared" si="79"/>
        <v>0</v>
      </c>
      <c r="AG439">
        <f t="shared" si="80"/>
        <v>0</v>
      </c>
      <c r="AH439" t="s">
        <v>614</v>
      </c>
      <c r="AI439" t="s">
        <v>772</v>
      </c>
      <c r="AJ439" t="s">
        <v>798</v>
      </c>
    </row>
    <row r="440" spans="1:36" x14ac:dyDescent="0.2">
      <c r="A440" t="s">
        <v>225</v>
      </c>
      <c r="B440" t="s">
        <v>427</v>
      </c>
      <c r="C440" t="s">
        <v>41</v>
      </c>
      <c r="D440" t="s">
        <v>791</v>
      </c>
      <c r="E440" s="6" t="s">
        <v>22</v>
      </c>
      <c r="F440" s="6">
        <v>0.5</v>
      </c>
      <c r="G440" s="6" t="s">
        <v>24</v>
      </c>
      <c r="H440" s="6">
        <v>0.5</v>
      </c>
      <c r="I440" t="s">
        <v>796</v>
      </c>
      <c r="J440" t="s">
        <v>797</v>
      </c>
      <c r="L440" t="s">
        <v>52</v>
      </c>
      <c r="M440">
        <v>1.3</v>
      </c>
      <c r="N440">
        <v>0.5</v>
      </c>
      <c r="P440" t="s">
        <v>2124</v>
      </c>
      <c r="Q440">
        <v>3</v>
      </c>
      <c r="R440" t="s">
        <v>2125</v>
      </c>
      <c r="S440">
        <v>3</v>
      </c>
      <c r="U440" t="s">
        <v>59</v>
      </c>
      <c r="V440" t="s">
        <v>139</v>
      </c>
      <c r="W440" t="s">
        <v>218</v>
      </c>
      <c r="X440" t="s">
        <v>2126</v>
      </c>
      <c r="Y440">
        <f t="shared" si="72"/>
        <v>0</v>
      </c>
      <c r="Z440">
        <f t="shared" si="73"/>
        <v>0</v>
      </c>
      <c r="AA440">
        <f t="shared" si="74"/>
        <v>0</v>
      </c>
      <c r="AB440">
        <f t="shared" si="75"/>
        <v>0</v>
      </c>
      <c r="AC440">
        <f t="shared" si="76"/>
        <v>0</v>
      </c>
      <c r="AD440">
        <f t="shared" si="77"/>
        <v>0</v>
      </c>
      <c r="AE440">
        <f t="shared" si="78"/>
        <v>0</v>
      </c>
      <c r="AF440">
        <f t="shared" si="79"/>
        <v>0</v>
      </c>
      <c r="AG440">
        <f t="shared" si="80"/>
        <v>0</v>
      </c>
      <c r="AH440" t="s">
        <v>614</v>
      </c>
      <c r="AI440" t="s">
        <v>772</v>
      </c>
      <c r="AJ440" t="s">
        <v>798</v>
      </c>
    </row>
    <row r="441" spans="1:36" x14ac:dyDescent="0.2">
      <c r="A441" t="s">
        <v>225</v>
      </c>
      <c r="B441" t="s">
        <v>427</v>
      </c>
      <c r="C441" t="s">
        <v>41</v>
      </c>
      <c r="D441" t="s">
        <v>791</v>
      </c>
      <c r="E441" s="6" t="s">
        <v>22</v>
      </c>
      <c r="F441" s="6">
        <v>0.5</v>
      </c>
      <c r="G441" s="6" t="s">
        <v>24</v>
      </c>
      <c r="H441" s="6">
        <v>0.5</v>
      </c>
      <c r="I441" t="s">
        <v>796</v>
      </c>
      <c r="J441" t="s">
        <v>797</v>
      </c>
      <c r="L441" t="s">
        <v>52</v>
      </c>
      <c r="M441">
        <v>1.3</v>
      </c>
      <c r="N441">
        <v>0.5</v>
      </c>
      <c r="P441" t="s">
        <v>2127</v>
      </c>
      <c r="Q441">
        <v>4</v>
      </c>
      <c r="R441" t="s">
        <v>2128</v>
      </c>
      <c r="S441">
        <v>4</v>
      </c>
      <c r="U441" t="s">
        <v>59</v>
      </c>
      <c r="V441" t="s">
        <v>139</v>
      </c>
      <c r="W441" t="s">
        <v>218</v>
      </c>
      <c r="X441" t="s">
        <v>2129</v>
      </c>
      <c r="Y441">
        <f t="shared" si="72"/>
        <v>0</v>
      </c>
      <c r="Z441">
        <f t="shared" si="73"/>
        <v>0</v>
      </c>
      <c r="AA441">
        <f t="shared" si="74"/>
        <v>1.5</v>
      </c>
      <c r="AB441">
        <f t="shared" si="75"/>
        <v>1.5</v>
      </c>
      <c r="AC441">
        <f t="shared" si="76"/>
        <v>0</v>
      </c>
      <c r="AD441">
        <f t="shared" si="77"/>
        <v>0</v>
      </c>
      <c r="AE441">
        <f t="shared" si="78"/>
        <v>0</v>
      </c>
      <c r="AF441">
        <f t="shared" si="79"/>
        <v>0</v>
      </c>
      <c r="AG441">
        <f t="shared" si="80"/>
        <v>0</v>
      </c>
      <c r="AH441" t="s">
        <v>614</v>
      </c>
      <c r="AI441" t="s">
        <v>772</v>
      </c>
      <c r="AJ441" t="s">
        <v>798</v>
      </c>
    </row>
    <row r="442" spans="1:36" x14ac:dyDescent="0.2">
      <c r="A442" t="s">
        <v>225</v>
      </c>
      <c r="B442" t="s">
        <v>428</v>
      </c>
      <c r="C442" t="s">
        <v>37</v>
      </c>
      <c r="D442" t="s">
        <v>799</v>
      </c>
      <c r="E442" s="6" t="s">
        <v>28</v>
      </c>
      <c r="F442" s="6">
        <v>0.6</v>
      </c>
      <c r="G442" s="6" t="s">
        <v>22</v>
      </c>
      <c r="H442" s="6">
        <v>0.4</v>
      </c>
      <c r="I442" t="s">
        <v>800</v>
      </c>
      <c r="J442" t="s">
        <v>801</v>
      </c>
      <c r="L442" t="s">
        <v>46</v>
      </c>
      <c r="M442">
        <v>1.3</v>
      </c>
      <c r="N442">
        <v>0.5</v>
      </c>
      <c r="P442" t="s">
        <v>2130</v>
      </c>
      <c r="Q442">
        <v>1</v>
      </c>
      <c r="R442" t="s">
        <v>2131</v>
      </c>
      <c r="S442">
        <v>0</v>
      </c>
      <c r="T442" t="s">
        <v>276</v>
      </c>
      <c r="U442" t="s">
        <v>66</v>
      </c>
      <c r="V442" t="s">
        <v>80</v>
      </c>
      <c r="W442" t="s">
        <v>222</v>
      </c>
      <c r="Y442">
        <f t="shared" si="72"/>
        <v>0</v>
      </c>
      <c r="Z442">
        <f t="shared" si="73"/>
        <v>0</v>
      </c>
      <c r="AA442">
        <f t="shared" si="74"/>
        <v>2</v>
      </c>
      <c r="AB442">
        <f t="shared" si="75"/>
        <v>2</v>
      </c>
      <c r="AC442">
        <f t="shared" si="76"/>
        <v>0</v>
      </c>
      <c r="AD442">
        <f t="shared" si="77"/>
        <v>0</v>
      </c>
      <c r="AE442">
        <f t="shared" si="78"/>
        <v>0</v>
      </c>
      <c r="AF442">
        <f t="shared" si="79"/>
        <v>0</v>
      </c>
      <c r="AG442">
        <f t="shared" si="80"/>
        <v>0</v>
      </c>
      <c r="AH442" t="s">
        <v>614</v>
      </c>
      <c r="AI442" t="s">
        <v>772</v>
      </c>
      <c r="AJ442" t="s">
        <v>773</v>
      </c>
    </row>
    <row r="443" spans="1:36" x14ac:dyDescent="0.2">
      <c r="A443" t="s">
        <v>225</v>
      </c>
      <c r="B443" t="s">
        <v>428</v>
      </c>
      <c r="C443" t="s">
        <v>37</v>
      </c>
      <c r="D443" t="s">
        <v>799</v>
      </c>
      <c r="E443" s="6" t="s">
        <v>28</v>
      </c>
      <c r="F443" s="6">
        <v>0.6</v>
      </c>
      <c r="G443" s="6" t="s">
        <v>22</v>
      </c>
      <c r="H443" s="6">
        <v>0.4</v>
      </c>
      <c r="I443" t="s">
        <v>800</v>
      </c>
      <c r="J443" t="s">
        <v>801</v>
      </c>
      <c r="L443" t="s">
        <v>46</v>
      </c>
      <c r="M443">
        <v>1.3</v>
      </c>
      <c r="N443">
        <v>0.5</v>
      </c>
      <c r="P443" t="s">
        <v>2132</v>
      </c>
      <c r="Q443">
        <v>2</v>
      </c>
      <c r="R443" t="s">
        <v>2133</v>
      </c>
      <c r="S443">
        <v>2</v>
      </c>
      <c r="U443" t="s">
        <v>66</v>
      </c>
      <c r="V443" t="s">
        <v>80</v>
      </c>
      <c r="W443" t="s">
        <v>222</v>
      </c>
      <c r="Y443">
        <f t="shared" si="72"/>
        <v>0</v>
      </c>
      <c r="Z443">
        <f t="shared" si="73"/>
        <v>0</v>
      </c>
      <c r="AA443">
        <f t="shared" si="74"/>
        <v>0</v>
      </c>
      <c r="AB443">
        <f t="shared" si="75"/>
        <v>0</v>
      </c>
      <c r="AC443">
        <f t="shared" si="76"/>
        <v>0</v>
      </c>
      <c r="AD443">
        <f t="shared" si="77"/>
        <v>0</v>
      </c>
      <c r="AE443">
        <f t="shared" si="78"/>
        <v>0</v>
      </c>
      <c r="AF443">
        <f t="shared" si="79"/>
        <v>0</v>
      </c>
      <c r="AG443">
        <f t="shared" si="80"/>
        <v>0</v>
      </c>
      <c r="AH443" t="s">
        <v>614</v>
      </c>
      <c r="AI443" t="s">
        <v>772</v>
      </c>
      <c r="AJ443" t="s">
        <v>773</v>
      </c>
    </row>
    <row r="444" spans="1:36" x14ac:dyDescent="0.2">
      <c r="A444" t="s">
        <v>225</v>
      </c>
      <c r="B444" t="s">
        <v>428</v>
      </c>
      <c r="C444" t="s">
        <v>37</v>
      </c>
      <c r="D444" t="s">
        <v>799</v>
      </c>
      <c r="E444" s="6" t="s">
        <v>28</v>
      </c>
      <c r="F444" s="6">
        <v>0.6</v>
      </c>
      <c r="G444" s="6" t="s">
        <v>22</v>
      </c>
      <c r="H444" s="6">
        <v>0.4</v>
      </c>
      <c r="I444" t="s">
        <v>800</v>
      </c>
      <c r="J444" t="s">
        <v>801</v>
      </c>
      <c r="L444" t="s">
        <v>46</v>
      </c>
      <c r="M444">
        <v>1.3</v>
      </c>
      <c r="N444">
        <v>0.5</v>
      </c>
      <c r="P444" t="s">
        <v>2134</v>
      </c>
      <c r="Q444">
        <v>3</v>
      </c>
      <c r="R444" t="s">
        <v>2135</v>
      </c>
      <c r="S444">
        <v>3</v>
      </c>
      <c r="U444" t="s">
        <v>66</v>
      </c>
      <c r="V444" t="s">
        <v>80</v>
      </c>
      <c r="W444" t="s">
        <v>218</v>
      </c>
      <c r="X444" t="s">
        <v>2136</v>
      </c>
      <c r="Y444">
        <f t="shared" si="72"/>
        <v>0</v>
      </c>
      <c r="Z444">
        <f t="shared" si="73"/>
        <v>0</v>
      </c>
      <c r="AA444">
        <f t="shared" si="74"/>
        <v>0.8</v>
      </c>
      <c r="AB444">
        <f t="shared" si="75"/>
        <v>0</v>
      </c>
      <c r="AC444">
        <f t="shared" si="76"/>
        <v>0</v>
      </c>
      <c r="AD444">
        <f t="shared" si="77"/>
        <v>1.2</v>
      </c>
      <c r="AE444">
        <f t="shared" si="78"/>
        <v>0</v>
      </c>
      <c r="AF444">
        <f t="shared" si="79"/>
        <v>0</v>
      </c>
      <c r="AG444">
        <f t="shared" si="80"/>
        <v>0</v>
      </c>
      <c r="AH444" t="s">
        <v>614</v>
      </c>
      <c r="AI444" t="s">
        <v>772</v>
      </c>
      <c r="AJ444" t="s">
        <v>773</v>
      </c>
    </row>
    <row r="445" spans="1:36" x14ac:dyDescent="0.2">
      <c r="A445" t="s">
        <v>225</v>
      </c>
      <c r="B445" t="s">
        <v>428</v>
      </c>
      <c r="C445" t="s">
        <v>37</v>
      </c>
      <c r="D445" t="s">
        <v>799</v>
      </c>
      <c r="E445" s="6" t="s">
        <v>28</v>
      </c>
      <c r="F445" s="6">
        <v>0.6</v>
      </c>
      <c r="G445" s="6" t="s">
        <v>22</v>
      </c>
      <c r="H445" s="6">
        <v>0.4</v>
      </c>
      <c r="I445" t="s">
        <v>800</v>
      </c>
      <c r="J445" t="s">
        <v>801</v>
      </c>
      <c r="L445" t="s">
        <v>46</v>
      </c>
      <c r="M445">
        <v>1.3</v>
      </c>
      <c r="N445">
        <v>0.5</v>
      </c>
      <c r="P445" t="s">
        <v>2137</v>
      </c>
      <c r="Q445">
        <v>4</v>
      </c>
      <c r="R445" t="s">
        <v>2138</v>
      </c>
      <c r="S445">
        <v>4</v>
      </c>
      <c r="U445" t="s">
        <v>66</v>
      </c>
      <c r="V445" t="s">
        <v>80</v>
      </c>
      <c r="W445" t="s">
        <v>218</v>
      </c>
      <c r="X445" t="s">
        <v>2139</v>
      </c>
      <c r="Y445">
        <f t="shared" si="72"/>
        <v>0</v>
      </c>
      <c r="Z445">
        <f t="shared" si="73"/>
        <v>0</v>
      </c>
      <c r="AA445">
        <f t="shared" si="74"/>
        <v>1.2000000000000002</v>
      </c>
      <c r="AB445">
        <f t="shared" si="75"/>
        <v>0</v>
      </c>
      <c r="AC445">
        <f t="shared" si="76"/>
        <v>0</v>
      </c>
      <c r="AD445">
        <f t="shared" si="77"/>
        <v>1.7999999999999998</v>
      </c>
      <c r="AE445">
        <f t="shared" si="78"/>
        <v>0</v>
      </c>
      <c r="AF445">
        <f t="shared" si="79"/>
        <v>0</v>
      </c>
      <c r="AG445">
        <f t="shared" si="80"/>
        <v>0</v>
      </c>
      <c r="AH445" t="s">
        <v>614</v>
      </c>
      <c r="AI445" t="s">
        <v>772</v>
      </c>
      <c r="AJ445" t="s">
        <v>773</v>
      </c>
    </row>
    <row r="446" spans="1:36" x14ac:dyDescent="0.2">
      <c r="A446" t="s">
        <v>225</v>
      </c>
      <c r="B446" t="s">
        <v>429</v>
      </c>
      <c r="C446" t="s">
        <v>39</v>
      </c>
      <c r="D446" t="s">
        <v>799</v>
      </c>
      <c r="E446" s="6" t="s">
        <v>20</v>
      </c>
      <c r="F446" s="6">
        <v>1</v>
      </c>
      <c r="I446" t="s">
        <v>802</v>
      </c>
      <c r="J446" t="s">
        <v>803</v>
      </c>
      <c r="L446" t="s">
        <v>48</v>
      </c>
      <c r="M446">
        <v>1.2</v>
      </c>
      <c r="N446">
        <v>0.5</v>
      </c>
      <c r="P446" t="s">
        <v>2140</v>
      </c>
      <c r="Q446">
        <v>1</v>
      </c>
      <c r="R446" t="s">
        <v>2141</v>
      </c>
      <c r="S446">
        <v>0</v>
      </c>
      <c r="T446" t="s">
        <v>180</v>
      </c>
      <c r="U446" t="s">
        <v>57</v>
      </c>
      <c r="V446" t="s">
        <v>75</v>
      </c>
      <c r="W446" t="s">
        <v>222</v>
      </c>
      <c r="Y446">
        <f t="shared" si="72"/>
        <v>0</v>
      </c>
      <c r="Z446">
        <f t="shared" si="73"/>
        <v>0</v>
      </c>
      <c r="AA446">
        <f t="shared" si="74"/>
        <v>1.6</v>
      </c>
      <c r="AB446">
        <f t="shared" si="75"/>
        <v>0</v>
      </c>
      <c r="AC446">
        <f t="shared" si="76"/>
        <v>0</v>
      </c>
      <c r="AD446">
        <f t="shared" si="77"/>
        <v>2.4</v>
      </c>
      <c r="AE446">
        <f t="shared" si="78"/>
        <v>0</v>
      </c>
      <c r="AF446">
        <f t="shared" si="79"/>
        <v>0</v>
      </c>
      <c r="AG446">
        <f t="shared" si="80"/>
        <v>0</v>
      </c>
      <c r="AH446" t="s">
        <v>550</v>
      </c>
      <c r="AI446" t="s">
        <v>551</v>
      </c>
      <c r="AJ446" t="s">
        <v>721</v>
      </c>
    </row>
    <row r="447" spans="1:36" x14ac:dyDescent="0.2">
      <c r="A447" t="s">
        <v>225</v>
      </c>
      <c r="B447" t="s">
        <v>429</v>
      </c>
      <c r="C447" t="s">
        <v>39</v>
      </c>
      <c r="D447" t="s">
        <v>799</v>
      </c>
      <c r="E447" s="6" t="s">
        <v>20</v>
      </c>
      <c r="F447" s="6">
        <v>1</v>
      </c>
      <c r="I447" t="s">
        <v>802</v>
      </c>
      <c r="J447" t="s">
        <v>803</v>
      </c>
      <c r="L447" t="s">
        <v>48</v>
      </c>
      <c r="M447">
        <v>1.2</v>
      </c>
      <c r="N447">
        <v>0.5</v>
      </c>
      <c r="P447" t="s">
        <v>2142</v>
      </c>
      <c r="Q447">
        <v>2</v>
      </c>
      <c r="R447" t="s">
        <v>2143</v>
      </c>
      <c r="S447">
        <v>2</v>
      </c>
      <c r="U447" t="s">
        <v>57</v>
      </c>
      <c r="V447" t="s">
        <v>75</v>
      </c>
      <c r="W447" t="s">
        <v>222</v>
      </c>
      <c r="Y447">
        <f t="shared" si="72"/>
        <v>0</v>
      </c>
      <c r="Z447">
        <f t="shared" si="73"/>
        <v>0</v>
      </c>
      <c r="AA447">
        <f t="shared" si="74"/>
        <v>0</v>
      </c>
      <c r="AB447">
        <f t="shared" si="75"/>
        <v>0</v>
      </c>
      <c r="AC447">
        <f t="shared" si="76"/>
        <v>0</v>
      </c>
      <c r="AD447">
        <f t="shared" si="77"/>
        <v>0</v>
      </c>
      <c r="AE447">
        <f t="shared" si="78"/>
        <v>0</v>
      </c>
      <c r="AF447">
        <f t="shared" si="79"/>
        <v>0</v>
      </c>
      <c r="AG447">
        <f t="shared" si="80"/>
        <v>0</v>
      </c>
      <c r="AH447" t="s">
        <v>550</v>
      </c>
      <c r="AI447" t="s">
        <v>551</v>
      </c>
      <c r="AJ447" t="s">
        <v>721</v>
      </c>
    </row>
    <row r="448" spans="1:36" x14ac:dyDescent="0.2">
      <c r="A448" t="s">
        <v>225</v>
      </c>
      <c r="B448" t="s">
        <v>429</v>
      </c>
      <c r="C448" t="s">
        <v>39</v>
      </c>
      <c r="D448" t="s">
        <v>799</v>
      </c>
      <c r="E448" s="6" t="s">
        <v>20</v>
      </c>
      <c r="F448" s="6">
        <v>1</v>
      </c>
      <c r="I448" t="s">
        <v>802</v>
      </c>
      <c r="J448" t="s">
        <v>803</v>
      </c>
      <c r="L448" t="s">
        <v>48</v>
      </c>
      <c r="M448">
        <v>1.2</v>
      </c>
      <c r="N448">
        <v>0.5</v>
      </c>
      <c r="P448" t="s">
        <v>2144</v>
      </c>
      <c r="Q448">
        <v>3</v>
      </c>
      <c r="R448" t="s">
        <v>2145</v>
      </c>
      <c r="S448">
        <v>3</v>
      </c>
      <c r="U448" t="s">
        <v>62</v>
      </c>
      <c r="V448" t="s">
        <v>146</v>
      </c>
      <c r="W448" t="s">
        <v>218</v>
      </c>
      <c r="X448" t="s">
        <v>2146</v>
      </c>
      <c r="Y448">
        <f t="shared" si="72"/>
        <v>0</v>
      </c>
      <c r="Z448">
        <f t="shared" si="73"/>
        <v>2</v>
      </c>
      <c r="AA448">
        <f t="shared" si="74"/>
        <v>0</v>
      </c>
      <c r="AB448">
        <f t="shared" si="75"/>
        <v>0</v>
      </c>
      <c r="AC448">
        <f t="shared" si="76"/>
        <v>0</v>
      </c>
      <c r="AD448">
        <f t="shared" si="77"/>
        <v>0</v>
      </c>
      <c r="AE448">
        <f t="shared" si="78"/>
        <v>0</v>
      </c>
      <c r="AF448">
        <f t="shared" si="79"/>
        <v>0</v>
      </c>
      <c r="AG448">
        <f t="shared" si="80"/>
        <v>0</v>
      </c>
      <c r="AH448" t="s">
        <v>550</v>
      </c>
      <c r="AI448" t="s">
        <v>551</v>
      </c>
      <c r="AJ448" t="s">
        <v>721</v>
      </c>
    </row>
    <row r="449" spans="1:36" x14ac:dyDescent="0.2">
      <c r="A449" t="s">
        <v>225</v>
      </c>
      <c r="B449" t="s">
        <v>430</v>
      </c>
      <c r="C449" t="s">
        <v>41</v>
      </c>
      <c r="D449" t="s">
        <v>799</v>
      </c>
      <c r="E449" s="6" t="s">
        <v>22</v>
      </c>
      <c r="F449" s="6">
        <v>0.5</v>
      </c>
      <c r="G449" s="6" t="s">
        <v>30</v>
      </c>
      <c r="H449" s="6">
        <v>0.5</v>
      </c>
      <c r="I449" t="s">
        <v>804</v>
      </c>
      <c r="J449" t="s">
        <v>805</v>
      </c>
      <c r="L449" t="s">
        <v>48</v>
      </c>
      <c r="M449">
        <v>1</v>
      </c>
      <c r="P449" t="s">
        <v>2147</v>
      </c>
      <c r="Q449">
        <v>1</v>
      </c>
      <c r="R449" t="s">
        <v>2148</v>
      </c>
      <c r="S449">
        <v>0</v>
      </c>
      <c r="U449" t="s">
        <v>62</v>
      </c>
      <c r="V449" t="s">
        <v>80</v>
      </c>
      <c r="W449" t="s">
        <v>222</v>
      </c>
      <c r="Y449">
        <f t="shared" si="72"/>
        <v>0</v>
      </c>
      <c r="Z449">
        <f t="shared" si="73"/>
        <v>3</v>
      </c>
      <c r="AA449">
        <f t="shared" si="74"/>
        <v>0</v>
      </c>
      <c r="AB449">
        <f t="shared" si="75"/>
        <v>0</v>
      </c>
      <c r="AC449">
        <f t="shared" si="76"/>
        <v>0</v>
      </c>
      <c r="AD449">
        <f t="shared" si="77"/>
        <v>0</v>
      </c>
      <c r="AE449">
        <f t="shared" si="78"/>
        <v>0</v>
      </c>
      <c r="AF449">
        <f t="shared" si="79"/>
        <v>0</v>
      </c>
      <c r="AG449">
        <f t="shared" si="80"/>
        <v>0</v>
      </c>
      <c r="AH449" t="s">
        <v>561</v>
      </c>
      <c r="AI449" t="s">
        <v>587</v>
      </c>
      <c r="AJ449" t="s">
        <v>591</v>
      </c>
    </row>
    <row r="450" spans="1:36" x14ac:dyDescent="0.2">
      <c r="A450" t="s">
        <v>225</v>
      </c>
      <c r="B450" t="s">
        <v>430</v>
      </c>
      <c r="C450" t="s">
        <v>41</v>
      </c>
      <c r="D450" t="s">
        <v>799</v>
      </c>
      <c r="E450" s="6" t="s">
        <v>22</v>
      </c>
      <c r="F450" s="6">
        <v>0.5</v>
      </c>
      <c r="G450" s="6" t="s">
        <v>30</v>
      </c>
      <c r="H450" s="6">
        <v>0.5</v>
      </c>
      <c r="I450" t="s">
        <v>804</v>
      </c>
      <c r="J450" t="s">
        <v>805</v>
      </c>
      <c r="L450" t="s">
        <v>48</v>
      </c>
      <c r="M450">
        <v>1</v>
      </c>
      <c r="P450" t="s">
        <v>2149</v>
      </c>
      <c r="Q450">
        <v>2</v>
      </c>
      <c r="R450" t="s">
        <v>2150</v>
      </c>
      <c r="S450">
        <v>1</v>
      </c>
      <c r="T450" t="s">
        <v>172</v>
      </c>
      <c r="U450" t="s">
        <v>61</v>
      </c>
      <c r="V450" t="s">
        <v>80</v>
      </c>
      <c r="W450" t="s">
        <v>222</v>
      </c>
      <c r="Y450">
        <f t="shared" si="72"/>
        <v>0</v>
      </c>
      <c r="Z450">
        <f t="shared" si="73"/>
        <v>0</v>
      </c>
      <c r="AA450">
        <f t="shared" si="74"/>
        <v>0</v>
      </c>
      <c r="AB450">
        <f t="shared" si="75"/>
        <v>0</v>
      </c>
      <c r="AC450">
        <f t="shared" si="76"/>
        <v>0</v>
      </c>
      <c r="AD450">
        <f t="shared" si="77"/>
        <v>0</v>
      </c>
      <c r="AE450">
        <f t="shared" si="78"/>
        <v>0</v>
      </c>
      <c r="AF450">
        <f t="shared" si="79"/>
        <v>0</v>
      </c>
      <c r="AG450">
        <f t="shared" si="80"/>
        <v>0</v>
      </c>
      <c r="AH450" t="s">
        <v>561</v>
      </c>
      <c r="AI450" t="s">
        <v>587</v>
      </c>
      <c r="AJ450" t="s">
        <v>591</v>
      </c>
    </row>
    <row r="451" spans="1:36" x14ac:dyDescent="0.2">
      <c r="A451" t="s">
        <v>225</v>
      </c>
      <c r="B451" t="s">
        <v>430</v>
      </c>
      <c r="C451" t="s">
        <v>41</v>
      </c>
      <c r="D451" t="s">
        <v>799</v>
      </c>
      <c r="E451" s="6" t="s">
        <v>22</v>
      </c>
      <c r="F451" s="6">
        <v>0.5</v>
      </c>
      <c r="G451" s="6" t="s">
        <v>30</v>
      </c>
      <c r="H451" s="6">
        <v>0.5</v>
      </c>
      <c r="I451" t="s">
        <v>804</v>
      </c>
      <c r="J451" t="s">
        <v>805</v>
      </c>
      <c r="L451" t="s">
        <v>48</v>
      </c>
      <c r="M451">
        <v>1</v>
      </c>
      <c r="P451" t="s">
        <v>2151</v>
      </c>
      <c r="Q451">
        <v>3</v>
      </c>
      <c r="R451" t="s">
        <v>2152</v>
      </c>
      <c r="S451">
        <v>3</v>
      </c>
      <c r="U451" t="s">
        <v>62</v>
      </c>
      <c r="V451" t="s">
        <v>136</v>
      </c>
      <c r="W451" t="s">
        <v>218</v>
      </c>
      <c r="X451" t="s">
        <v>2153</v>
      </c>
      <c r="Y451">
        <f t="shared" si="72"/>
        <v>0</v>
      </c>
      <c r="Z451">
        <f t="shared" si="73"/>
        <v>0</v>
      </c>
      <c r="AA451">
        <f t="shared" si="74"/>
        <v>0.5</v>
      </c>
      <c r="AB451">
        <f t="shared" si="75"/>
        <v>0</v>
      </c>
      <c r="AC451">
        <f t="shared" si="76"/>
        <v>0</v>
      </c>
      <c r="AD451">
        <f t="shared" si="77"/>
        <v>0</v>
      </c>
      <c r="AE451">
        <f t="shared" si="78"/>
        <v>0.5</v>
      </c>
      <c r="AF451">
        <f t="shared" si="79"/>
        <v>0</v>
      </c>
      <c r="AG451">
        <f t="shared" si="80"/>
        <v>0</v>
      </c>
      <c r="AH451" t="s">
        <v>561</v>
      </c>
      <c r="AI451" t="s">
        <v>587</v>
      </c>
      <c r="AJ451" t="s">
        <v>591</v>
      </c>
    </row>
    <row r="452" spans="1:36" x14ac:dyDescent="0.2">
      <c r="A452" t="s">
        <v>225</v>
      </c>
      <c r="B452" t="s">
        <v>430</v>
      </c>
      <c r="C452" t="s">
        <v>41</v>
      </c>
      <c r="D452" t="s">
        <v>799</v>
      </c>
      <c r="E452" s="6" t="s">
        <v>22</v>
      </c>
      <c r="F452" s="6">
        <v>0.5</v>
      </c>
      <c r="G452" s="6" t="s">
        <v>30</v>
      </c>
      <c r="H452" s="6">
        <v>0.5</v>
      </c>
      <c r="I452" t="s">
        <v>804</v>
      </c>
      <c r="J452" t="s">
        <v>805</v>
      </c>
      <c r="L452" t="s">
        <v>48</v>
      </c>
      <c r="M452">
        <v>1</v>
      </c>
      <c r="P452" t="s">
        <v>2154</v>
      </c>
      <c r="Q452">
        <v>4</v>
      </c>
      <c r="R452" t="s">
        <v>2155</v>
      </c>
      <c r="S452">
        <v>4</v>
      </c>
      <c r="U452" t="s">
        <v>62</v>
      </c>
      <c r="V452" t="s">
        <v>136</v>
      </c>
      <c r="W452" t="s">
        <v>218</v>
      </c>
      <c r="X452" t="s">
        <v>2156</v>
      </c>
      <c r="Y452">
        <f t="shared" si="72"/>
        <v>0</v>
      </c>
      <c r="Z452">
        <f t="shared" si="73"/>
        <v>0</v>
      </c>
      <c r="AA452">
        <f t="shared" si="74"/>
        <v>1.5</v>
      </c>
      <c r="AB452">
        <f t="shared" si="75"/>
        <v>0</v>
      </c>
      <c r="AC452">
        <f t="shared" si="76"/>
        <v>0</v>
      </c>
      <c r="AD452">
        <f t="shared" si="77"/>
        <v>0</v>
      </c>
      <c r="AE452">
        <f t="shared" si="78"/>
        <v>1.5</v>
      </c>
      <c r="AF452">
        <f t="shared" si="79"/>
        <v>0</v>
      </c>
      <c r="AG452">
        <f t="shared" si="80"/>
        <v>0</v>
      </c>
      <c r="AH452" t="s">
        <v>561</v>
      </c>
      <c r="AI452" t="s">
        <v>587</v>
      </c>
      <c r="AJ452" t="s">
        <v>591</v>
      </c>
    </row>
    <row r="453" spans="1:36" x14ac:dyDescent="0.2">
      <c r="A453" t="s">
        <v>225</v>
      </c>
      <c r="B453" t="s">
        <v>431</v>
      </c>
      <c r="C453" t="s">
        <v>37</v>
      </c>
      <c r="D453" t="s">
        <v>806</v>
      </c>
      <c r="E453" s="6" t="s">
        <v>20</v>
      </c>
      <c r="F453" s="6">
        <v>0.5</v>
      </c>
      <c r="G453" s="6" t="s">
        <v>30</v>
      </c>
      <c r="H453" s="6">
        <v>0.5</v>
      </c>
      <c r="I453" t="s">
        <v>807</v>
      </c>
      <c r="J453" t="s">
        <v>808</v>
      </c>
      <c r="L453" t="s">
        <v>48</v>
      </c>
      <c r="M453">
        <v>1</v>
      </c>
      <c r="P453" t="s">
        <v>2157</v>
      </c>
      <c r="Q453">
        <v>1</v>
      </c>
      <c r="R453" t="s">
        <v>2158</v>
      </c>
      <c r="S453">
        <v>0</v>
      </c>
      <c r="T453" t="s">
        <v>172</v>
      </c>
      <c r="U453" t="s">
        <v>61</v>
      </c>
      <c r="V453" t="s">
        <v>132</v>
      </c>
      <c r="W453" t="s">
        <v>222</v>
      </c>
      <c r="Y453">
        <f t="shared" si="72"/>
        <v>0</v>
      </c>
      <c r="Z453">
        <f t="shared" si="73"/>
        <v>0</v>
      </c>
      <c r="AA453">
        <f t="shared" si="74"/>
        <v>2</v>
      </c>
      <c r="AB453">
        <f t="shared" si="75"/>
        <v>0</v>
      </c>
      <c r="AC453">
        <f t="shared" si="76"/>
        <v>0</v>
      </c>
      <c r="AD453">
        <f t="shared" si="77"/>
        <v>0</v>
      </c>
      <c r="AE453">
        <f t="shared" si="78"/>
        <v>2</v>
      </c>
      <c r="AF453">
        <f t="shared" si="79"/>
        <v>0</v>
      </c>
      <c r="AG453">
        <f t="shared" si="80"/>
        <v>0</v>
      </c>
      <c r="AH453" t="s">
        <v>749</v>
      </c>
      <c r="AI453" t="s">
        <v>750</v>
      </c>
      <c r="AJ453" t="s">
        <v>751</v>
      </c>
    </row>
    <row r="454" spans="1:36" x14ac:dyDescent="0.2">
      <c r="A454" t="s">
        <v>225</v>
      </c>
      <c r="B454" t="s">
        <v>431</v>
      </c>
      <c r="C454" t="s">
        <v>37</v>
      </c>
      <c r="D454" t="s">
        <v>806</v>
      </c>
      <c r="E454" s="6" t="s">
        <v>20</v>
      </c>
      <c r="F454" s="6">
        <v>0.5</v>
      </c>
      <c r="G454" s="6" t="s">
        <v>30</v>
      </c>
      <c r="H454" s="6">
        <v>0.5</v>
      </c>
      <c r="I454" t="s">
        <v>807</v>
      </c>
      <c r="J454" t="s">
        <v>808</v>
      </c>
      <c r="L454" t="s">
        <v>48</v>
      </c>
      <c r="M454">
        <v>1</v>
      </c>
      <c r="P454" t="s">
        <v>2159</v>
      </c>
      <c r="Q454">
        <v>2</v>
      </c>
      <c r="R454" t="s">
        <v>2160</v>
      </c>
      <c r="S454">
        <v>2</v>
      </c>
      <c r="U454" t="s">
        <v>60</v>
      </c>
      <c r="V454" t="s">
        <v>132</v>
      </c>
      <c r="W454" t="s">
        <v>222</v>
      </c>
      <c r="Y454">
        <f t="shared" si="72"/>
        <v>0</v>
      </c>
      <c r="Z454">
        <f t="shared" si="73"/>
        <v>0</v>
      </c>
      <c r="AA454">
        <f t="shared" si="74"/>
        <v>0</v>
      </c>
      <c r="AB454">
        <f t="shared" si="75"/>
        <v>0</v>
      </c>
      <c r="AC454">
        <f t="shared" si="76"/>
        <v>0</v>
      </c>
      <c r="AD454">
        <f t="shared" si="77"/>
        <v>0</v>
      </c>
      <c r="AE454">
        <f t="shared" si="78"/>
        <v>0</v>
      </c>
      <c r="AF454">
        <f t="shared" si="79"/>
        <v>0</v>
      </c>
      <c r="AG454">
        <f t="shared" si="80"/>
        <v>0</v>
      </c>
      <c r="AH454" t="s">
        <v>749</v>
      </c>
      <c r="AI454" t="s">
        <v>750</v>
      </c>
      <c r="AJ454" t="s">
        <v>751</v>
      </c>
    </row>
    <row r="455" spans="1:36" x14ac:dyDescent="0.2">
      <c r="A455" t="s">
        <v>225</v>
      </c>
      <c r="B455" t="s">
        <v>431</v>
      </c>
      <c r="C455" t="s">
        <v>37</v>
      </c>
      <c r="D455" t="s">
        <v>806</v>
      </c>
      <c r="E455" s="6" t="s">
        <v>20</v>
      </c>
      <c r="F455" s="6">
        <v>0.5</v>
      </c>
      <c r="G455" s="6" t="s">
        <v>30</v>
      </c>
      <c r="H455" s="6">
        <v>0.5</v>
      </c>
      <c r="I455" t="s">
        <v>807</v>
      </c>
      <c r="J455" t="s">
        <v>808</v>
      </c>
      <c r="L455" t="s">
        <v>48</v>
      </c>
      <c r="M455">
        <v>1</v>
      </c>
      <c r="P455" t="s">
        <v>2161</v>
      </c>
      <c r="Q455">
        <v>3</v>
      </c>
      <c r="R455" t="s">
        <v>2162</v>
      </c>
      <c r="S455">
        <v>3</v>
      </c>
      <c r="U455" t="s">
        <v>62</v>
      </c>
      <c r="V455" t="s">
        <v>132</v>
      </c>
      <c r="W455" t="s">
        <v>218</v>
      </c>
      <c r="X455" t="s">
        <v>2163</v>
      </c>
      <c r="Y455">
        <f t="shared" si="72"/>
        <v>0</v>
      </c>
      <c r="Z455">
        <f t="shared" si="73"/>
        <v>1</v>
      </c>
      <c r="AA455">
        <f t="shared" si="74"/>
        <v>0</v>
      </c>
      <c r="AB455">
        <f t="shared" si="75"/>
        <v>0</v>
      </c>
      <c r="AC455">
        <f t="shared" si="76"/>
        <v>0</v>
      </c>
      <c r="AD455">
        <f t="shared" si="77"/>
        <v>0</v>
      </c>
      <c r="AE455">
        <f t="shared" si="78"/>
        <v>1</v>
      </c>
      <c r="AF455">
        <f t="shared" si="79"/>
        <v>0</v>
      </c>
      <c r="AG455">
        <f t="shared" si="80"/>
        <v>0</v>
      </c>
      <c r="AH455" t="s">
        <v>749</v>
      </c>
      <c r="AI455" t="s">
        <v>750</v>
      </c>
      <c r="AJ455" t="s">
        <v>751</v>
      </c>
    </row>
    <row r="456" spans="1:36" x14ac:dyDescent="0.2">
      <c r="A456" t="s">
        <v>225</v>
      </c>
      <c r="B456" t="s">
        <v>431</v>
      </c>
      <c r="C456" t="s">
        <v>37</v>
      </c>
      <c r="D456" t="s">
        <v>806</v>
      </c>
      <c r="E456" s="6" t="s">
        <v>20</v>
      </c>
      <c r="F456" s="6">
        <v>0.5</v>
      </c>
      <c r="G456" s="6" t="s">
        <v>30</v>
      </c>
      <c r="H456" s="6">
        <v>0.5</v>
      </c>
      <c r="I456" t="s">
        <v>807</v>
      </c>
      <c r="J456" t="s">
        <v>808</v>
      </c>
      <c r="L456" t="s">
        <v>48</v>
      </c>
      <c r="M456">
        <v>1</v>
      </c>
      <c r="P456" t="s">
        <v>2164</v>
      </c>
      <c r="Q456">
        <v>4</v>
      </c>
      <c r="R456" t="s">
        <v>2165</v>
      </c>
      <c r="S456">
        <v>4</v>
      </c>
      <c r="U456" t="s">
        <v>62</v>
      </c>
      <c r="V456" t="s">
        <v>146</v>
      </c>
      <c r="W456" t="s">
        <v>218</v>
      </c>
      <c r="X456" t="s">
        <v>2166</v>
      </c>
      <c r="Y456">
        <f t="shared" si="72"/>
        <v>0</v>
      </c>
      <c r="Z456">
        <f t="shared" si="73"/>
        <v>1.5</v>
      </c>
      <c r="AA456">
        <f t="shared" si="74"/>
        <v>0</v>
      </c>
      <c r="AB456">
        <f t="shared" si="75"/>
        <v>0</v>
      </c>
      <c r="AC456">
        <f t="shared" si="76"/>
        <v>0</v>
      </c>
      <c r="AD456">
        <f t="shared" si="77"/>
        <v>0</v>
      </c>
      <c r="AE456">
        <f t="shared" si="78"/>
        <v>1.5</v>
      </c>
      <c r="AF456">
        <f t="shared" si="79"/>
        <v>0</v>
      </c>
      <c r="AG456">
        <f t="shared" si="80"/>
        <v>0</v>
      </c>
      <c r="AH456" t="s">
        <v>749</v>
      </c>
      <c r="AI456" t="s">
        <v>750</v>
      </c>
      <c r="AJ456" t="s">
        <v>751</v>
      </c>
    </row>
    <row r="457" spans="1:36" x14ac:dyDescent="0.2">
      <c r="A457" t="s">
        <v>225</v>
      </c>
      <c r="B457" t="s">
        <v>432</v>
      </c>
      <c r="C457" t="s">
        <v>39</v>
      </c>
      <c r="D457" t="s">
        <v>806</v>
      </c>
      <c r="E457" s="6" t="s">
        <v>20</v>
      </c>
      <c r="F457" s="6">
        <v>1</v>
      </c>
      <c r="I457" t="s">
        <v>809</v>
      </c>
      <c r="J457" t="s">
        <v>810</v>
      </c>
      <c r="L457" t="s">
        <v>48</v>
      </c>
      <c r="M457">
        <v>1</v>
      </c>
      <c r="P457" t="s">
        <v>2167</v>
      </c>
      <c r="Q457">
        <v>1</v>
      </c>
      <c r="R457" t="s">
        <v>2168</v>
      </c>
      <c r="S457">
        <v>0</v>
      </c>
      <c r="U457" t="s">
        <v>62</v>
      </c>
      <c r="V457" t="s">
        <v>132</v>
      </c>
      <c r="W457" t="s">
        <v>222</v>
      </c>
      <c r="Y457">
        <f t="shared" si="72"/>
        <v>0</v>
      </c>
      <c r="Z457">
        <f t="shared" si="73"/>
        <v>2</v>
      </c>
      <c r="AA457">
        <f t="shared" si="74"/>
        <v>0</v>
      </c>
      <c r="AB457">
        <f t="shared" si="75"/>
        <v>0</v>
      </c>
      <c r="AC457">
        <f t="shared" si="76"/>
        <v>0</v>
      </c>
      <c r="AD457">
        <f t="shared" si="77"/>
        <v>0</v>
      </c>
      <c r="AE457">
        <f t="shared" si="78"/>
        <v>2</v>
      </c>
      <c r="AF457">
        <f t="shared" si="79"/>
        <v>0</v>
      </c>
      <c r="AG457">
        <f t="shared" si="80"/>
        <v>0</v>
      </c>
      <c r="AH457" t="s">
        <v>570</v>
      </c>
      <c r="AI457" t="s">
        <v>571</v>
      </c>
      <c r="AJ457" t="s">
        <v>604</v>
      </c>
    </row>
    <row r="458" spans="1:36" x14ac:dyDescent="0.2">
      <c r="A458" t="s">
        <v>225</v>
      </c>
      <c r="B458" t="s">
        <v>432</v>
      </c>
      <c r="C458" t="s">
        <v>39</v>
      </c>
      <c r="D458" t="s">
        <v>806</v>
      </c>
      <c r="E458" s="6" t="s">
        <v>20</v>
      </c>
      <c r="F458" s="6">
        <v>1</v>
      </c>
      <c r="I458" t="s">
        <v>809</v>
      </c>
      <c r="J458" t="s">
        <v>810</v>
      </c>
      <c r="L458" t="s">
        <v>48</v>
      </c>
      <c r="M458">
        <v>1</v>
      </c>
      <c r="P458" t="s">
        <v>2169</v>
      </c>
      <c r="Q458">
        <v>2</v>
      </c>
      <c r="R458" t="s">
        <v>2170</v>
      </c>
      <c r="S458">
        <v>2</v>
      </c>
      <c r="T458" t="s">
        <v>174</v>
      </c>
      <c r="U458" t="s">
        <v>63</v>
      </c>
      <c r="V458" t="s">
        <v>84</v>
      </c>
      <c r="W458" t="s">
        <v>222</v>
      </c>
      <c r="Y458">
        <f t="shared" si="72"/>
        <v>0</v>
      </c>
      <c r="Z458">
        <f t="shared" si="73"/>
        <v>0</v>
      </c>
      <c r="AA458">
        <f t="shared" si="74"/>
        <v>0</v>
      </c>
      <c r="AB458">
        <f t="shared" si="75"/>
        <v>0</v>
      </c>
      <c r="AC458">
        <f t="shared" si="76"/>
        <v>0</v>
      </c>
      <c r="AD458">
        <f t="shared" si="77"/>
        <v>0</v>
      </c>
      <c r="AE458">
        <f t="shared" si="78"/>
        <v>0</v>
      </c>
      <c r="AF458">
        <f t="shared" si="79"/>
        <v>0</v>
      </c>
      <c r="AG458">
        <f t="shared" si="80"/>
        <v>0</v>
      </c>
      <c r="AH458" t="s">
        <v>570</v>
      </c>
      <c r="AI458" t="s">
        <v>571</v>
      </c>
      <c r="AJ458" t="s">
        <v>604</v>
      </c>
    </row>
    <row r="459" spans="1:36" x14ac:dyDescent="0.2">
      <c r="A459" t="s">
        <v>225</v>
      </c>
      <c r="B459" t="s">
        <v>432</v>
      </c>
      <c r="C459" t="s">
        <v>39</v>
      </c>
      <c r="D459" t="s">
        <v>806</v>
      </c>
      <c r="E459" s="6" t="s">
        <v>20</v>
      </c>
      <c r="F459" s="6">
        <v>1</v>
      </c>
      <c r="I459" t="s">
        <v>809</v>
      </c>
      <c r="J459" t="s">
        <v>810</v>
      </c>
      <c r="L459" t="s">
        <v>48</v>
      </c>
      <c r="M459">
        <v>1</v>
      </c>
      <c r="P459" t="s">
        <v>2171</v>
      </c>
      <c r="Q459">
        <v>3</v>
      </c>
      <c r="R459" t="s">
        <v>2172</v>
      </c>
      <c r="S459">
        <v>3</v>
      </c>
      <c r="U459" t="s">
        <v>62</v>
      </c>
      <c r="V459" t="s">
        <v>132</v>
      </c>
      <c r="W459" t="s">
        <v>218</v>
      </c>
      <c r="X459" t="s">
        <v>2173</v>
      </c>
      <c r="Y459">
        <f t="shared" si="72"/>
        <v>0</v>
      </c>
      <c r="Z459">
        <f t="shared" si="73"/>
        <v>2</v>
      </c>
      <c r="AA459">
        <f t="shared" si="74"/>
        <v>0</v>
      </c>
      <c r="AB459">
        <f t="shared" si="75"/>
        <v>0</v>
      </c>
      <c r="AC459">
        <f t="shared" si="76"/>
        <v>0</v>
      </c>
      <c r="AD459">
        <f t="shared" si="77"/>
        <v>0</v>
      </c>
      <c r="AE459">
        <f t="shared" si="78"/>
        <v>0</v>
      </c>
      <c r="AF459">
        <f t="shared" si="79"/>
        <v>0</v>
      </c>
      <c r="AG459">
        <f t="shared" si="80"/>
        <v>0</v>
      </c>
      <c r="AH459" t="s">
        <v>570</v>
      </c>
      <c r="AI459" t="s">
        <v>571</v>
      </c>
      <c r="AJ459" t="s">
        <v>604</v>
      </c>
    </row>
    <row r="460" spans="1:36" x14ac:dyDescent="0.2">
      <c r="A460" t="s">
        <v>225</v>
      </c>
      <c r="B460" t="s">
        <v>433</v>
      </c>
      <c r="C460" t="s">
        <v>41</v>
      </c>
      <c r="D460" t="s">
        <v>806</v>
      </c>
      <c r="E460" s="6" t="s">
        <v>22</v>
      </c>
      <c r="F460" s="6">
        <v>0.5</v>
      </c>
      <c r="G460" s="6" t="s">
        <v>20</v>
      </c>
      <c r="H460" s="6">
        <v>0.5</v>
      </c>
      <c r="I460" t="s">
        <v>811</v>
      </c>
      <c r="J460" t="s">
        <v>812</v>
      </c>
      <c r="L460" t="s">
        <v>48</v>
      </c>
      <c r="M460">
        <v>1.2</v>
      </c>
      <c r="P460" t="s">
        <v>2174</v>
      </c>
      <c r="Q460">
        <v>1</v>
      </c>
      <c r="R460" t="s">
        <v>2175</v>
      </c>
      <c r="S460">
        <v>0</v>
      </c>
      <c r="T460" t="s">
        <v>172</v>
      </c>
      <c r="U460" t="s">
        <v>61</v>
      </c>
      <c r="V460" t="s">
        <v>146</v>
      </c>
      <c r="W460" t="s">
        <v>222</v>
      </c>
      <c r="Y460">
        <f t="shared" si="72"/>
        <v>0</v>
      </c>
      <c r="Z460">
        <f t="shared" si="73"/>
        <v>3</v>
      </c>
      <c r="AA460">
        <f t="shared" si="74"/>
        <v>0</v>
      </c>
      <c r="AB460">
        <f t="shared" si="75"/>
        <v>0</v>
      </c>
      <c r="AC460">
        <f t="shared" si="76"/>
        <v>0</v>
      </c>
      <c r="AD460">
        <f t="shared" si="77"/>
        <v>0</v>
      </c>
      <c r="AE460">
        <f t="shared" si="78"/>
        <v>0</v>
      </c>
      <c r="AF460">
        <f t="shared" si="79"/>
        <v>0</v>
      </c>
      <c r="AG460">
        <f t="shared" si="80"/>
        <v>0</v>
      </c>
      <c r="AH460" t="s">
        <v>599</v>
      </c>
      <c r="AI460" t="s">
        <v>640</v>
      </c>
      <c r="AJ460" t="s">
        <v>813</v>
      </c>
    </row>
    <row r="461" spans="1:36" x14ac:dyDescent="0.2">
      <c r="A461" t="s">
        <v>225</v>
      </c>
      <c r="B461" t="s">
        <v>433</v>
      </c>
      <c r="C461" t="s">
        <v>41</v>
      </c>
      <c r="D461" t="s">
        <v>806</v>
      </c>
      <c r="E461" s="6" t="s">
        <v>22</v>
      </c>
      <c r="F461" s="6">
        <v>0.5</v>
      </c>
      <c r="G461" s="6" t="s">
        <v>20</v>
      </c>
      <c r="H461" s="6">
        <v>0.5</v>
      </c>
      <c r="I461" t="s">
        <v>811</v>
      </c>
      <c r="J461" t="s">
        <v>812</v>
      </c>
      <c r="L461" t="s">
        <v>48</v>
      </c>
      <c r="M461">
        <v>1.2</v>
      </c>
      <c r="P461" t="s">
        <v>2176</v>
      </c>
      <c r="Q461">
        <v>2</v>
      </c>
      <c r="R461" t="s">
        <v>2177</v>
      </c>
      <c r="S461">
        <v>2</v>
      </c>
      <c r="U461" t="s">
        <v>60</v>
      </c>
      <c r="V461" t="s">
        <v>146</v>
      </c>
      <c r="W461" t="s">
        <v>222</v>
      </c>
      <c r="Y461">
        <f t="shared" si="72"/>
        <v>0</v>
      </c>
      <c r="Z461">
        <f t="shared" si="73"/>
        <v>0</v>
      </c>
      <c r="AA461">
        <f t="shared" si="74"/>
        <v>0</v>
      </c>
      <c r="AB461">
        <f t="shared" si="75"/>
        <v>0</v>
      </c>
      <c r="AC461">
        <f t="shared" si="76"/>
        <v>0</v>
      </c>
      <c r="AD461">
        <f t="shared" si="77"/>
        <v>0</v>
      </c>
      <c r="AE461">
        <f t="shared" si="78"/>
        <v>0</v>
      </c>
      <c r="AF461">
        <f t="shared" si="79"/>
        <v>0</v>
      </c>
      <c r="AG461">
        <f t="shared" si="80"/>
        <v>0</v>
      </c>
      <c r="AH461" t="s">
        <v>599</v>
      </c>
      <c r="AI461" t="s">
        <v>640</v>
      </c>
      <c r="AJ461" t="s">
        <v>813</v>
      </c>
    </row>
    <row r="462" spans="1:36" x14ac:dyDescent="0.2">
      <c r="A462" t="s">
        <v>225</v>
      </c>
      <c r="B462" t="s">
        <v>433</v>
      </c>
      <c r="C462" t="s">
        <v>41</v>
      </c>
      <c r="D462" t="s">
        <v>806</v>
      </c>
      <c r="E462" s="6" t="s">
        <v>22</v>
      </c>
      <c r="F462" s="6">
        <v>0.5</v>
      </c>
      <c r="G462" s="6" t="s">
        <v>20</v>
      </c>
      <c r="H462" s="6">
        <v>0.5</v>
      </c>
      <c r="I462" t="s">
        <v>811</v>
      </c>
      <c r="J462" t="s">
        <v>812</v>
      </c>
      <c r="L462" t="s">
        <v>48</v>
      </c>
      <c r="M462">
        <v>1.2</v>
      </c>
      <c r="P462" t="s">
        <v>2178</v>
      </c>
      <c r="Q462">
        <v>3</v>
      </c>
      <c r="R462" t="s">
        <v>2179</v>
      </c>
      <c r="S462">
        <v>3</v>
      </c>
      <c r="U462" t="s">
        <v>62</v>
      </c>
      <c r="V462" t="s">
        <v>146</v>
      </c>
      <c r="W462" t="s">
        <v>218</v>
      </c>
      <c r="X462" t="s">
        <v>2180</v>
      </c>
      <c r="Y462">
        <f t="shared" si="72"/>
        <v>0</v>
      </c>
      <c r="Z462">
        <f t="shared" si="73"/>
        <v>1</v>
      </c>
      <c r="AA462">
        <f t="shared" si="74"/>
        <v>1</v>
      </c>
      <c r="AB462">
        <f t="shared" si="75"/>
        <v>0</v>
      </c>
      <c r="AC462">
        <f t="shared" si="76"/>
        <v>0</v>
      </c>
      <c r="AD462">
        <f t="shared" si="77"/>
        <v>0</v>
      </c>
      <c r="AE462">
        <f t="shared" si="78"/>
        <v>0</v>
      </c>
      <c r="AF462">
        <f t="shared" si="79"/>
        <v>0</v>
      </c>
      <c r="AG462">
        <f t="shared" si="80"/>
        <v>0</v>
      </c>
      <c r="AH462" t="s">
        <v>599</v>
      </c>
      <c r="AI462" t="s">
        <v>640</v>
      </c>
      <c r="AJ462" t="s">
        <v>813</v>
      </c>
    </row>
    <row r="463" spans="1:36" x14ac:dyDescent="0.2">
      <c r="A463" t="s">
        <v>225</v>
      </c>
      <c r="B463" t="s">
        <v>433</v>
      </c>
      <c r="C463" t="s">
        <v>41</v>
      </c>
      <c r="D463" t="s">
        <v>806</v>
      </c>
      <c r="E463" s="6" t="s">
        <v>22</v>
      </c>
      <c r="F463" s="6">
        <v>0.5</v>
      </c>
      <c r="G463" s="6" t="s">
        <v>20</v>
      </c>
      <c r="H463" s="6">
        <v>0.5</v>
      </c>
      <c r="I463" t="s">
        <v>811</v>
      </c>
      <c r="J463" t="s">
        <v>812</v>
      </c>
      <c r="L463" t="s">
        <v>48</v>
      </c>
      <c r="M463">
        <v>1.2</v>
      </c>
      <c r="P463" t="s">
        <v>2181</v>
      </c>
      <c r="Q463">
        <v>4</v>
      </c>
      <c r="R463" t="s">
        <v>2182</v>
      </c>
      <c r="S463">
        <v>4</v>
      </c>
      <c r="U463" t="s">
        <v>62</v>
      </c>
      <c r="V463" t="s">
        <v>146</v>
      </c>
      <c r="W463" t="s">
        <v>218</v>
      </c>
      <c r="X463" t="s">
        <v>2183</v>
      </c>
      <c r="Y463">
        <f t="shared" si="72"/>
        <v>0</v>
      </c>
      <c r="Z463">
        <f t="shared" si="73"/>
        <v>1.5</v>
      </c>
      <c r="AA463">
        <f t="shared" si="74"/>
        <v>1.5</v>
      </c>
      <c r="AB463">
        <f t="shared" si="75"/>
        <v>0</v>
      </c>
      <c r="AC463">
        <f t="shared" si="76"/>
        <v>0</v>
      </c>
      <c r="AD463">
        <f t="shared" si="77"/>
        <v>0</v>
      </c>
      <c r="AE463">
        <f t="shared" si="78"/>
        <v>0</v>
      </c>
      <c r="AF463">
        <f t="shared" si="79"/>
        <v>0</v>
      </c>
      <c r="AG463">
        <f t="shared" si="80"/>
        <v>0</v>
      </c>
      <c r="AH463" t="s">
        <v>599</v>
      </c>
      <c r="AI463" t="s">
        <v>640</v>
      </c>
      <c r="AJ463" t="s">
        <v>813</v>
      </c>
    </row>
    <row r="464" spans="1:36" x14ac:dyDescent="0.2">
      <c r="A464" t="s">
        <v>229</v>
      </c>
      <c r="B464" t="s">
        <v>434</v>
      </c>
      <c r="C464" t="s">
        <v>37</v>
      </c>
      <c r="D464" t="s">
        <v>858</v>
      </c>
      <c r="E464" s="6" t="s">
        <v>24</v>
      </c>
      <c r="F464" s="6">
        <v>0.8</v>
      </c>
      <c r="G464" s="6" t="s">
        <v>18</v>
      </c>
      <c r="H464" s="6">
        <v>0.2</v>
      </c>
      <c r="I464" t="s">
        <v>859</v>
      </c>
      <c r="J464" t="s">
        <v>860</v>
      </c>
      <c r="L464" t="s">
        <v>52</v>
      </c>
      <c r="M464">
        <v>1.5</v>
      </c>
      <c r="N464">
        <v>0.5</v>
      </c>
      <c r="P464" t="s">
        <v>2440</v>
      </c>
      <c r="Q464">
        <v>1</v>
      </c>
      <c r="R464" t="s">
        <v>1017</v>
      </c>
      <c r="S464">
        <v>0</v>
      </c>
      <c r="T464" t="s">
        <v>273</v>
      </c>
      <c r="U464" t="s">
        <v>65</v>
      </c>
      <c r="V464" t="s">
        <v>2441</v>
      </c>
      <c r="W464" t="s">
        <v>222</v>
      </c>
      <c r="Y464">
        <f t="shared" si="72"/>
        <v>0</v>
      </c>
      <c r="Z464">
        <f t="shared" si="73"/>
        <v>2</v>
      </c>
      <c r="AA464">
        <f t="shared" si="74"/>
        <v>2</v>
      </c>
      <c r="AB464">
        <f t="shared" si="75"/>
        <v>0</v>
      </c>
      <c r="AC464">
        <f t="shared" si="76"/>
        <v>0</v>
      </c>
      <c r="AD464">
        <f t="shared" si="77"/>
        <v>0</v>
      </c>
      <c r="AE464">
        <f t="shared" si="78"/>
        <v>0</v>
      </c>
      <c r="AF464">
        <f t="shared" si="79"/>
        <v>0</v>
      </c>
      <c r="AG464">
        <f t="shared" si="80"/>
        <v>0</v>
      </c>
      <c r="AH464" t="s">
        <v>570</v>
      </c>
      <c r="AI464" t="s">
        <v>571</v>
      </c>
      <c r="AJ464" t="s">
        <v>572</v>
      </c>
    </row>
    <row r="465" spans="1:36" x14ac:dyDescent="0.2">
      <c r="A465" t="s">
        <v>229</v>
      </c>
      <c r="B465" t="s">
        <v>434</v>
      </c>
      <c r="C465" t="s">
        <v>37</v>
      </c>
      <c r="D465" t="s">
        <v>858</v>
      </c>
      <c r="E465" s="6" t="s">
        <v>24</v>
      </c>
      <c r="F465" s="6">
        <v>0.8</v>
      </c>
      <c r="G465" s="6" t="s">
        <v>18</v>
      </c>
      <c r="H465" s="6">
        <v>0.2</v>
      </c>
      <c r="I465" t="s">
        <v>859</v>
      </c>
      <c r="J465" t="s">
        <v>860</v>
      </c>
      <c r="L465" t="s">
        <v>52</v>
      </c>
      <c r="M465">
        <v>1.5</v>
      </c>
      <c r="N465">
        <v>0.5</v>
      </c>
      <c r="P465" t="s">
        <v>2442</v>
      </c>
      <c r="Q465">
        <v>2</v>
      </c>
      <c r="R465" t="s">
        <v>2443</v>
      </c>
      <c r="S465">
        <v>0</v>
      </c>
      <c r="T465" t="s">
        <v>2444</v>
      </c>
      <c r="U465" t="s">
        <v>59</v>
      </c>
      <c r="V465" t="s">
        <v>2445</v>
      </c>
      <c r="W465" t="s">
        <v>222</v>
      </c>
      <c r="Y465">
        <f t="shared" si="72"/>
        <v>0</v>
      </c>
      <c r="Z465">
        <f t="shared" si="73"/>
        <v>0</v>
      </c>
      <c r="AA465">
        <f t="shared" si="74"/>
        <v>0</v>
      </c>
      <c r="AB465">
        <f t="shared" si="75"/>
        <v>0</v>
      </c>
      <c r="AC465">
        <f t="shared" si="76"/>
        <v>0</v>
      </c>
      <c r="AD465">
        <f t="shared" si="77"/>
        <v>0</v>
      </c>
      <c r="AE465">
        <f t="shared" si="78"/>
        <v>0</v>
      </c>
      <c r="AF465">
        <f t="shared" si="79"/>
        <v>0</v>
      </c>
      <c r="AG465">
        <f t="shared" si="80"/>
        <v>0</v>
      </c>
      <c r="AH465" t="s">
        <v>570</v>
      </c>
      <c r="AI465" t="s">
        <v>571</v>
      </c>
      <c r="AJ465" t="s">
        <v>572</v>
      </c>
    </row>
    <row r="466" spans="1:36" x14ac:dyDescent="0.2">
      <c r="A466" t="s">
        <v>229</v>
      </c>
      <c r="B466" t="s">
        <v>434</v>
      </c>
      <c r="C466" t="s">
        <v>37</v>
      </c>
      <c r="D466" t="s">
        <v>858</v>
      </c>
      <c r="E466" s="6" t="s">
        <v>24</v>
      </c>
      <c r="F466" s="6">
        <v>0.8</v>
      </c>
      <c r="G466" s="6" t="s">
        <v>18</v>
      </c>
      <c r="H466" s="6">
        <v>0.2</v>
      </c>
      <c r="I466" t="s">
        <v>859</v>
      </c>
      <c r="J466" t="s">
        <v>860</v>
      </c>
      <c r="L466" t="s">
        <v>52</v>
      </c>
      <c r="M466">
        <v>1.5</v>
      </c>
      <c r="N466">
        <v>0.5</v>
      </c>
      <c r="P466" t="s">
        <v>2446</v>
      </c>
      <c r="Q466">
        <v>3</v>
      </c>
      <c r="R466" t="s">
        <v>2447</v>
      </c>
      <c r="S466">
        <v>1</v>
      </c>
      <c r="T466" t="s">
        <v>172</v>
      </c>
      <c r="U466" t="s">
        <v>61</v>
      </c>
      <c r="V466" t="s">
        <v>2448</v>
      </c>
      <c r="W466" t="s">
        <v>222</v>
      </c>
      <c r="Y466">
        <f t="shared" si="72"/>
        <v>0</v>
      </c>
      <c r="Z466">
        <f t="shared" si="73"/>
        <v>0</v>
      </c>
      <c r="AA466">
        <f t="shared" si="74"/>
        <v>0</v>
      </c>
      <c r="AB466">
        <f t="shared" si="75"/>
        <v>0</v>
      </c>
      <c r="AC466">
        <f t="shared" si="76"/>
        <v>0</v>
      </c>
      <c r="AD466">
        <f t="shared" si="77"/>
        <v>0</v>
      </c>
      <c r="AE466">
        <f t="shared" si="78"/>
        <v>0</v>
      </c>
      <c r="AF466">
        <f t="shared" si="79"/>
        <v>0</v>
      </c>
      <c r="AG466">
        <f t="shared" si="80"/>
        <v>0</v>
      </c>
      <c r="AH466" t="s">
        <v>570</v>
      </c>
      <c r="AI466" t="s">
        <v>571</v>
      </c>
      <c r="AJ466" t="s">
        <v>572</v>
      </c>
    </row>
    <row r="467" spans="1:36" x14ac:dyDescent="0.2">
      <c r="A467" t="s">
        <v>229</v>
      </c>
      <c r="B467" t="s">
        <v>434</v>
      </c>
      <c r="C467" t="s">
        <v>37</v>
      </c>
      <c r="D467" t="s">
        <v>858</v>
      </c>
      <c r="E467" s="6" t="s">
        <v>24</v>
      </c>
      <c r="F467" s="6">
        <v>0.8</v>
      </c>
      <c r="G467" s="6" t="s">
        <v>18</v>
      </c>
      <c r="H467" s="6">
        <v>0.2</v>
      </c>
      <c r="I467" t="s">
        <v>859</v>
      </c>
      <c r="J467" t="s">
        <v>860</v>
      </c>
      <c r="L467" t="s">
        <v>52</v>
      </c>
      <c r="M467">
        <v>1.5</v>
      </c>
      <c r="N467">
        <v>0.5</v>
      </c>
      <c r="P467" t="s">
        <v>2449</v>
      </c>
      <c r="Q467">
        <v>4</v>
      </c>
      <c r="R467" t="s">
        <v>2450</v>
      </c>
      <c r="S467">
        <v>3</v>
      </c>
      <c r="U467" t="s">
        <v>60</v>
      </c>
      <c r="V467" t="s">
        <v>2451</v>
      </c>
      <c r="W467" t="s">
        <v>222</v>
      </c>
      <c r="Y467">
        <f t="shared" si="72"/>
        <v>0.2</v>
      </c>
      <c r="Z467">
        <f t="shared" si="73"/>
        <v>0</v>
      </c>
      <c r="AA467">
        <f t="shared" si="74"/>
        <v>0</v>
      </c>
      <c r="AB467">
        <f t="shared" si="75"/>
        <v>0.8</v>
      </c>
      <c r="AC467">
        <f t="shared" si="76"/>
        <v>0</v>
      </c>
      <c r="AD467">
        <f t="shared" si="77"/>
        <v>0</v>
      </c>
      <c r="AE467">
        <f t="shared" si="78"/>
        <v>0</v>
      </c>
      <c r="AF467">
        <f t="shared" si="79"/>
        <v>0</v>
      </c>
      <c r="AG467">
        <f t="shared" si="80"/>
        <v>0</v>
      </c>
      <c r="AH467" t="s">
        <v>570</v>
      </c>
      <c r="AI467" t="s">
        <v>571</v>
      </c>
      <c r="AJ467" t="s">
        <v>572</v>
      </c>
    </row>
    <row r="468" spans="1:36" x14ac:dyDescent="0.2">
      <c r="A468" t="s">
        <v>229</v>
      </c>
      <c r="B468" t="s">
        <v>434</v>
      </c>
      <c r="C468" t="s">
        <v>37</v>
      </c>
      <c r="D468" t="s">
        <v>858</v>
      </c>
      <c r="E468" s="6" t="s">
        <v>24</v>
      </c>
      <c r="F468" s="6">
        <v>0.8</v>
      </c>
      <c r="G468" s="6" t="s">
        <v>18</v>
      </c>
      <c r="H468" s="6">
        <v>0.2</v>
      </c>
      <c r="I468" t="s">
        <v>859</v>
      </c>
      <c r="J468" t="s">
        <v>860</v>
      </c>
      <c r="L468" t="s">
        <v>52</v>
      </c>
      <c r="M468">
        <v>1.5</v>
      </c>
      <c r="N468">
        <v>0.5</v>
      </c>
      <c r="P468" t="s">
        <v>2452</v>
      </c>
      <c r="Q468">
        <v>5</v>
      </c>
      <c r="R468" t="s">
        <v>2453</v>
      </c>
      <c r="S468">
        <v>4</v>
      </c>
      <c r="V468" t="s">
        <v>2454</v>
      </c>
      <c r="W468" t="s">
        <v>222</v>
      </c>
      <c r="Y468">
        <f t="shared" si="72"/>
        <v>0.60000000000000009</v>
      </c>
      <c r="Z468">
        <f t="shared" si="73"/>
        <v>0</v>
      </c>
      <c r="AA468">
        <f t="shared" si="74"/>
        <v>0</v>
      </c>
      <c r="AB468">
        <f t="shared" si="75"/>
        <v>2.4000000000000004</v>
      </c>
      <c r="AC468">
        <f t="shared" si="76"/>
        <v>0</v>
      </c>
      <c r="AD468">
        <f t="shared" si="77"/>
        <v>0</v>
      </c>
      <c r="AE468">
        <f t="shared" si="78"/>
        <v>0</v>
      </c>
      <c r="AF468">
        <f t="shared" si="79"/>
        <v>0</v>
      </c>
      <c r="AG468">
        <f t="shared" si="80"/>
        <v>0</v>
      </c>
      <c r="AH468" t="s">
        <v>570</v>
      </c>
      <c r="AI468" t="s">
        <v>571</v>
      </c>
      <c r="AJ468" t="s">
        <v>572</v>
      </c>
    </row>
    <row r="469" spans="1:36" x14ac:dyDescent="0.2">
      <c r="A469" t="s">
        <v>229</v>
      </c>
      <c r="B469" t="s">
        <v>436</v>
      </c>
      <c r="C469" t="s">
        <v>39</v>
      </c>
      <c r="D469" t="s">
        <v>858</v>
      </c>
      <c r="E469" s="6" t="s">
        <v>24</v>
      </c>
      <c r="F469" s="6">
        <v>0.5</v>
      </c>
      <c r="G469" s="6" t="s">
        <v>26</v>
      </c>
      <c r="H469" s="6">
        <v>0.5</v>
      </c>
      <c r="I469" t="s">
        <v>861</v>
      </c>
      <c r="J469" t="s">
        <v>862</v>
      </c>
      <c r="L469" t="s">
        <v>52</v>
      </c>
      <c r="M469">
        <v>1</v>
      </c>
      <c r="P469" t="s">
        <v>2455</v>
      </c>
      <c r="Q469">
        <v>2</v>
      </c>
      <c r="R469" t="s">
        <v>2456</v>
      </c>
      <c r="S469">
        <v>1</v>
      </c>
      <c r="T469" t="s">
        <v>2457</v>
      </c>
      <c r="U469" t="s">
        <v>65</v>
      </c>
      <c r="W469" t="s">
        <v>222</v>
      </c>
      <c r="Y469">
        <f t="shared" si="72"/>
        <v>0.8</v>
      </c>
      <c r="Z469">
        <f t="shared" si="73"/>
        <v>0</v>
      </c>
      <c r="AA469">
        <f t="shared" si="74"/>
        <v>0</v>
      </c>
      <c r="AB469">
        <f t="shared" si="75"/>
        <v>3.2</v>
      </c>
      <c r="AC469">
        <f t="shared" si="76"/>
        <v>0</v>
      </c>
      <c r="AD469">
        <f t="shared" si="77"/>
        <v>0</v>
      </c>
      <c r="AE469">
        <f t="shared" si="78"/>
        <v>0</v>
      </c>
      <c r="AF469">
        <f t="shared" si="79"/>
        <v>0</v>
      </c>
      <c r="AG469">
        <f t="shared" si="80"/>
        <v>0</v>
      </c>
      <c r="AH469" t="s">
        <v>570</v>
      </c>
      <c r="AI469" t="s">
        <v>607</v>
      </c>
      <c r="AJ469" t="s">
        <v>608</v>
      </c>
    </row>
    <row r="470" spans="1:36" x14ac:dyDescent="0.2">
      <c r="A470" t="s">
        <v>229</v>
      </c>
      <c r="B470" t="s">
        <v>436</v>
      </c>
      <c r="C470" t="s">
        <v>39</v>
      </c>
      <c r="D470" t="s">
        <v>858</v>
      </c>
      <c r="E470" s="6" t="s">
        <v>24</v>
      </c>
      <c r="F470" s="6">
        <v>0.5</v>
      </c>
      <c r="G470" s="6" t="s">
        <v>26</v>
      </c>
      <c r="H470" s="6">
        <v>0.5</v>
      </c>
      <c r="I470" t="s">
        <v>861</v>
      </c>
      <c r="J470" t="s">
        <v>862</v>
      </c>
      <c r="L470" t="s">
        <v>52</v>
      </c>
      <c r="M470">
        <v>1</v>
      </c>
      <c r="P470" t="s">
        <v>2458</v>
      </c>
      <c r="Q470">
        <v>1</v>
      </c>
      <c r="R470" t="s">
        <v>2459</v>
      </c>
      <c r="S470">
        <v>0</v>
      </c>
      <c r="T470" t="s">
        <v>2460</v>
      </c>
      <c r="U470" t="s">
        <v>59</v>
      </c>
      <c r="V470" t="s">
        <v>2461</v>
      </c>
      <c r="W470" t="s">
        <v>222</v>
      </c>
      <c r="Y470">
        <f t="shared" si="72"/>
        <v>0</v>
      </c>
      <c r="Z470">
        <f t="shared" si="73"/>
        <v>0</v>
      </c>
      <c r="AA470">
        <f t="shared" si="74"/>
        <v>0</v>
      </c>
      <c r="AB470">
        <f t="shared" si="75"/>
        <v>0.5</v>
      </c>
      <c r="AC470">
        <f t="shared" si="76"/>
        <v>0.5</v>
      </c>
      <c r="AD470">
        <f t="shared" si="77"/>
        <v>0</v>
      </c>
      <c r="AE470">
        <f t="shared" si="78"/>
        <v>0</v>
      </c>
      <c r="AF470">
        <f t="shared" si="79"/>
        <v>0</v>
      </c>
      <c r="AG470">
        <f t="shared" si="80"/>
        <v>0</v>
      </c>
      <c r="AH470" t="s">
        <v>570</v>
      </c>
      <c r="AI470" t="s">
        <v>607</v>
      </c>
      <c r="AJ470" t="s">
        <v>608</v>
      </c>
    </row>
    <row r="471" spans="1:36" x14ac:dyDescent="0.2">
      <c r="A471" t="s">
        <v>229</v>
      </c>
      <c r="B471" t="s">
        <v>436</v>
      </c>
      <c r="C471" t="s">
        <v>39</v>
      </c>
      <c r="D471" t="s">
        <v>858</v>
      </c>
      <c r="E471" s="6" t="s">
        <v>24</v>
      </c>
      <c r="F471" s="6">
        <v>0.5</v>
      </c>
      <c r="G471" s="6" t="s">
        <v>26</v>
      </c>
      <c r="H471" s="6">
        <v>0.5</v>
      </c>
      <c r="I471" t="s">
        <v>861</v>
      </c>
      <c r="J471" t="s">
        <v>862</v>
      </c>
      <c r="L471" t="s">
        <v>52</v>
      </c>
      <c r="M471">
        <v>1</v>
      </c>
      <c r="P471" t="s">
        <v>2462</v>
      </c>
      <c r="Q471">
        <v>3</v>
      </c>
      <c r="R471" t="s">
        <v>2463</v>
      </c>
      <c r="S471">
        <v>2</v>
      </c>
      <c r="T471" t="s">
        <v>174</v>
      </c>
      <c r="U471" t="s">
        <v>60</v>
      </c>
      <c r="V471" t="s">
        <v>2464</v>
      </c>
      <c r="W471" t="s">
        <v>222</v>
      </c>
      <c r="Y471">
        <f t="shared" si="72"/>
        <v>0</v>
      </c>
      <c r="Z471">
        <f t="shared" si="73"/>
        <v>0</v>
      </c>
      <c r="AA471">
        <f t="shared" si="74"/>
        <v>0</v>
      </c>
      <c r="AB471">
        <f t="shared" si="75"/>
        <v>0</v>
      </c>
      <c r="AC471">
        <f t="shared" si="76"/>
        <v>0</v>
      </c>
      <c r="AD471">
        <f t="shared" si="77"/>
        <v>0</v>
      </c>
      <c r="AE471">
        <f t="shared" si="78"/>
        <v>0</v>
      </c>
      <c r="AF471">
        <f t="shared" si="79"/>
        <v>0</v>
      </c>
      <c r="AG471">
        <f t="shared" si="80"/>
        <v>0</v>
      </c>
      <c r="AH471" t="s">
        <v>570</v>
      </c>
      <c r="AI471" t="s">
        <v>607</v>
      </c>
      <c r="AJ471" t="s">
        <v>608</v>
      </c>
    </row>
    <row r="472" spans="1:36" x14ac:dyDescent="0.2">
      <c r="A472" t="s">
        <v>229</v>
      </c>
      <c r="B472" t="s">
        <v>436</v>
      </c>
      <c r="C472" t="s">
        <v>39</v>
      </c>
      <c r="D472" t="s">
        <v>858</v>
      </c>
      <c r="E472" s="6" t="s">
        <v>24</v>
      </c>
      <c r="F472" s="6">
        <v>0.5</v>
      </c>
      <c r="G472" s="6" t="s">
        <v>26</v>
      </c>
      <c r="H472" s="6">
        <v>0.5</v>
      </c>
      <c r="I472" t="s">
        <v>861</v>
      </c>
      <c r="J472" t="s">
        <v>862</v>
      </c>
      <c r="L472" t="s">
        <v>52</v>
      </c>
      <c r="M472">
        <v>1</v>
      </c>
      <c r="P472" t="s">
        <v>2465</v>
      </c>
      <c r="Q472">
        <v>4</v>
      </c>
      <c r="R472" t="s">
        <v>2466</v>
      </c>
      <c r="S472">
        <v>4</v>
      </c>
      <c r="V472" t="s">
        <v>2454</v>
      </c>
      <c r="W472" t="s">
        <v>222</v>
      </c>
      <c r="Y472">
        <f t="shared" ref="Y472:Y535" si="81">(S471*IF(E471="G",F471,0))+(S471*IF(G471="G",H471,0))</f>
        <v>0</v>
      </c>
      <c r="Z472">
        <f t="shared" ref="Z472:Z535" si="82">(S471*IF(E471="E",F471,0))+(S471*IF(G471="E",H471,0))</f>
        <v>0</v>
      </c>
      <c r="AA472">
        <f t="shared" ref="AA472:AA535" si="83">(S471*IF(E471="T",F471,0))+(S471*IF(G471="T",H471,0))</f>
        <v>0</v>
      </c>
      <c r="AB472">
        <f t="shared" ref="AB472:AB535" si="84">(S471*IF(E471="L",F471,0))+(S471*IF(G471="L",H471,0))</f>
        <v>1</v>
      </c>
      <c r="AC472">
        <f t="shared" ref="AC472:AC535" si="85">(S471*IF(E471="H",F471,0))+(S471*IF(G471="H",H471,0))</f>
        <v>1</v>
      </c>
      <c r="AD472">
        <f t="shared" ref="AD472:AD535" si="86">(S471*IF(E471="V",F471,0))+(S471*IF(G471="V",H471,0))</f>
        <v>0</v>
      </c>
      <c r="AE472">
        <f t="shared" ref="AE472:AE535" si="87">(S471*IF(E471="R",F471,0))+(S471*IF(G471="R",H471,0))</f>
        <v>0</v>
      </c>
      <c r="AF472">
        <f t="shared" ref="AF472:AF535" si="88">(S471*IF(E471="F",F471,0))+(S471*IF(G471="F",H471,0))</f>
        <v>0</v>
      </c>
      <c r="AG472">
        <f t="shared" ref="AG472:AG535" si="89">(S471*IF(E471="W",F471,0))+(S471*IF(G471="W",H471,0))</f>
        <v>0</v>
      </c>
      <c r="AH472" t="s">
        <v>570</v>
      </c>
      <c r="AI472" t="s">
        <v>607</v>
      </c>
      <c r="AJ472" t="s">
        <v>608</v>
      </c>
    </row>
    <row r="473" spans="1:36" x14ac:dyDescent="0.2">
      <c r="A473" t="s">
        <v>229</v>
      </c>
      <c r="B473" t="s">
        <v>437</v>
      </c>
      <c r="C473" t="s">
        <v>39</v>
      </c>
      <c r="D473" t="s">
        <v>858</v>
      </c>
      <c r="E473" s="6" t="s">
        <v>24</v>
      </c>
      <c r="F473" s="6">
        <v>1</v>
      </c>
      <c r="G473" s="6" t="s">
        <v>522</v>
      </c>
      <c r="I473" t="s">
        <v>863</v>
      </c>
      <c r="J473" t="s">
        <v>864</v>
      </c>
      <c r="L473" t="s">
        <v>52</v>
      </c>
      <c r="M473">
        <v>1.3</v>
      </c>
      <c r="N473">
        <v>0.5</v>
      </c>
      <c r="P473" t="s">
        <v>2467</v>
      </c>
      <c r="Q473">
        <v>1</v>
      </c>
      <c r="R473" t="s">
        <v>1017</v>
      </c>
      <c r="S473">
        <v>0</v>
      </c>
      <c r="T473" t="s">
        <v>273</v>
      </c>
      <c r="U473" t="s">
        <v>65</v>
      </c>
      <c r="V473" t="s">
        <v>2468</v>
      </c>
      <c r="W473" t="s">
        <v>222</v>
      </c>
      <c r="Y473">
        <f t="shared" si="81"/>
        <v>0</v>
      </c>
      <c r="Z473">
        <f t="shared" si="82"/>
        <v>0</v>
      </c>
      <c r="AA473">
        <f t="shared" si="83"/>
        <v>0</v>
      </c>
      <c r="AB473">
        <f t="shared" si="84"/>
        <v>2</v>
      </c>
      <c r="AC473">
        <f t="shared" si="85"/>
        <v>2</v>
      </c>
      <c r="AD473">
        <f t="shared" si="86"/>
        <v>0</v>
      </c>
      <c r="AE473">
        <f t="shared" si="87"/>
        <v>0</v>
      </c>
      <c r="AF473">
        <f t="shared" si="88"/>
        <v>0</v>
      </c>
      <c r="AG473">
        <f t="shared" si="89"/>
        <v>0</v>
      </c>
      <c r="AH473" t="s">
        <v>550</v>
      </c>
      <c r="AI473" t="s">
        <v>551</v>
      </c>
      <c r="AJ473" t="s">
        <v>552</v>
      </c>
    </row>
    <row r="474" spans="1:36" x14ac:dyDescent="0.2">
      <c r="A474" t="s">
        <v>229</v>
      </c>
      <c r="B474" t="s">
        <v>437</v>
      </c>
      <c r="C474" t="s">
        <v>39</v>
      </c>
      <c r="D474" t="s">
        <v>858</v>
      </c>
      <c r="E474" s="6" t="s">
        <v>24</v>
      </c>
      <c r="F474" s="6">
        <v>1</v>
      </c>
      <c r="G474" s="6" t="s">
        <v>522</v>
      </c>
      <c r="I474" t="s">
        <v>863</v>
      </c>
      <c r="J474" t="s">
        <v>864</v>
      </c>
      <c r="L474" t="s">
        <v>52</v>
      </c>
      <c r="M474">
        <v>1.3</v>
      </c>
      <c r="N474">
        <v>0.5</v>
      </c>
      <c r="P474" t="s">
        <v>2469</v>
      </c>
      <c r="Q474">
        <v>2</v>
      </c>
      <c r="R474" t="s">
        <v>2470</v>
      </c>
      <c r="S474">
        <v>0</v>
      </c>
      <c r="T474" t="s">
        <v>2471</v>
      </c>
      <c r="U474" t="s">
        <v>59</v>
      </c>
      <c r="V474" t="s">
        <v>2472</v>
      </c>
      <c r="W474" t="s">
        <v>222</v>
      </c>
      <c r="Y474">
        <f t="shared" si="81"/>
        <v>0</v>
      </c>
      <c r="Z474">
        <f t="shared" si="82"/>
        <v>0</v>
      </c>
      <c r="AA474">
        <f t="shared" si="83"/>
        <v>0</v>
      </c>
      <c r="AB474">
        <f t="shared" si="84"/>
        <v>0</v>
      </c>
      <c r="AC474">
        <f t="shared" si="85"/>
        <v>0</v>
      </c>
      <c r="AD474">
        <f t="shared" si="86"/>
        <v>0</v>
      </c>
      <c r="AE474">
        <f t="shared" si="87"/>
        <v>0</v>
      </c>
      <c r="AF474">
        <f t="shared" si="88"/>
        <v>0</v>
      </c>
      <c r="AG474">
        <f t="shared" si="89"/>
        <v>0</v>
      </c>
      <c r="AH474" t="s">
        <v>550</v>
      </c>
      <c r="AI474" t="s">
        <v>551</v>
      </c>
      <c r="AJ474" t="s">
        <v>552</v>
      </c>
    </row>
    <row r="475" spans="1:36" x14ac:dyDescent="0.2">
      <c r="A475" t="s">
        <v>229</v>
      </c>
      <c r="B475" t="s">
        <v>437</v>
      </c>
      <c r="C475" t="s">
        <v>39</v>
      </c>
      <c r="D475" t="s">
        <v>858</v>
      </c>
      <c r="E475" s="6" t="s">
        <v>24</v>
      </c>
      <c r="F475" s="6">
        <v>1</v>
      </c>
      <c r="G475" s="6" t="s">
        <v>522</v>
      </c>
      <c r="I475" t="s">
        <v>863</v>
      </c>
      <c r="J475" t="s">
        <v>864</v>
      </c>
      <c r="L475" t="s">
        <v>52</v>
      </c>
      <c r="M475">
        <v>1.3</v>
      </c>
      <c r="N475">
        <v>0.5</v>
      </c>
      <c r="P475" t="s">
        <v>2473</v>
      </c>
      <c r="Q475">
        <v>3</v>
      </c>
      <c r="R475" t="s">
        <v>2474</v>
      </c>
      <c r="S475">
        <v>1</v>
      </c>
      <c r="T475" t="s">
        <v>174</v>
      </c>
      <c r="U475" t="s">
        <v>60</v>
      </c>
      <c r="V475" t="s">
        <v>2475</v>
      </c>
      <c r="W475" t="s">
        <v>222</v>
      </c>
      <c r="Y475">
        <f t="shared" si="81"/>
        <v>0</v>
      </c>
      <c r="Z475">
        <f t="shared" si="82"/>
        <v>0</v>
      </c>
      <c r="AA475">
        <f t="shared" si="83"/>
        <v>0</v>
      </c>
      <c r="AB475">
        <f t="shared" si="84"/>
        <v>0</v>
      </c>
      <c r="AC475">
        <f t="shared" si="85"/>
        <v>0</v>
      </c>
      <c r="AD475">
        <f t="shared" si="86"/>
        <v>0</v>
      </c>
      <c r="AE475">
        <f t="shared" si="87"/>
        <v>0</v>
      </c>
      <c r="AF475">
        <f t="shared" si="88"/>
        <v>0</v>
      </c>
      <c r="AG475">
        <f t="shared" si="89"/>
        <v>0</v>
      </c>
      <c r="AH475" t="s">
        <v>550</v>
      </c>
      <c r="AI475" t="s">
        <v>551</v>
      </c>
      <c r="AJ475" t="s">
        <v>552</v>
      </c>
    </row>
    <row r="476" spans="1:36" x14ac:dyDescent="0.2">
      <c r="A476" t="s">
        <v>229</v>
      </c>
      <c r="B476" t="s">
        <v>437</v>
      </c>
      <c r="C476" t="s">
        <v>39</v>
      </c>
      <c r="D476" t="s">
        <v>858</v>
      </c>
      <c r="E476" s="6" t="s">
        <v>24</v>
      </c>
      <c r="F476" s="6">
        <v>1</v>
      </c>
      <c r="G476" s="6" t="s">
        <v>522</v>
      </c>
      <c r="I476" t="s">
        <v>863</v>
      </c>
      <c r="J476" t="s">
        <v>864</v>
      </c>
      <c r="L476" t="s">
        <v>52</v>
      </c>
      <c r="M476">
        <v>1.3</v>
      </c>
      <c r="N476">
        <v>0.5</v>
      </c>
      <c r="P476" t="s">
        <v>2476</v>
      </c>
      <c r="Q476">
        <v>4</v>
      </c>
      <c r="R476" t="s">
        <v>2477</v>
      </c>
      <c r="S476">
        <v>3</v>
      </c>
      <c r="V476" t="s">
        <v>2451</v>
      </c>
      <c r="W476" t="s">
        <v>222</v>
      </c>
      <c r="Y476">
        <f t="shared" si="81"/>
        <v>0</v>
      </c>
      <c r="Z476">
        <f t="shared" si="82"/>
        <v>0</v>
      </c>
      <c r="AA476">
        <f t="shared" si="83"/>
        <v>0</v>
      </c>
      <c r="AB476">
        <f t="shared" si="84"/>
        <v>1</v>
      </c>
      <c r="AC476">
        <f t="shared" si="85"/>
        <v>0</v>
      </c>
      <c r="AD476">
        <f t="shared" si="86"/>
        <v>0</v>
      </c>
      <c r="AE476">
        <f t="shared" si="87"/>
        <v>0</v>
      </c>
      <c r="AF476">
        <f t="shared" si="88"/>
        <v>0</v>
      </c>
      <c r="AG476">
        <f t="shared" si="89"/>
        <v>0</v>
      </c>
      <c r="AH476" t="s">
        <v>550</v>
      </c>
      <c r="AI476" t="s">
        <v>551</v>
      </c>
      <c r="AJ476" t="s">
        <v>552</v>
      </c>
    </row>
    <row r="477" spans="1:36" x14ac:dyDescent="0.2">
      <c r="A477" t="s">
        <v>229</v>
      </c>
      <c r="B477" t="s">
        <v>437</v>
      </c>
      <c r="C477" t="s">
        <v>39</v>
      </c>
      <c r="D477" t="s">
        <v>858</v>
      </c>
      <c r="E477" s="6" t="s">
        <v>24</v>
      </c>
      <c r="F477" s="6">
        <v>1</v>
      </c>
      <c r="G477" s="6" t="s">
        <v>522</v>
      </c>
      <c r="I477" t="s">
        <v>863</v>
      </c>
      <c r="J477" t="s">
        <v>864</v>
      </c>
      <c r="L477" t="s">
        <v>52</v>
      </c>
      <c r="M477">
        <v>1.3</v>
      </c>
      <c r="N477">
        <v>0.5</v>
      </c>
      <c r="P477" t="s">
        <v>2478</v>
      </c>
      <c r="Q477">
        <v>5</v>
      </c>
      <c r="R477" t="s">
        <v>2479</v>
      </c>
      <c r="S477">
        <v>4</v>
      </c>
      <c r="V477" t="s">
        <v>2454</v>
      </c>
      <c r="W477" t="s">
        <v>222</v>
      </c>
      <c r="Y477">
        <f t="shared" si="81"/>
        <v>0</v>
      </c>
      <c r="Z477">
        <f t="shared" si="82"/>
        <v>0</v>
      </c>
      <c r="AA477">
        <f t="shared" si="83"/>
        <v>0</v>
      </c>
      <c r="AB477">
        <f t="shared" si="84"/>
        <v>3</v>
      </c>
      <c r="AC477">
        <f t="shared" si="85"/>
        <v>0</v>
      </c>
      <c r="AD477">
        <f t="shared" si="86"/>
        <v>0</v>
      </c>
      <c r="AE477">
        <f t="shared" si="87"/>
        <v>0</v>
      </c>
      <c r="AF477">
        <f t="shared" si="88"/>
        <v>0</v>
      </c>
      <c r="AG477">
        <f t="shared" si="89"/>
        <v>0</v>
      </c>
      <c r="AH477" t="s">
        <v>550</v>
      </c>
      <c r="AI477" t="s">
        <v>551</v>
      </c>
      <c r="AJ477" t="s">
        <v>552</v>
      </c>
    </row>
    <row r="478" spans="1:36" x14ac:dyDescent="0.2">
      <c r="A478" t="s">
        <v>229</v>
      </c>
      <c r="B478" t="s">
        <v>438</v>
      </c>
      <c r="C478" t="s">
        <v>37</v>
      </c>
      <c r="D478" t="s">
        <v>858</v>
      </c>
      <c r="E478" s="6" t="s">
        <v>24</v>
      </c>
      <c r="F478" s="6">
        <v>0.6</v>
      </c>
      <c r="G478" s="6" t="s">
        <v>26</v>
      </c>
      <c r="H478" s="6">
        <v>0.4</v>
      </c>
      <c r="I478" t="s">
        <v>866</v>
      </c>
      <c r="J478" t="s">
        <v>867</v>
      </c>
      <c r="L478" t="s">
        <v>52</v>
      </c>
      <c r="M478">
        <v>1.2</v>
      </c>
      <c r="N478">
        <v>0.5</v>
      </c>
      <c r="P478" t="s">
        <v>2480</v>
      </c>
      <c r="Q478">
        <v>1</v>
      </c>
      <c r="R478" t="s">
        <v>1017</v>
      </c>
      <c r="S478">
        <v>0</v>
      </c>
      <c r="T478" t="s">
        <v>273</v>
      </c>
      <c r="U478" t="s">
        <v>65</v>
      </c>
      <c r="V478" t="s">
        <v>2481</v>
      </c>
      <c r="W478" t="s">
        <v>222</v>
      </c>
      <c r="Y478">
        <f t="shared" si="81"/>
        <v>0</v>
      </c>
      <c r="Z478">
        <f t="shared" si="82"/>
        <v>0</v>
      </c>
      <c r="AA478">
        <f t="shared" si="83"/>
        <v>0</v>
      </c>
      <c r="AB478">
        <f t="shared" si="84"/>
        <v>4</v>
      </c>
      <c r="AC478">
        <f t="shared" si="85"/>
        <v>0</v>
      </c>
      <c r="AD478">
        <f t="shared" si="86"/>
        <v>0</v>
      </c>
      <c r="AE478">
        <f t="shared" si="87"/>
        <v>0</v>
      </c>
      <c r="AF478">
        <f t="shared" si="88"/>
        <v>0</v>
      </c>
      <c r="AG478">
        <f t="shared" si="89"/>
        <v>0</v>
      </c>
      <c r="AH478" t="s">
        <v>561</v>
      </c>
      <c r="AI478" t="s">
        <v>587</v>
      </c>
      <c r="AJ478" t="s">
        <v>588</v>
      </c>
    </row>
    <row r="479" spans="1:36" x14ac:dyDescent="0.2">
      <c r="A479" t="s">
        <v>229</v>
      </c>
      <c r="B479" t="s">
        <v>438</v>
      </c>
      <c r="C479" t="s">
        <v>37</v>
      </c>
      <c r="D479" t="s">
        <v>858</v>
      </c>
      <c r="E479" s="6" t="s">
        <v>24</v>
      </c>
      <c r="F479" s="6">
        <v>0.6</v>
      </c>
      <c r="G479" s="6" t="s">
        <v>26</v>
      </c>
      <c r="H479" s="6">
        <v>0.4</v>
      </c>
      <c r="I479" t="s">
        <v>866</v>
      </c>
      <c r="J479" t="s">
        <v>867</v>
      </c>
      <c r="L479" t="s">
        <v>52</v>
      </c>
      <c r="M479">
        <v>1.2</v>
      </c>
      <c r="N479">
        <v>0.5</v>
      </c>
      <c r="P479" t="s">
        <v>2482</v>
      </c>
      <c r="Q479">
        <v>2</v>
      </c>
      <c r="R479" t="s">
        <v>2483</v>
      </c>
      <c r="S479">
        <v>0</v>
      </c>
      <c r="T479" t="s">
        <v>2484</v>
      </c>
      <c r="U479" t="s">
        <v>59</v>
      </c>
      <c r="V479" t="s">
        <v>2485</v>
      </c>
      <c r="W479" t="s">
        <v>222</v>
      </c>
      <c r="Y479">
        <f t="shared" si="81"/>
        <v>0</v>
      </c>
      <c r="Z479">
        <f t="shared" si="82"/>
        <v>0</v>
      </c>
      <c r="AA479">
        <f t="shared" si="83"/>
        <v>0</v>
      </c>
      <c r="AB479">
        <f t="shared" si="84"/>
        <v>0</v>
      </c>
      <c r="AC479">
        <f t="shared" si="85"/>
        <v>0</v>
      </c>
      <c r="AD479">
        <f t="shared" si="86"/>
        <v>0</v>
      </c>
      <c r="AE479">
        <f t="shared" si="87"/>
        <v>0</v>
      </c>
      <c r="AF479">
        <f t="shared" si="88"/>
        <v>0</v>
      </c>
      <c r="AG479">
        <f t="shared" si="89"/>
        <v>0</v>
      </c>
      <c r="AH479" t="s">
        <v>561</v>
      </c>
      <c r="AI479" t="s">
        <v>587</v>
      </c>
      <c r="AJ479" t="s">
        <v>588</v>
      </c>
    </row>
    <row r="480" spans="1:36" x14ac:dyDescent="0.2">
      <c r="A480" t="s">
        <v>229</v>
      </c>
      <c r="B480" t="s">
        <v>438</v>
      </c>
      <c r="C480" t="s">
        <v>37</v>
      </c>
      <c r="D480" t="s">
        <v>858</v>
      </c>
      <c r="E480" s="6" t="s">
        <v>24</v>
      </c>
      <c r="F480" s="6">
        <v>0.6</v>
      </c>
      <c r="G480" s="6" t="s">
        <v>26</v>
      </c>
      <c r="H480" s="6">
        <v>0.4</v>
      </c>
      <c r="I480" t="s">
        <v>866</v>
      </c>
      <c r="J480" t="s">
        <v>867</v>
      </c>
      <c r="L480" t="s">
        <v>52</v>
      </c>
      <c r="M480">
        <v>1.2</v>
      </c>
      <c r="N480">
        <v>0.5</v>
      </c>
      <c r="P480" t="s">
        <v>2486</v>
      </c>
      <c r="Q480">
        <v>3</v>
      </c>
      <c r="R480" t="s">
        <v>2487</v>
      </c>
      <c r="S480">
        <v>1</v>
      </c>
      <c r="T480" t="s">
        <v>172</v>
      </c>
      <c r="U480" t="s">
        <v>61</v>
      </c>
      <c r="V480" t="s">
        <v>2488</v>
      </c>
      <c r="W480" t="s">
        <v>222</v>
      </c>
      <c r="Y480">
        <f t="shared" si="81"/>
        <v>0</v>
      </c>
      <c r="Z480">
        <f t="shared" si="82"/>
        <v>0</v>
      </c>
      <c r="AA480">
        <f t="shared" si="83"/>
        <v>0</v>
      </c>
      <c r="AB480">
        <f t="shared" si="84"/>
        <v>0</v>
      </c>
      <c r="AC480">
        <f t="shared" si="85"/>
        <v>0</v>
      </c>
      <c r="AD480">
        <f t="shared" si="86"/>
        <v>0</v>
      </c>
      <c r="AE480">
        <f t="shared" si="87"/>
        <v>0</v>
      </c>
      <c r="AF480">
        <f t="shared" si="88"/>
        <v>0</v>
      </c>
      <c r="AG480">
        <f t="shared" si="89"/>
        <v>0</v>
      </c>
      <c r="AH480" t="s">
        <v>561</v>
      </c>
      <c r="AI480" t="s">
        <v>587</v>
      </c>
      <c r="AJ480" t="s">
        <v>588</v>
      </c>
    </row>
    <row r="481" spans="1:36" x14ac:dyDescent="0.2">
      <c r="A481" t="s">
        <v>229</v>
      </c>
      <c r="B481" t="s">
        <v>438</v>
      </c>
      <c r="C481" t="s">
        <v>37</v>
      </c>
      <c r="D481" t="s">
        <v>858</v>
      </c>
      <c r="E481" s="6" t="s">
        <v>24</v>
      </c>
      <c r="F481" s="6">
        <v>0.6</v>
      </c>
      <c r="G481" s="6" t="s">
        <v>26</v>
      </c>
      <c r="H481" s="6">
        <v>0.4</v>
      </c>
      <c r="I481" t="s">
        <v>866</v>
      </c>
      <c r="J481" t="s">
        <v>867</v>
      </c>
      <c r="L481" t="s">
        <v>52</v>
      </c>
      <c r="M481">
        <v>1.2</v>
      </c>
      <c r="N481">
        <v>0.5</v>
      </c>
      <c r="P481" t="s">
        <v>2489</v>
      </c>
      <c r="Q481">
        <v>4</v>
      </c>
      <c r="R481" t="s">
        <v>2490</v>
      </c>
      <c r="S481">
        <v>3</v>
      </c>
      <c r="U481" t="s">
        <v>58</v>
      </c>
      <c r="V481" t="s">
        <v>2491</v>
      </c>
      <c r="W481" t="s">
        <v>222</v>
      </c>
      <c r="Y481">
        <f t="shared" si="81"/>
        <v>0</v>
      </c>
      <c r="Z481">
        <f t="shared" si="82"/>
        <v>0</v>
      </c>
      <c r="AA481">
        <f t="shared" si="83"/>
        <v>0</v>
      </c>
      <c r="AB481">
        <f t="shared" si="84"/>
        <v>0.6</v>
      </c>
      <c r="AC481">
        <f t="shared" si="85"/>
        <v>0.4</v>
      </c>
      <c r="AD481">
        <f t="shared" si="86"/>
        <v>0</v>
      </c>
      <c r="AE481">
        <f t="shared" si="87"/>
        <v>0</v>
      </c>
      <c r="AF481">
        <f t="shared" si="88"/>
        <v>0</v>
      </c>
      <c r="AG481">
        <f t="shared" si="89"/>
        <v>0</v>
      </c>
      <c r="AH481" t="s">
        <v>561</v>
      </c>
      <c r="AI481" t="s">
        <v>587</v>
      </c>
      <c r="AJ481" t="s">
        <v>588</v>
      </c>
    </row>
    <row r="482" spans="1:36" x14ac:dyDescent="0.2">
      <c r="A482" t="s">
        <v>229</v>
      </c>
      <c r="B482" t="s">
        <v>438</v>
      </c>
      <c r="C482" t="s">
        <v>37</v>
      </c>
      <c r="D482" t="s">
        <v>858</v>
      </c>
      <c r="E482" s="6" t="s">
        <v>24</v>
      </c>
      <c r="F482" s="6">
        <v>0.6</v>
      </c>
      <c r="G482" s="6" t="s">
        <v>26</v>
      </c>
      <c r="H482" s="6">
        <v>0.4</v>
      </c>
      <c r="I482" t="s">
        <v>866</v>
      </c>
      <c r="J482" t="s">
        <v>867</v>
      </c>
      <c r="L482" t="s">
        <v>52</v>
      </c>
      <c r="M482">
        <v>1.2</v>
      </c>
      <c r="N482">
        <v>0.5</v>
      </c>
      <c r="P482" t="s">
        <v>2492</v>
      </c>
      <c r="Q482">
        <v>5</v>
      </c>
      <c r="R482" t="s">
        <v>2493</v>
      </c>
      <c r="S482">
        <v>4</v>
      </c>
      <c r="V482" t="s">
        <v>2454</v>
      </c>
      <c r="W482" t="s">
        <v>222</v>
      </c>
      <c r="Y482">
        <f t="shared" si="81"/>
        <v>0</v>
      </c>
      <c r="Z482">
        <f t="shared" si="82"/>
        <v>0</v>
      </c>
      <c r="AA482">
        <f t="shared" si="83"/>
        <v>0</v>
      </c>
      <c r="AB482">
        <f t="shared" si="84"/>
        <v>1.7999999999999998</v>
      </c>
      <c r="AC482">
        <f t="shared" si="85"/>
        <v>1.2000000000000002</v>
      </c>
      <c r="AD482">
        <f t="shared" si="86"/>
        <v>0</v>
      </c>
      <c r="AE482">
        <f t="shared" si="87"/>
        <v>0</v>
      </c>
      <c r="AF482">
        <f t="shared" si="88"/>
        <v>0</v>
      </c>
      <c r="AG482">
        <f t="shared" si="89"/>
        <v>0</v>
      </c>
      <c r="AH482" t="s">
        <v>561</v>
      </c>
      <c r="AI482" t="s">
        <v>587</v>
      </c>
      <c r="AJ482" t="s">
        <v>588</v>
      </c>
    </row>
    <row r="483" spans="1:36" x14ac:dyDescent="0.2">
      <c r="A483" t="s">
        <v>229</v>
      </c>
      <c r="B483" t="s">
        <v>439</v>
      </c>
      <c r="C483" t="s">
        <v>39</v>
      </c>
      <c r="D483" t="s">
        <v>858</v>
      </c>
      <c r="E483" s="6" t="s">
        <v>24</v>
      </c>
      <c r="F483" s="6">
        <v>0.5</v>
      </c>
      <c r="G483" s="6" t="s">
        <v>26</v>
      </c>
      <c r="H483" s="6">
        <v>0.5</v>
      </c>
      <c r="I483" t="s">
        <v>868</v>
      </c>
      <c r="J483" t="s">
        <v>869</v>
      </c>
      <c r="L483" t="s">
        <v>52</v>
      </c>
      <c r="M483">
        <v>1</v>
      </c>
      <c r="P483" t="s">
        <v>2494</v>
      </c>
      <c r="Q483">
        <v>1</v>
      </c>
      <c r="R483" t="s">
        <v>2495</v>
      </c>
      <c r="S483">
        <v>0</v>
      </c>
      <c r="T483" t="s">
        <v>2496</v>
      </c>
      <c r="U483" t="s">
        <v>65</v>
      </c>
      <c r="W483" t="s">
        <v>222</v>
      </c>
      <c r="Y483">
        <f t="shared" si="81"/>
        <v>0</v>
      </c>
      <c r="Z483">
        <f t="shared" si="82"/>
        <v>0</v>
      </c>
      <c r="AA483">
        <f t="shared" si="83"/>
        <v>0</v>
      </c>
      <c r="AB483">
        <f t="shared" si="84"/>
        <v>2.4</v>
      </c>
      <c r="AC483">
        <f t="shared" si="85"/>
        <v>1.6</v>
      </c>
      <c r="AD483">
        <f t="shared" si="86"/>
        <v>0</v>
      </c>
      <c r="AE483">
        <f t="shared" si="87"/>
        <v>0</v>
      </c>
      <c r="AF483">
        <f t="shared" si="88"/>
        <v>0</v>
      </c>
      <c r="AG483">
        <f t="shared" si="89"/>
        <v>0</v>
      </c>
      <c r="AH483" t="s">
        <v>570</v>
      </c>
      <c r="AI483" t="s">
        <v>607</v>
      </c>
      <c r="AJ483" t="s">
        <v>687</v>
      </c>
    </row>
    <row r="484" spans="1:36" x14ac:dyDescent="0.2">
      <c r="A484" t="s">
        <v>229</v>
      </c>
      <c r="B484" t="s">
        <v>439</v>
      </c>
      <c r="C484" t="s">
        <v>39</v>
      </c>
      <c r="D484" t="s">
        <v>858</v>
      </c>
      <c r="E484" s="6" t="s">
        <v>24</v>
      </c>
      <c r="F484" s="6">
        <v>0.5</v>
      </c>
      <c r="G484" s="6" t="s">
        <v>26</v>
      </c>
      <c r="H484" s="6">
        <v>0.5</v>
      </c>
      <c r="I484" t="s">
        <v>868</v>
      </c>
      <c r="J484" t="s">
        <v>869</v>
      </c>
      <c r="L484" t="s">
        <v>52</v>
      </c>
      <c r="M484">
        <v>1</v>
      </c>
      <c r="P484" t="s">
        <v>2497</v>
      </c>
      <c r="Q484">
        <v>2</v>
      </c>
      <c r="R484" t="s">
        <v>2498</v>
      </c>
      <c r="S484">
        <v>0</v>
      </c>
      <c r="T484" t="s">
        <v>248</v>
      </c>
      <c r="U484" t="s">
        <v>59</v>
      </c>
      <c r="V484" t="s">
        <v>2499</v>
      </c>
      <c r="W484" t="s">
        <v>222</v>
      </c>
      <c r="Y484">
        <f t="shared" si="81"/>
        <v>0</v>
      </c>
      <c r="Z484">
        <f t="shared" si="82"/>
        <v>0</v>
      </c>
      <c r="AA484">
        <f t="shared" si="83"/>
        <v>0</v>
      </c>
      <c r="AB484">
        <f t="shared" si="84"/>
        <v>0</v>
      </c>
      <c r="AC484">
        <f t="shared" si="85"/>
        <v>0</v>
      </c>
      <c r="AD484">
        <f t="shared" si="86"/>
        <v>0</v>
      </c>
      <c r="AE484">
        <f t="shared" si="87"/>
        <v>0</v>
      </c>
      <c r="AF484">
        <f t="shared" si="88"/>
        <v>0</v>
      </c>
      <c r="AG484">
        <f t="shared" si="89"/>
        <v>0</v>
      </c>
      <c r="AH484" t="s">
        <v>570</v>
      </c>
      <c r="AI484" t="s">
        <v>607</v>
      </c>
      <c r="AJ484" t="s">
        <v>687</v>
      </c>
    </row>
    <row r="485" spans="1:36" x14ac:dyDescent="0.2">
      <c r="A485" t="s">
        <v>229</v>
      </c>
      <c r="B485" t="s">
        <v>439</v>
      </c>
      <c r="C485" t="s">
        <v>39</v>
      </c>
      <c r="D485" t="s">
        <v>858</v>
      </c>
      <c r="E485" s="6" t="s">
        <v>24</v>
      </c>
      <c r="F485" s="6">
        <v>0.5</v>
      </c>
      <c r="G485" s="6" t="s">
        <v>26</v>
      </c>
      <c r="H485" s="6">
        <v>0.5</v>
      </c>
      <c r="I485" t="s">
        <v>868</v>
      </c>
      <c r="J485" t="s">
        <v>869</v>
      </c>
      <c r="L485" t="s">
        <v>52</v>
      </c>
      <c r="M485">
        <v>1</v>
      </c>
      <c r="P485" t="s">
        <v>2500</v>
      </c>
      <c r="Q485">
        <v>3</v>
      </c>
      <c r="R485" t="s">
        <v>2501</v>
      </c>
      <c r="S485">
        <v>1</v>
      </c>
      <c r="T485" t="s">
        <v>255</v>
      </c>
      <c r="U485" t="s">
        <v>60</v>
      </c>
      <c r="V485" t="s">
        <v>2502</v>
      </c>
      <c r="W485" t="s">
        <v>222</v>
      </c>
      <c r="Y485">
        <f t="shared" si="81"/>
        <v>0</v>
      </c>
      <c r="Z485">
        <f t="shared" si="82"/>
        <v>0</v>
      </c>
      <c r="AA485">
        <f t="shared" si="83"/>
        <v>0</v>
      </c>
      <c r="AB485">
        <f t="shared" si="84"/>
        <v>0</v>
      </c>
      <c r="AC485">
        <f t="shared" si="85"/>
        <v>0</v>
      </c>
      <c r="AD485">
        <f t="shared" si="86"/>
        <v>0</v>
      </c>
      <c r="AE485">
        <f t="shared" si="87"/>
        <v>0</v>
      </c>
      <c r="AF485">
        <f t="shared" si="88"/>
        <v>0</v>
      </c>
      <c r="AG485">
        <f t="shared" si="89"/>
        <v>0</v>
      </c>
      <c r="AH485" t="s">
        <v>570</v>
      </c>
      <c r="AI485" t="s">
        <v>607</v>
      </c>
      <c r="AJ485" t="s">
        <v>687</v>
      </c>
    </row>
    <row r="486" spans="1:36" x14ac:dyDescent="0.2">
      <c r="A486" t="s">
        <v>229</v>
      </c>
      <c r="B486" t="s">
        <v>439</v>
      </c>
      <c r="C486" t="s">
        <v>39</v>
      </c>
      <c r="D486" t="s">
        <v>858</v>
      </c>
      <c r="E486" s="6" t="s">
        <v>24</v>
      </c>
      <c r="F486" s="6">
        <v>0.5</v>
      </c>
      <c r="G486" s="6" t="s">
        <v>26</v>
      </c>
      <c r="H486" s="6">
        <v>0.5</v>
      </c>
      <c r="I486" t="s">
        <v>868</v>
      </c>
      <c r="J486" t="s">
        <v>869</v>
      </c>
      <c r="L486" t="s">
        <v>52</v>
      </c>
      <c r="M486">
        <v>1</v>
      </c>
      <c r="P486" t="s">
        <v>2503</v>
      </c>
      <c r="Q486">
        <v>4</v>
      </c>
      <c r="R486" t="s">
        <v>2504</v>
      </c>
      <c r="S486">
        <v>4</v>
      </c>
      <c r="V486" t="s">
        <v>2454</v>
      </c>
      <c r="W486" t="s">
        <v>222</v>
      </c>
      <c r="Y486">
        <f t="shared" si="81"/>
        <v>0</v>
      </c>
      <c r="Z486">
        <f t="shared" si="82"/>
        <v>0</v>
      </c>
      <c r="AA486">
        <f t="shared" si="83"/>
        <v>0</v>
      </c>
      <c r="AB486">
        <f t="shared" si="84"/>
        <v>0.5</v>
      </c>
      <c r="AC486">
        <f t="shared" si="85"/>
        <v>0.5</v>
      </c>
      <c r="AD486">
        <f t="shared" si="86"/>
        <v>0</v>
      </c>
      <c r="AE486">
        <f t="shared" si="87"/>
        <v>0</v>
      </c>
      <c r="AF486">
        <f t="shared" si="88"/>
        <v>0</v>
      </c>
      <c r="AG486">
        <f t="shared" si="89"/>
        <v>0</v>
      </c>
      <c r="AH486" t="s">
        <v>570</v>
      </c>
      <c r="AI486" t="s">
        <v>607</v>
      </c>
      <c r="AJ486" t="s">
        <v>687</v>
      </c>
    </row>
    <row r="487" spans="1:36" x14ac:dyDescent="0.2">
      <c r="A487" t="s">
        <v>229</v>
      </c>
      <c r="B487" t="s">
        <v>440</v>
      </c>
      <c r="C487" t="s">
        <v>39</v>
      </c>
      <c r="D487" t="s">
        <v>858</v>
      </c>
      <c r="E487" s="6" t="s">
        <v>24</v>
      </c>
      <c r="F487" s="6">
        <v>1</v>
      </c>
      <c r="G487" s="6" t="s">
        <v>522</v>
      </c>
      <c r="I487" t="s">
        <v>870</v>
      </c>
      <c r="J487" t="s">
        <v>871</v>
      </c>
      <c r="L487" t="s">
        <v>52</v>
      </c>
      <c r="M487">
        <v>1.2</v>
      </c>
      <c r="N487">
        <v>0.5</v>
      </c>
      <c r="P487" t="s">
        <v>2505</v>
      </c>
      <c r="Q487">
        <v>1</v>
      </c>
      <c r="R487" t="s">
        <v>1017</v>
      </c>
      <c r="S487">
        <v>0</v>
      </c>
      <c r="T487" t="s">
        <v>273</v>
      </c>
      <c r="U487" t="s">
        <v>65</v>
      </c>
      <c r="V487" t="s">
        <v>2506</v>
      </c>
      <c r="W487" t="s">
        <v>222</v>
      </c>
      <c r="Y487">
        <f t="shared" si="81"/>
        <v>0</v>
      </c>
      <c r="Z487">
        <f t="shared" si="82"/>
        <v>0</v>
      </c>
      <c r="AA487">
        <f t="shared" si="83"/>
        <v>0</v>
      </c>
      <c r="AB487">
        <f t="shared" si="84"/>
        <v>2</v>
      </c>
      <c r="AC487">
        <f t="shared" si="85"/>
        <v>2</v>
      </c>
      <c r="AD487">
        <f t="shared" si="86"/>
        <v>0</v>
      </c>
      <c r="AE487">
        <f t="shared" si="87"/>
        <v>0</v>
      </c>
      <c r="AF487">
        <f t="shared" si="88"/>
        <v>0</v>
      </c>
      <c r="AG487">
        <f t="shared" si="89"/>
        <v>0</v>
      </c>
      <c r="AH487" t="s">
        <v>570</v>
      </c>
      <c r="AI487" t="s">
        <v>594</v>
      </c>
      <c r="AJ487" t="s">
        <v>872</v>
      </c>
    </row>
    <row r="488" spans="1:36" x14ac:dyDescent="0.2">
      <c r="A488" t="s">
        <v>229</v>
      </c>
      <c r="B488" t="s">
        <v>440</v>
      </c>
      <c r="C488" t="s">
        <v>39</v>
      </c>
      <c r="D488" t="s">
        <v>858</v>
      </c>
      <c r="E488" s="6" t="s">
        <v>24</v>
      </c>
      <c r="F488" s="6">
        <v>1</v>
      </c>
      <c r="G488" s="6" t="s">
        <v>522</v>
      </c>
      <c r="I488" t="s">
        <v>870</v>
      </c>
      <c r="J488" t="s">
        <v>871</v>
      </c>
      <c r="L488" t="s">
        <v>52</v>
      </c>
      <c r="M488">
        <v>1.2</v>
      </c>
      <c r="N488">
        <v>0.5</v>
      </c>
      <c r="P488" t="s">
        <v>2507</v>
      </c>
      <c r="Q488">
        <v>2</v>
      </c>
      <c r="R488" t="s">
        <v>2508</v>
      </c>
      <c r="S488">
        <v>0</v>
      </c>
      <c r="T488" t="s">
        <v>248</v>
      </c>
      <c r="U488" t="s">
        <v>59</v>
      </c>
      <c r="V488" t="s">
        <v>2509</v>
      </c>
      <c r="W488" t="s">
        <v>222</v>
      </c>
      <c r="Y488">
        <f t="shared" si="81"/>
        <v>0</v>
      </c>
      <c r="Z488">
        <f t="shared" si="82"/>
        <v>0</v>
      </c>
      <c r="AA488">
        <f t="shared" si="83"/>
        <v>0</v>
      </c>
      <c r="AB488">
        <f t="shared" si="84"/>
        <v>0</v>
      </c>
      <c r="AC488">
        <f t="shared" si="85"/>
        <v>0</v>
      </c>
      <c r="AD488">
        <f t="shared" si="86"/>
        <v>0</v>
      </c>
      <c r="AE488">
        <f t="shared" si="87"/>
        <v>0</v>
      </c>
      <c r="AF488">
        <f t="shared" si="88"/>
        <v>0</v>
      </c>
      <c r="AG488">
        <f t="shared" si="89"/>
        <v>0</v>
      </c>
      <c r="AH488" t="s">
        <v>570</v>
      </c>
      <c r="AI488" t="s">
        <v>594</v>
      </c>
      <c r="AJ488" t="s">
        <v>872</v>
      </c>
    </row>
    <row r="489" spans="1:36" x14ac:dyDescent="0.2">
      <c r="A489" t="s">
        <v>229</v>
      </c>
      <c r="B489" t="s">
        <v>440</v>
      </c>
      <c r="C489" t="s">
        <v>39</v>
      </c>
      <c r="D489" t="s">
        <v>858</v>
      </c>
      <c r="E489" s="6" t="s">
        <v>24</v>
      </c>
      <c r="F489" s="6">
        <v>1</v>
      </c>
      <c r="G489" s="6" t="s">
        <v>522</v>
      </c>
      <c r="I489" t="s">
        <v>870</v>
      </c>
      <c r="J489" t="s">
        <v>871</v>
      </c>
      <c r="L489" t="s">
        <v>52</v>
      </c>
      <c r="M489">
        <v>1.2</v>
      </c>
      <c r="N489">
        <v>0.5</v>
      </c>
      <c r="P489" t="s">
        <v>2510</v>
      </c>
      <c r="Q489">
        <v>3</v>
      </c>
      <c r="R489" t="s">
        <v>2511</v>
      </c>
      <c r="S489">
        <v>1</v>
      </c>
      <c r="T489" t="s">
        <v>172</v>
      </c>
      <c r="U489" t="s">
        <v>61</v>
      </c>
      <c r="V489" t="s">
        <v>2512</v>
      </c>
      <c r="W489" t="s">
        <v>222</v>
      </c>
      <c r="Y489">
        <f t="shared" si="81"/>
        <v>0</v>
      </c>
      <c r="Z489">
        <f t="shared" si="82"/>
        <v>0</v>
      </c>
      <c r="AA489">
        <f t="shared" si="83"/>
        <v>0</v>
      </c>
      <c r="AB489">
        <f t="shared" si="84"/>
        <v>0</v>
      </c>
      <c r="AC489">
        <f t="shared" si="85"/>
        <v>0</v>
      </c>
      <c r="AD489">
        <f t="shared" si="86"/>
        <v>0</v>
      </c>
      <c r="AE489">
        <f t="shared" si="87"/>
        <v>0</v>
      </c>
      <c r="AF489">
        <f t="shared" si="88"/>
        <v>0</v>
      </c>
      <c r="AG489">
        <f t="shared" si="89"/>
        <v>0</v>
      </c>
      <c r="AH489" t="s">
        <v>570</v>
      </c>
      <c r="AI489" t="s">
        <v>594</v>
      </c>
      <c r="AJ489" t="s">
        <v>872</v>
      </c>
    </row>
    <row r="490" spans="1:36" x14ac:dyDescent="0.2">
      <c r="A490" t="s">
        <v>229</v>
      </c>
      <c r="B490" t="s">
        <v>440</v>
      </c>
      <c r="C490" t="s">
        <v>39</v>
      </c>
      <c r="D490" t="s">
        <v>858</v>
      </c>
      <c r="E490" s="6" t="s">
        <v>24</v>
      </c>
      <c r="F490" s="6">
        <v>1</v>
      </c>
      <c r="G490" s="6" t="s">
        <v>522</v>
      </c>
      <c r="I490" t="s">
        <v>870</v>
      </c>
      <c r="J490" t="s">
        <v>871</v>
      </c>
      <c r="L490" t="s">
        <v>52</v>
      </c>
      <c r="M490">
        <v>1.2</v>
      </c>
      <c r="N490">
        <v>0.5</v>
      </c>
      <c r="P490" t="s">
        <v>2513</v>
      </c>
      <c r="Q490">
        <v>4</v>
      </c>
      <c r="R490" t="s">
        <v>2514</v>
      </c>
      <c r="S490">
        <v>3</v>
      </c>
      <c r="V490" t="s">
        <v>2515</v>
      </c>
      <c r="W490" t="s">
        <v>222</v>
      </c>
      <c r="Y490">
        <f t="shared" si="81"/>
        <v>0</v>
      </c>
      <c r="Z490">
        <f t="shared" si="82"/>
        <v>0</v>
      </c>
      <c r="AA490">
        <f t="shared" si="83"/>
        <v>0</v>
      </c>
      <c r="AB490">
        <f t="shared" si="84"/>
        <v>1</v>
      </c>
      <c r="AC490">
        <f t="shared" si="85"/>
        <v>0</v>
      </c>
      <c r="AD490">
        <f t="shared" si="86"/>
        <v>0</v>
      </c>
      <c r="AE490">
        <f t="shared" si="87"/>
        <v>0</v>
      </c>
      <c r="AF490">
        <f t="shared" si="88"/>
        <v>0</v>
      </c>
      <c r="AG490">
        <f t="shared" si="89"/>
        <v>0</v>
      </c>
      <c r="AH490" t="s">
        <v>570</v>
      </c>
      <c r="AI490" t="s">
        <v>594</v>
      </c>
      <c r="AJ490" t="s">
        <v>872</v>
      </c>
    </row>
    <row r="491" spans="1:36" x14ac:dyDescent="0.2">
      <c r="A491" t="s">
        <v>229</v>
      </c>
      <c r="B491" t="s">
        <v>440</v>
      </c>
      <c r="C491" t="s">
        <v>39</v>
      </c>
      <c r="D491" t="s">
        <v>858</v>
      </c>
      <c r="E491" s="6" t="s">
        <v>24</v>
      </c>
      <c r="F491" s="6">
        <v>1</v>
      </c>
      <c r="G491" s="6" t="s">
        <v>522</v>
      </c>
      <c r="I491" t="s">
        <v>870</v>
      </c>
      <c r="J491" t="s">
        <v>871</v>
      </c>
      <c r="L491" t="s">
        <v>52</v>
      </c>
      <c r="M491">
        <v>1.2</v>
      </c>
      <c r="N491">
        <v>0.5</v>
      </c>
      <c r="P491" t="s">
        <v>2516</v>
      </c>
      <c r="Q491">
        <v>5</v>
      </c>
      <c r="R491" t="s">
        <v>2517</v>
      </c>
      <c r="S491">
        <v>4</v>
      </c>
      <c r="V491" t="s">
        <v>2454</v>
      </c>
      <c r="W491" t="s">
        <v>222</v>
      </c>
      <c r="Y491">
        <f t="shared" si="81"/>
        <v>0</v>
      </c>
      <c r="Z491">
        <f t="shared" si="82"/>
        <v>0</v>
      </c>
      <c r="AA491">
        <f t="shared" si="83"/>
        <v>0</v>
      </c>
      <c r="AB491">
        <f t="shared" si="84"/>
        <v>3</v>
      </c>
      <c r="AC491">
        <f t="shared" si="85"/>
        <v>0</v>
      </c>
      <c r="AD491">
        <f t="shared" si="86"/>
        <v>0</v>
      </c>
      <c r="AE491">
        <f t="shared" si="87"/>
        <v>0</v>
      </c>
      <c r="AF491">
        <f t="shared" si="88"/>
        <v>0</v>
      </c>
      <c r="AG491">
        <f t="shared" si="89"/>
        <v>0</v>
      </c>
      <c r="AH491" t="s">
        <v>570</v>
      </c>
      <c r="AI491" t="s">
        <v>594</v>
      </c>
      <c r="AJ491" t="s">
        <v>872</v>
      </c>
    </row>
    <row r="492" spans="1:36" x14ac:dyDescent="0.2">
      <c r="A492" t="s">
        <v>229</v>
      </c>
      <c r="B492" t="s">
        <v>441</v>
      </c>
      <c r="C492" t="s">
        <v>37</v>
      </c>
      <c r="D492" t="s">
        <v>858</v>
      </c>
      <c r="E492" s="6" t="s">
        <v>24</v>
      </c>
      <c r="F492" s="6">
        <v>0.7</v>
      </c>
      <c r="G492" s="6" t="s">
        <v>22</v>
      </c>
      <c r="H492" s="6">
        <v>0.3</v>
      </c>
      <c r="I492" t="s">
        <v>873</v>
      </c>
      <c r="J492" t="s">
        <v>874</v>
      </c>
      <c r="L492" t="s">
        <v>52</v>
      </c>
      <c r="M492">
        <v>1.4</v>
      </c>
      <c r="N492">
        <v>0.5</v>
      </c>
      <c r="P492" t="s">
        <v>2518</v>
      </c>
      <c r="Q492">
        <v>1</v>
      </c>
      <c r="R492" t="s">
        <v>1017</v>
      </c>
      <c r="S492">
        <v>0</v>
      </c>
      <c r="T492" t="s">
        <v>273</v>
      </c>
      <c r="U492" t="s">
        <v>65</v>
      </c>
      <c r="V492" t="s">
        <v>2519</v>
      </c>
      <c r="W492" t="s">
        <v>222</v>
      </c>
      <c r="Y492">
        <f t="shared" si="81"/>
        <v>0</v>
      </c>
      <c r="Z492">
        <f t="shared" si="82"/>
        <v>0</v>
      </c>
      <c r="AA492">
        <f t="shared" si="83"/>
        <v>0</v>
      </c>
      <c r="AB492">
        <f t="shared" si="84"/>
        <v>4</v>
      </c>
      <c r="AC492">
        <f t="shared" si="85"/>
        <v>0</v>
      </c>
      <c r="AD492">
        <f t="shared" si="86"/>
        <v>0</v>
      </c>
      <c r="AE492">
        <f t="shared" si="87"/>
        <v>0</v>
      </c>
      <c r="AF492">
        <f t="shared" si="88"/>
        <v>0</v>
      </c>
      <c r="AG492">
        <f t="shared" si="89"/>
        <v>0</v>
      </c>
      <c r="AH492" t="s">
        <v>570</v>
      </c>
      <c r="AI492" t="s">
        <v>571</v>
      </c>
      <c r="AJ492" t="s">
        <v>572</v>
      </c>
    </row>
    <row r="493" spans="1:36" x14ac:dyDescent="0.2">
      <c r="A493" t="s">
        <v>229</v>
      </c>
      <c r="B493" t="s">
        <v>441</v>
      </c>
      <c r="C493" t="s">
        <v>37</v>
      </c>
      <c r="D493" t="s">
        <v>858</v>
      </c>
      <c r="E493" s="6" t="s">
        <v>24</v>
      </c>
      <c r="F493" s="6">
        <v>0.7</v>
      </c>
      <c r="G493" s="6" t="s">
        <v>22</v>
      </c>
      <c r="H493" s="6">
        <v>0.3</v>
      </c>
      <c r="I493" t="s">
        <v>873</v>
      </c>
      <c r="J493" t="s">
        <v>874</v>
      </c>
      <c r="L493" t="s">
        <v>52</v>
      </c>
      <c r="M493">
        <v>1.4</v>
      </c>
      <c r="N493">
        <v>0.5</v>
      </c>
      <c r="P493" t="s">
        <v>2520</v>
      </c>
      <c r="Q493">
        <v>2</v>
      </c>
      <c r="R493" t="s">
        <v>2521</v>
      </c>
      <c r="S493">
        <v>0</v>
      </c>
      <c r="T493" t="s">
        <v>248</v>
      </c>
      <c r="U493" t="s">
        <v>59</v>
      </c>
      <c r="V493" t="s">
        <v>2522</v>
      </c>
      <c r="W493" t="s">
        <v>222</v>
      </c>
      <c r="Y493">
        <f t="shared" si="81"/>
        <v>0</v>
      </c>
      <c r="Z493">
        <f t="shared" si="82"/>
        <v>0</v>
      </c>
      <c r="AA493">
        <f t="shared" si="83"/>
        <v>0</v>
      </c>
      <c r="AB493">
        <f t="shared" si="84"/>
        <v>0</v>
      </c>
      <c r="AC493">
        <f t="shared" si="85"/>
        <v>0</v>
      </c>
      <c r="AD493">
        <f t="shared" si="86"/>
        <v>0</v>
      </c>
      <c r="AE493">
        <f t="shared" si="87"/>
        <v>0</v>
      </c>
      <c r="AF493">
        <f t="shared" si="88"/>
        <v>0</v>
      </c>
      <c r="AG493">
        <f t="shared" si="89"/>
        <v>0</v>
      </c>
      <c r="AH493" t="s">
        <v>570</v>
      </c>
      <c r="AI493" t="s">
        <v>571</v>
      </c>
      <c r="AJ493" t="s">
        <v>572</v>
      </c>
    </row>
    <row r="494" spans="1:36" x14ac:dyDescent="0.2">
      <c r="A494" t="s">
        <v>229</v>
      </c>
      <c r="B494" t="s">
        <v>441</v>
      </c>
      <c r="C494" t="s">
        <v>37</v>
      </c>
      <c r="D494" t="s">
        <v>858</v>
      </c>
      <c r="E494" s="6" t="s">
        <v>24</v>
      </c>
      <c r="F494" s="6">
        <v>0.7</v>
      </c>
      <c r="G494" s="6" t="s">
        <v>22</v>
      </c>
      <c r="H494" s="6">
        <v>0.3</v>
      </c>
      <c r="I494" t="s">
        <v>873</v>
      </c>
      <c r="J494" t="s">
        <v>874</v>
      </c>
      <c r="L494" t="s">
        <v>52</v>
      </c>
      <c r="M494">
        <v>1.4</v>
      </c>
      <c r="N494">
        <v>0.5</v>
      </c>
      <c r="P494" t="s">
        <v>2523</v>
      </c>
      <c r="Q494">
        <v>3</v>
      </c>
      <c r="R494" t="s">
        <v>2524</v>
      </c>
      <c r="S494">
        <v>1</v>
      </c>
      <c r="T494" t="s">
        <v>255</v>
      </c>
      <c r="U494" t="s">
        <v>60</v>
      </c>
      <c r="V494" t="s">
        <v>2525</v>
      </c>
      <c r="W494" t="s">
        <v>222</v>
      </c>
      <c r="Y494">
        <f t="shared" si="81"/>
        <v>0</v>
      </c>
      <c r="Z494">
        <f t="shared" si="82"/>
        <v>0</v>
      </c>
      <c r="AA494">
        <f t="shared" si="83"/>
        <v>0</v>
      </c>
      <c r="AB494">
        <f t="shared" si="84"/>
        <v>0</v>
      </c>
      <c r="AC494">
        <f t="shared" si="85"/>
        <v>0</v>
      </c>
      <c r="AD494">
        <f t="shared" si="86"/>
        <v>0</v>
      </c>
      <c r="AE494">
        <f t="shared" si="87"/>
        <v>0</v>
      </c>
      <c r="AF494">
        <f t="shared" si="88"/>
        <v>0</v>
      </c>
      <c r="AG494">
        <f t="shared" si="89"/>
        <v>0</v>
      </c>
      <c r="AH494" t="s">
        <v>570</v>
      </c>
      <c r="AI494" t="s">
        <v>571</v>
      </c>
      <c r="AJ494" t="s">
        <v>572</v>
      </c>
    </row>
    <row r="495" spans="1:36" x14ac:dyDescent="0.2">
      <c r="A495" t="s">
        <v>229</v>
      </c>
      <c r="B495" t="s">
        <v>441</v>
      </c>
      <c r="C495" t="s">
        <v>37</v>
      </c>
      <c r="D495" t="s">
        <v>858</v>
      </c>
      <c r="E495" s="6" t="s">
        <v>24</v>
      </c>
      <c r="F495" s="6">
        <v>0.7</v>
      </c>
      <c r="G495" s="6" t="s">
        <v>22</v>
      </c>
      <c r="H495" s="6">
        <v>0.3</v>
      </c>
      <c r="I495" t="s">
        <v>873</v>
      </c>
      <c r="J495" t="s">
        <v>874</v>
      </c>
      <c r="L495" t="s">
        <v>52</v>
      </c>
      <c r="M495">
        <v>1.4</v>
      </c>
      <c r="N495">
        <v>0.5</v>
      </c>
      <c r="P495" t="s">
        <v>2526</v>
      </c>
      <c r="Q495">
        <v>4</v>
      </c>
      <c r="R495" t="s">
        <v>2527</v>
      </c>
      <c r="S495">
        <v>3</v>
      </c>
      <c r="V495" t="s">
        <v>2528</v>
      </c>
      <c r="W495" t="s">
        <v>222</v>
      </c>
      <c r="Y495">
        <f t="shared" si="81"/>
        <v>0</v>
      </c>
      <c r="Z495">
        <f t="shared" si="82"/>
        <v>0</v>
      </c>
      <c r="AA495">
        <f t="shared" si="83"/>
        <v>0.3</v>
      </c>
      <c r="AB495">
        <f t="shared" si="84"/>
        <v>0.7</v>
      </c>
      <c r="AC495">
        <f t="shared" si="85"/>
        <v>0</v>
      </c>
      <c r="AD495">
        <f t="shared" si="86"/>
        <v>0</v>
      </c>
      <c r="AE495">
        <f t="shared" si="87"/>
        <v>0</v>
      </c>
      <c r="AF495">
        <f t="shared" si="88"/>
        <v>0</v>
      </c>
      <c r="AG495">
        <f t="shared" si="89"/>
        <v>0</v>
      </c>
      <c r="AH495" t="s">
        <v>570</v>
      </c>
      <c r="AI495" t="s">
        <v>571</v>
      </c>
      <c r="AJ495" t="s">
        <v>572</v>
      </c>
    </row>
    <row r="496" spans="1:36" x14ac:dyDescent="0.2">
      <c r="A496" t="s">
        <v>229</v>
      </c>
      <c r="B496" t="s">
        <v>441</v>
      </c>
      <c r="C496" t="s">
        <v>37</v>
      </c>
      <c r="D496" t="s">
        <v>858</v>
      </c>
      <c r="E496" s="6" t="s">
        <v>24</v>
      </c>
      <c r="F496" s="6">
        <v>0.7</v>
      </c>
      <c r="G496" s="6" t="s">
        <v>22</v>
      </c>
      <c r="H496" s="6">
        <v>0.3</v>
      </c>
      <c r="I496" t="s">
        <v>873</v>
      </c>
      <c r="J496" t="s">
        <v>874</v>
      </c>
      <c r="L496" t="s">
        <v>52</v>
      </c>
      <c r="M496">
        <v>1.4</v>
      </c>
      <c r="N496">
        <v>0.5</v>
      </c>
      <c r="P496" t="s">
        <v>2529</v>
      </c>
      <c r="Q496">
        <v>5</v>
      </c>
      <c r="R496" t="s">
        <v>2530</v>
      </c>
      <c r="S496">
        <v>4</v>
      </c>
      <c r="V496" t="s">
        <v>2454</v>
      </c>
      <c r="W496" t="s">
        <v>222</v>
      </c>
      <c r="Y496">
        <f t="shared" si="81"/>
        <v>0</v>
      </c>
      <c r="Z496">
        <f t="shared" si="82"/>
        <v>0</v>
      </c>
      <c r="AA496">
        <f t="shared" si="83"/>
        <v>0.89999999999999991</v>
      </c>
      <c r="AB496">
        <f t="shared" si="84"/>
        <v>2.0999999999999996</v>
      </c>
      <c r="AC496">
        <f t="shared" si="85"/>
        <v>0</v>
      </c>
      <c r="AD496">
        <f t="shared" si="86"/>
        <v>0</v>
      </c>
      <c r="AE496">
        <f t="shared" si="87"/>
        <v>0</v>
      </c>
      <c r="AF496">
        <f t="shared" si="88"/>
        <v>0</v>
      </c>
      <c r="AG496">
        <f t="shared" si="89"/>
        <v>0</v>
      </c>
      <c r="AH496" t="s">
        <v>570</v>
      </c>
      <c r="AI496" t="s">
        <v>571</v>
      </c>
      <c r="AJ496" t="s">
        <v>572</v>
      </c>
    </row>
    <row r="497" spans="1:36" x14ac:dyDescent="0.2">
      <c r="A497" t="s">
        <v>229</v>
      </c>
      <c r="B497" t="s">
        <v>442</v>
      </c>
      <c r="C497" t="s">
        <v>39</v>
      </c>
      <c r="D497" t="s">
        <v>858</v>
      </c>
      <c r="E497" s="6" t="s">
        <v>24</v>
      </c>
      <c r="F497" s="6">
        <v>1</v>
      </c>
      <c r="G497" s="6" t="s">
        <v>522</v>
      </c>
      <c r="I497" t="s">
        <v>875</v>
      </c>
      <c r="J497" t="s">
        <v>876</v>
      </c>
      <c r="L497" t="s">
        <v>52</v>
      </c>
      <c r="M497">
        <v>1.2</v>
      </c>
      <c r="P497" t="s">
        <v>2531</v>
      </c>
      <c r="Q497">
        <v>1</v>
      </c>
      <c r="R497" t="s">
        <v>2532</v>
      </c>
      <c r="S497">
        <v>0</v>
      </c>
      <c r="T497" t="s">
        <v>248</v>
      </c>
      <c r="U497" t="s">
        <v>59</v>
      </c>
      <c r="V497" t="s">
        <v>2533</v>
      </c>
      <c r="W497" t="s">
        <v>222</v>
      </c>
      <c r="Y497">
        <f t="shared" si="81"/>
        <v>0</v>
      </c>
      <c r="Z497">
        <f t="shared" si="82"/>
        <v>0</v>
      </c>
      <c r="AA497">
        <f t="shared" si="83"/>
        <v>1.2</v>
      </c>
      <c r="AB497">
        <f t="shared" si="84"/>
        <v>2.8</v>
      </c>
      <c r="AC497">
        <f t="shared" si="85"/>
        <v>0</v>
      </c>
      <c r="AD497">
        <f t="shared" si="86"/>
        <v>0</v>
      </c>
      <c r="AE497">
        <f t="shared" si="87"/>
        <v>0</v>
      </c>
      <c r="AF497">
        <f t="shared" si="88"/>
        <v>0</v>
      </c>
      <c r="AG497">
        <f t="shared" si="89"/>
        <v>0</v>
      </c>
      <c r="AH497" t="s">
        <v>570</v>
      </c>
      <c r="AI497" t="s">
        <v>594</v>
      </c>
      <c r="AJ497" t="s">
        <v>595</v>
      </c>
    </row>
    <row r="498" spans="1:36" x14ac:dyDescent="0.2">
      <c r="A498" t="s">
        <v>229</v>
      </c>
      <c r="B498" t="s">
        <v>442</v>
      </c>
      <c r="C498" t="s">
        <v>39</v>
      </c>
      <c r="D498" t="s">
        <v>858</v>
      </c>
      <c r="E498" s="6" t="s">
        <v>24</v>
      </c>
      <c r="F498" s="6">
        <v>1</v>
      </c>
      <c r="G498" s="6" t="s">
        <v>522</v>
      </c>
      <c r="I498" t="s">
        <v>875</v>
      </c>
      <c r="J498" t="s">
        <v>876</v>
      </c>
      <c r="L498" t="s">
        <v>52</v>
      </c>
      <c r="M498">
        <v>1.2</v>
      </c>
      <c r="P498" t="s">
        <v>2534</v>
      </c>
      <c r="Q498">
        <v>2</v>
      </c>
      <c r="R498" t="s">
        <v>2535</v>
      </c>
      <c r="S498">
        <v>1</v>
      </c>
      <c r="T498" t="s">
        <v>255</v>
      </c>
      <c r="U498" t="s">
        <v>60</v>
      </c>
      <c r="V498" t="s">
        <v>2536</v>
      </c>
      <c r="W498" t="s">
        <v>222</v>
      </c>
      <c r="Y498">
        <f t="shared" si="81"/>
        <v>0</v>
      </c>
      <c r="Z498">
        <f t="shared" si="82"/>
        <v>0</v>
      </c>
      <c r="AA498">
        <f t="shared" si="83"/>
        <v>0</v>
      </c>
      <c r="AB498">
        <f t="shared" si="84"/>
        <v>0</v>
      </c>
      <c r="AC498">
        <f t="shared" si="85"/>
        <v>0</v>
      </c>
      <c r="AD498">
        <f t="shared" si="86"/>
        <v>0</v>
      </c>
      <c r="AE498">
        <f t="shared" si="87"/>
        <v>0</v>
      </c>
      <c r="AF498">
        <f t="shared" si="88"/>
        <v>0</v>
      </c>
      <c r="AG498">
        <f t="shared" si="89"/>
        <v>0</v>
      </c>
      <c r="AH498" t="s">
        <v>570</v>
      </c>
      <c r="AI498" t="s">
        <v>594</v>
      </c>
      <c r="AJ498" t="s">
        <v>595</v>
      </c>
    </row>
    <row r="499" spans="1:36" x14ac:dyDescent="0.2">
      <c r="A499" t="s">
        <v>229</v>
      </c>
      <c r="B499" t="s">
        <v>442</v>
      </c>
      <c r="C499" t="s">
        <v>39</v>
      </c>
      <c r="D499" t="s">
        <v>858</v>
      </c>
      <c r="E499" s="6" t="s">
        <v>24</v>
      </c>
      <c r="F499" s="6">
        <v>1</v>
      </c>
      <c r="G499" s="6" t="s">
        <v>522</v>
      </c>
      <c r="I499" t="s">
        <v>875</v>
      </c>
      <c r="J499" t="s">
        <v>876</v>
      </c>
      <c r="L499" t="s">
        <v>52</v>
      </c>
      <c r="M499">
        <v>1.2</v>
      </c>
      <c r="P499" t="s">
        <v>2537</v>
      </c>
      <c r="Q499">
        <v>3</v>
      </c>
      <c r="R499" t="s">
        <v>2538</v>
      </c>
      <c r="S499">
        <v>3</v>
      </c>
      <c r="V499" t="s">
        <v>2539</v>
      </c>
      <c r="W499" t="s">
        <v>222</v>
      </c>
      <c r="Y499">
        <f t="shared" si="81"/>
        <v>0</v>
      </c>
      <c r="Z499">
        <f t="shared" si="82"/>
        <v>0</v>
      </c>
      <c r="AA499">
        <f t="shared" si="83"/>
        <v>0</v>
      </c>
      <c r="AB499">
        <f t="shared" si="84"/>
        <v>1</v>
      </c>
      <c r="AC499">
        <f t="shared" si="85"/>
        <v>0</v>
      </c>
      <c r="AD499">
        <f t="shared" si="86"/>
        <v>0</v>
      </c>
      <c r="AE499">
        <f t="shared" si="87"/>
        <v>0</v>
      </c>
      <c r="AF499">
        <f t="shared" si="88"/>
        <v>0</v>
      </c>
      <c r="AG499">
        <f t="shared" si="89"/>
        <v>0</v>
      </c>
      <c r="AH499" t="s">
        <v>570</v>
      </c>
      <c r="AI499" t="s">
        <v>594</v>
      </c>
      <c r="AJ499" t="s">
        <v>595</v>
      </c>
    </row>
    <row r="500" spans="1:36" x14ac:dyDescent="0.2">
      <c r="A500" t="s">
        <v>229</v>
      </c>
      <c r="B500" t="s">
        <v>442</v>
      </c>
      <c r="C500" t="s">
        <v>39</v>
      </c>
      <c r="D500" t="s">
        <v>858</v>
      </c>
      <c r="E500" s="6" t="s">
        <v>24</v>
      </c>
      <c r="F500" s="6">
        <v>1</v>
      </c>
      <c r="G500" s="6" t="s">
        <v>522</v>
      </c>
      <c r="I500" t="s">
        <v>875</v>
      </c>
      <c r="J500" t="s">
        <v>876</v>
      </c>
      <c r="L500" t="s">
        <v>52</v>
      </c>
      <c r="M500">
        <v>1.2</v>
      </c>
      <c r="P500" t="s">
        <v>2540</v>
      </c>
      <c r="Q500">
        <v>4</v>
      </c>
      <c r="R500" t="s">
        <v>2541</v>
      </c>
      <c r="S500">
        <v>4</v>
      </c>
      <c r="V500" t="s">
        <v>2454</v>
      </c>
      <c r="W500" t="s">
        <v>222</v>
      </c>
      <c r="Y500">
        <f t="shared" si="81"/>
        <v>0</v>
      </c>
      <c r="Z500">
        <f t="shared" si="82"/>
        <v>0</v>
      </c>
      <c r="AA500">
        <f t="shared" si="83"/>
        <v>0</v>
      </c>
      <c r="AB500">
        <f t="shared" si="84"/>
        <v>3</v>
      </c>
      <c r="AC500">
        <f t="shared" si="85"/>
        <v>0</v>
      </c>
      <c r="AD500">
        <f t="shared" si="86"/>
        <v>0</v>
      </c>
      <c r="AE500">
        <f t="shared" si="87"/>
        <v>0</v>
      </c>
      <c r="AF500">
        <f t="shared" si="88"/>
        <v>0</v>
      </c>
      <c r="AG500">
        <f t="shared" si="89"/>
        <v>0</v>
      </c>
      <c r="AH500" t="s">
        <v>570</v>
      </c>
      <c r="AI500" t="s">
        <v>594</v>
      </c>
      <c r="AJ500" t="s">
        <v>595</v>
      </c>
    </row>
    <row r="501" spans="1:36" x14ac:dyDescent="0.2">
      <c r="A501" t="s">
        <v>229</v>
      </c>
      <c r="B501" t="s">
        <v>443</v>
      </c>
      <c r="C501" t="s">
        <v>37</v>
      </c>
      <c r="D501" t="s">
        <v>858</v>
      </c>
      <c r="E501" s="6" t="s">
        <v>24</v>
      </c>
      <c r="F501" s="6">
        <v>0.8</v>
      </c>
      <c r="G501" s="6" t="s">
        <v>28</v>
      </c>
      <c r="H501" s="6">
        <v>0.2</v>
      </c>
      <c r="I501" t="s">
        <v>877</v>
      </c>
      <c r="J501" t="s">
        <v>878</v>
      </c>
      <c r="L501" t="s">
        <v>52</v>
      </c>
      <c r="M501">
        <v>1.2</v>
      </c>
      <c r="P501" t="s">
        <v>2542</v>
      </c>
      <c r="Q501">
        <v>1</v>
      </c>
      <c r="R501" t="s">
        <v>1017</v>
      </c>
      <c r="S501">
        <v>0</v>
      </c>
      <c r="T501" t="s">
        <v>273</v>
      </c>
      <c r="U501" t="s">
        <v>65</v>
      </c>
      <c r="V501" t="s">
        <v>2543</v>
      </c>
      <c r="W501" t="s">
        <v>222</v>
      </c>
      <c r="Y501">
        <f t="shared" si="81"/>
        <v>0</v>
      </c>
      <c r="Z501">
        <f t="shared" si="82"/>
        <v>0</v>
      </c>
      <c r="AA501">
        <f t="shared" si="83"/>
        <v>0</v>
      </c>
      <c r="AB501">
        <f t="shared" si="84"/>
        <v>4</v>
      </c>
      <c r="AC501">
        <f t="shared" si="85"/>
        <v>0</v>
      </c>
      <c r="AD501">
        <f t="shared" si="86"/>
        <v>0</v>
      </c>
      <c r="AE501">
        <f t="shared" si="87"/>
        <v>0</v>
      </c>
      <c r="AF501">
        <f t="shared" si="88"/>
        <v>0</v>
      </c>
      <c r="AG501">
        <f t="shared" si="89"/>
        <v>0</v>
      </c>
      <c r="AH501" t="s">
        <v>561</v>
      </c>
      <c r="AI501" t="s">
        <v>587</v>
      </c>
      <c r="AJ501" t="s">
        <v>727</v>
      </c>
    </row>
    <row r="502" spans="1:36" x14ac:dyDescent="0.2">
      <c r="A502" t="s">
        <v>229</v>
      </c>
      <c r="B502" t="s">
        <v>443</v>
      </c>
      <c r="C502" t="s">
        <v>37</v>
      </c>
      <c r="D502" t="s">
        <v>858</v>
      </c>
      <c r="E502" s="6" t="s">
        <v>24</v>
      </c>
      <c r="F502" s="6">
        <v>0.8</v>
      </c>
      <c r="G502" s="6" t="s">
        <v>28</v>
      </c>
      <c r="H502" s="6">
        <v>0.2</v>
      </c>
      <c r="I502" t="s">
        <v>877</v>
      </c>
      <c r="J502" t="s">
        <v>878</v>
      </c>
      <c r="L502" t="s">
        <v>52</v>
      </c>
      <c r="M502">
        <v>1.2</v>
      </c>
      <c r="P502" t="s">
        <v>2544</v>
      </c>
      <c r="Q502">
        <v>2</v>
      </c>
      <c r="R502" t="s">
        <v>2545</v>
      </c>
      <c r="S502">
        <v>0</v>
      </c>
      <c r="T502" t="s">
        <v>248</v>
      </c>
      <c r="U502" t="s">
        <v>59</v>
      </c>
      <c r="V502" t="s">
        <v>2546</v>
      </c>
      <c r="W502" t="s">
        <v>222</v>
      </c>
      <c r="Y502">
        <f t="shared" si="81"/>
        <v>0</v>
      </c>
      <c r="Z502">
        <f t="shared" si="82"/>
        <v>0</v>
      </c>
      <c r="AA502">
        <f t="shared" si="83"/>
        <v>0</v>
      </c>
      <c r="AB502">
        <f t="shared" si="84"/>
        <v>0</v>
      </c>
      <c r="AC502">
        <f t="shared" si="85"/>
        <v>0</v>
      </c>
      <c r="AD502">
        <f t="shared" si="86"/>
        <v>0</v>
      </c>
      <c r="AE502">
        <f t="shared" si="87"/>
        <v>0</v>
      </c>
      <c r="AF502">
        <f t="shared" si="88"/>
        <v>0</v>
      </c>
      <c r="AG502">
        <f t="shared" si="89"/>
        <v>0</v>
      </c>
      <c r="AH502" t="s">
        <v>561</v>
      </c>
      <c r="AI502" t="s">
        <v>587</v>
      </c>
      <c r="AJ502" t="s">
        <v>727</v>
      </c>
    </row>
    <row r="503" spans="1:36" x14ac:dyDescent="0.2">
      <c r="A503" t="s">
        <v>229</v>
      </c>
      <c r="B503" t="s">
        <v>443</v>
      </c>
      <c r="C503" t="s">
        <v>37</v>
      </c>
      <c r="D503" t="s">
        <v>858</v>
      </c>
      <c r="E503" s="6" t="s">
        <v>24</v>
      </c>
      <c r="F503" s="6">
        <v>0.8</v>
      </c>
      <c r="G503" s="6" t="s">
        <v>28</v>
      </c>
      <c r="H503" s="6">
        <v>0.2</v>
      </c>
      <c r="I503" t="s">
        <v>877</v>
      </c>
      <c r="J503" t="s">
        <v>878</v>
      </c>
      <c r="L503" t="s">
        <v>52</v>
      </c>
      <c r="M503">
        <v>1.2</v>
      </c>
      <c r="P503" t="s">
        <v>2547</v>
      </c>
      <c r="Q503">
        <v>3</v>
      </c>
      <c r="R503" t="s">
        <v>2548</v>
      </c>
      <c r="S503">
        <v>1</v>
      </c>
      <c r="T503" t="s">
        <v>276</v>
      </c>
      <c r="U503" t="s">
        <v>66</v>
      </c>
      <c r="V503" t="s">
        <v>2549</v>
      </c>
      <c r="W503" t="s">
        <v>222</v>
      </c>
      <c r="Y503">
        <f t="shared" si="81"/>
        <v>0</v>
      </c>
      <c r="Z503">
        <f t="shared" si="82"/>
        <v>0</v>
      </c>
      <c r="AA503">
        <f t="shared" si="83"/>
        <v>0</v>
      </c>
      <c r="AB503">
        <f t="shared" si="84"/>
        <v>0</v>
      </c>
      <c r="AC503">
        <f t="shared" si="85"/>
        <v>0</v>
      </c>
      <c r="AD503">
        <f t="shared" si="86"/>
        <v>0</v>
      </c>
      <c r="AE503">
        <f t="shared" si="87"/>
        <v>0</v>
      </c>
      <c r="AF503">
        <f t="shared" si="88"/>
        <v>0</v>
      </c>
      <c r="AG503">
        <f t="shared" si="89"/>
        <v>0</v>
      </c>
      <c r="AH503" t="s">
        <v>561</v>
      </c>
      <c r="AI503" t="s">
        <v>587</v>
      </c>
      <c r="AJ503" t="s">
        <v>727</v>
      </c>
    </row>
    <row r="504" spans="1:36" x14ac:dyDescent="0.2">
      <c r="A504" t="s">
        <v>229</v>
      </c>
      <c r="B504" t="s">
        <v>443</v>
      </c>
      <c r="C504" t="s">
        <v>37</v>
      </c>
      <c r="D504" t="s">
        <v>858</v>
      </c>
      <c r="E504" s="6" t="s">
        <v>24</v>
      </c>
      <c r="F504" s="6">
        <v>0.8</v>
      </c>
      <c r="G504" s="6" t="s">
        <v>28</v>
      </c>
      <c r="H504" s="6">
        <v>0.2</v>
      </c>
      <c r="I504" t="s">
        <v>877</v>
      </c>
      <c r="J504" t="s">
        <v>878</v>
      </c>
      <c r="L504" t="s">
        <v>52</v>
      </c>
      <c r="M504">
        <v>1.2</v>
      </c>
      <c r="P504" t="s">
        <v>2550</v>
      </c>
      <c r="Q504">
        <v>4</v>
      </c>
      <c r="R504" t="s">
        <v>2551</v>
      </c>
      <c r="S504">
        <v>3</v>
      </c>
      <c r="V504" t="s">
        <v>2552</v>
      </c>
      <c r="W504" t="s">
        <v>222</v>
      </c>
      <c r="Y504">
        <f t="shared" si="81"/>
        <v>0</v>
      </c>
      <c r="Z504">
        <f t="shared" si="82"/>
        <v>0</v>
      </c>
      <c r="AA504">
        <f t="shared" si="83"/>
        <v>0</v>
      </c>
      <c r="AB504">
        <f t="shared" si="84"/>
        <v>0.8</v>
      </c>
      <c r="AC504">
        <f t="shared" si="85"/>
        <v>0</v>
      </c>
      <c r="AD504">
        <f t="shared" si="86"/>
        <v>0.2</v>
      </c>
      <c r="AE504">
        <f t="shared" si="87"/>
        <v>0</v>
      </c>
      <c r="AF504">
        <f t="shared" si="88"/>
        <v>0</v>
      </c>
      <c r="AG504">
        <f t="shared" si="89"/>
        <v>0</v>
      </c>
      <c r="AH504" t="s">
        <v>561</v>
      </c>
      <c r="AI504" t="s">
        <v>587</v>
      </c>
      <c r="AJ504" t="s">
        <v>727</v>
      </c>
    </row>
    <row r="505" spans="1:36" x14ac:dyDescent="0.2">
      <c r="A505" t="s">
        <v>229</v>
      </c>
      <c r="B505" t="s">
        <v>443</v>
      </c>
      <c r="C505" t="s">
        <v>37</v>
      </c>
      <c r="D505" t="s">
        <v>858</v>
      </c>
      <c r="E505" s="6" t="s">
        <v>24</v>
      </c>
      <c r="F505" s="6">
        <v>0.8</v>
      </c>
      <c r="G505" s="6" t="s">
        <v>28</v>
      </c>
      <c r="H505" s="6">
        <v>0.2</v>
      </c>
      <c r="I505" t="s">
        <v>877</v>
      </c>
      <c r="J505" t="s">
        <v>878</v>
      </c>
      <c r="L505" t="s">
        <v>52</v>
      </c>
      <c r="M505">
        <v>1.2</v>
      </c>
      <c r="P505" t="s">
        <v>2553</v>
      </c>
      <c r="Q505">
        <v>5</v>
      </c>
      <c r="R505" t="s">
        <v>2554</v>
      </c>
      <c r="S505">
        <v>4</v>
      </c>
      <c r="V505" t="s">
        <v>2454</v>
      </c>
      <c r="W505" t="s">
        <v>222</v>
      </c>
      <c r="Y505">
        <f t="shared" si="81"/>
        <v>0</v>
      </c>
      <c r="Z505">
        <f t="shared" si="82"/>
        <v>0</v>
      </c>
      <c r="AA505">
        <f t="shared" si="83"/>
        <v>0</v>
      </c>
      <c r="AB505">
        <f t="shared" si="84"/>
        <v>2.4000000000000004</v>
      </c>
      <c r="AC505">
        <f t="shared" si="85"/>
        <v>0</v>
      </c>
      <c r="AD505">
        <f t="shared" si="86"/>
        <v>0.60000000000000009</v>
      </c>
      <c r="AE505">
        <f t="shared" si="87"/>
        <v>0</v>
      </c>
      <c r="AF505">
        <f t="shared" si="88"/>
        <v>0</v>
      </c>
      <c r="AG505">
        <f t="shared" si="89"/>
        <v>0</v>
      </c>
      <c r="AH505" t="s">
        <v>561</v>
      </c>
      <c r="AI505" t="s">
        <v>587</v>
      </c>
      <c r="AJ505" t="s">
        <v>727</v>
      </c>
    </row>
    <row r="506" spans="1:36" x14ac:dyDescent="0.2">
      <c r="A506" t="s">
        <v>229</v>
      </c>
      <c r="B506" t="s">
        <v>444</v>
      </c>
      <c r="C506" t="s">
        <v>39</v>
      </c>
      <c r="D506" t="s">
        <v>858</v>
      </c>
      <c r="E506" s="6" t="s">
        <v>24</v>
      </c>
      <c r="F506" s="6">
        <v>1</v>
      </c>
      <c r="G506" s="6" t="s">
        <v>522</v>
      </c>
      <c r="I506" t="s">
        <v>879</v>
      </c>
      <c r="J506" t="s">
        <v>880</v>
      </c>
      <c r="L506" t="s">
        <v>52</v>
      </c>
      <c r="M506">
        <v>1</v>
      </c>
      <c r="P506" t="s">
        <v>2555</v>
      </c>
      <c r="Q506">
        <v>1</v>
      </c>
      <c r="R506" t="s">
        <v>2556</v>
      </c>
      <c r="S506">
        <v>0</v>
      </c>
      <c r="T506" t="s">
        <v>248</v>
      </c>
      <c r="U506" t="s">
        <v>59</v>
      </c>
      <c r="V506" t="s">
        <v>2557</v>
      </c>
      <c r="W506" t="s">
        <v>222</v>
      </c>
      <c r="Y506">
        <f t="shared" si="81"/>
        <v>0</v>
      </c>
      <c r="Z506">
        <f t="shared" si="82"/>
        <v>0</v>
      </c>
      <c r="AA506">
        <f t="shared" si="83"/>
        <v>0</v>
      </c>
      <c r="AB506">
        <f t="shared" si="84"/>
        <v>3.2</v>
      </c>
      <c r="AC506">
        <f t="shared" si="85"/>
        <v>0</v>
      </c>
      <c r="AD506">
        <f t="shared" si="86"/>
        <v>0.8</v>
      </c>
      <c r="AE506">
        <f t="shared" si="87"/>
        <v>0</v>
      </c>
      <c r="AF506">
        <f t="shared" si="88"/>
        <v>0</v>
      </c>
      <c r="AG506">
        <f t="shared" si="89"/>
        <v>0</v>
      </c>
      <c r="AH506" t="s">
        <v>570</v>
      </c>
      <c r="AI506" t="s">
        <v>571</v>
      </c>
      <c r="AJ506" t="s">
        <v>572</v>
      </c>
    </row>
    <row r="507" spans="1:36" x14ac:dyDescent="0.2">
      <c r="A507" t="s">
        <v>229</v>
      </c>
      <c r="B507" t="s">
        <v>444</v>
      </c>
      <c r="C507" t="s">
        <v>39</v>
      </c>
      <c r="D507" t="s">
        <v>858</v>
      </c>
      <c r="E507" s="6" t="s">
        <v>24</v>
      </c>
      <c r="F507" s="6">
        <v>1</v>
      </c>
      <c r="G507" s="6" t="s">
        <v>522</v>
      </c>
      <c r="I507" t="s">
        <v>879</v>
      </c>
      <c r="J507" t="s">
        <v>880</v>
      </c>
      <c r="L507" t="s">
        <v>52</v>
      </c>
      <c r="M507">
        <v>1</v>
      </c>
      <c r="P507" t="s">
        <v>2558</v>
      </c>
      <c r="Q507">
        <v>2</v>
      </c>
      <c r="R507" t="s">
        <v>2559</v>
      </c>
      <c r="S507">
        <v>1</v>
      </c>
      <c r="T507" t="s">
        <v>255</v>
      </c>
      <c r="U507" t="s">
        <v>60</v>
      </c>
      <c r="V507" t="s">
        <v>2560</v>
      </c>
      <c r="W507" t="s">
        <v>222</v>
      </c>
      <c r="Y507">
        <f t="shared" si="81"/>
        <v>0</v>
      </c>
      <c r="Z507">
        <f t="shared" si="82"/>
        <v>0</v>
      </c>
      <c r="AA507">
        <f t="shared" si="83"/>
        <v>0</v>
      </c>
      <c r="AB507">
        <f t="shared" si="84"/>
        <v>0</v>
      </c>
      <c r="AC507">
        <f t="shared" si="85"/>
        <v>0</v>
      </c>
      <c r="AD507">
        <f t="shared" si="86"/>
        <v>0</v>
      </c>
      <c r="AE507">
        <f t="shared" si="87"/>
        <v>0</v>
      </c>
      <c r="AF507">
        <f t="shared" si="88"/>
        <v>0</v>
      </c>
      <c r="AG507">
        <f t="shared" si="89"/>
        <v>0</v>
      </c>
      <c r="AH507" t="s">
        <v>570</v>
      </c>
      <c r="AI507" t="s">
        <v>571</v>
      </c>
      <c r="AJ507" t="s">
        <v>572</v>
      </c>
    </row>
    <row r="508" spans="1:36" x14ac:dyDescent="0.2">
      <c r="A508" t="s">
        <v>229</v>
      </c>
      <c r="B508" t="s">
        <v>444</v>
      </c>
      <c r="C508" t="s">
        <v>39</v>
      </c>
      <c r="D508" t="s">
        <v>858</v>
      </c>
      <c r="E508" s="6" t="s">
        <v>24</v>
      </c>
      <c r="F508" s="6">
        <v>1</v>
      </c>
      <c r="G508" s="6" t="s">
        <v>522</v>
      </c>
      <c r="I508" t="s">
        <v>879</v>
      </c>
      <c r="J508" t="s">
        <v>880</v>
      </c>
      <c r="L508" t="s">
        <v>52</v>
      </c>
      <c r="M508">
        <v>1</v>
      </c>
      <c r="P508" t="s">
        <v>2561</v>
      </c>
      <c r="Q508">
        <v>3</v>
      </c>
      <c r="R508" t="s">
        <v>2562</v>
      </c>
      <c r="S508">
        <v>3</v>
      </c>
      <c r="V508" t="s">
        <v>2563</v>
      </c>
      <c r="W508" t="s">
        <v>222</v>
      </c>
      <c r="Y508">
        <f t="shared" si="81"/>
        <v>0</v>
      </c>
      <c r="Z508">
        <f t="shared" si="82"/>
        <v>0</v>
      </c>
      <c r="AA508">
        <f t="shared" si="83"/>
        <v>0</v>
      </c>
      <c r="AB508">
        <f t="shared" si="84"/>
        <v>1</v>
      </c>
      <c r="AC508">
        <f t="shared" si="85"/>
        <v>0</v>
      </c>
      <c r="AD508">
        <f t="shared" si="86"/>
        <v>0</v>
      </c>
      <c r="AE508">
        <f t="shared" si="87"/>
        <v>0</v>
      </c>
      <c r="AF508">
        <f t="shared" si="88"/>
        <v>0</v>
      </c>
      <c r="AG508">
        <f t="shared" si="89"/>
        <v>0</v>
      </c>
      <c r="AH508" t="s">
        <v>570</v>
      </c>
      <c r="AI508" t="s">
        <v>571</v>
      </c>
      <c r="AJ508" t="s">
        <v>572</v>
      </c>
    </row>
    <row r="509" spans="1:36" x14ac:dyDescent="0.2">
      <c r="A509" t="s">
        <v>229</v>
      </c>
      <c r="B509" t="s">
        <v>444</v>
      </c>
      <c r="C509" t="s">
        <v>39</v>
      </c>
      <c r="D509" t="s">
        <v>858</v>
      </c>
      <c r="E509" s="6" t="s">
        <v>24</v>
      </c>
      <c r="F509" s="6">
        <v>1</v>
      </c>
      <c r="G509" s="6" t="s">
        <v>522</v>
      </c>
      <c r="I509" t="s">
        <v>879</v>
      </c>
      <c r="J509" t="s">
        <v>880</v>
      </c>
      <c r="L509" t="s">
        <v>52</v>
      </c>
      <c r="M509">
        <v>1</v>
      </c>
      <c r="P509" t="s">
        <v>2564</v>
      </c>
      <c r="Q509">
        <v>4</v>
      </c>
      <c r="R509" t="s">
        <v>2565</v>
      </c>
      <c r="S509">
        <v>4</v>
      </c>
      <c r="V509" t="s">
        <v>2454</v>
      </c>
      <c r="W509" t="s">
        <v>222</v>
      </c>
      <c r="Y509">
        <f t="shared" si="81"/>
        <v>0</v>
      </c>
      <c r="Z509">
        <f t="shared" si="82"/>
        <v>0</v>
      </c>
      <c r="AA509">
        <f t="shared" si="83"/>
        <v>0</v>
      </c>
      <c r="AB509">
        <f t="shared" si="84"/>
        <v>3</v>
      </c>
      <c r="AC509">
        <f t="shared" si="85"/>
        <v>0</v>
      </c>
      <c r="AD509">
        <f t="shared" si="86"/>
        <v>0</v>
      </c>
      <c r="AE509">
        <f t="shared" si="87"/>
        <v>0</v>
      </c>
      <c r="AF509">
        <f t="shared" si="88"/>
        <v>0</v>
      </c>
      <c r="AG509">
        <f t="shared" si="89"/>
        <v>0</v>
      </c>
      <c r="AH509" t="s">
        <v>570</v>
      </c>
      <c r="AI509" t="s">
        <v>571</v>
      </c>
      <c r="AJ509" t="s">
        <v>572</v>
      </c>
    </row>
    <row r="510" spans="1:36" x14ac:dyDescent="0.2">
      <c r="A510" t="s">
        <v>229</v>
      </c>
      <c r="B510" t="s">
        <v>445</v>
      </c>
      <c r="C510" t="s">
        <v>37</v>
      </c>
      <c r="D510" t="s">
        <v>881</v>
      </c>
      <c r="E510" s="6" t="s">
        <v>24</v>
      </c>
      <c r="F510" s="6">
        <v>0.5</v>
      </c>
      <c r="G510" s="6" t="s">
        <v>30</v>
      </c>
      <c r="H510" s="6">
        <v>0.5</v>
      </c>
      <c r="I510" t="s">
        <v>882</v>
      </c>
      <c r="J510" t="s">
        <v>883</v>
      </c>
      <c r="L510" t="s">
        <v>52</v>
      </c>
      <c r="M510">
        <v>1.4</v>
      </c>
      <c r="N510">
        <v>0.5</v>
      </c>
      <c r="P510" t="s">
        <v>2566</v>
      </c>
      <c r="Q510">
        <v>1</v>
      </c>
      <c r="R510" t="s">
        <v>1017</v>
      </c>
      <c r="S510">
        <v>0</v>
      </c>
      <c r="T510" t="s">
        <v>273</v>
      </c>
      <c r="U510" t="s">
        <v>65</v>
      </c>
      <c r="V510" t="s">
        <v>2567</v>
      </c>
      <c r="W510" t="s">
        <v>222</v>
      </c>
      <c r="Y510">
        <f t="shared" si="81"/>
        <v>0</v>
      </c>
      <c r="Z510">
        <f t="shared" si="82"/>
        <v>0</v>
      </c>
      <c r="AA510">
        <f t="shared" si="83"/>
        <v>0</v>
      </c>
      <c r="AB510">
        <f t="shared" si="84"/>
        <v>4</v>
      </c>
      <c r="AC510">
        <f t="shared" si="85"/>
        <v>0</v>
      </c>
      <c r="AD510">
        <f t="shared" si="86"/>
        <v>0</v>
      </c>
      <c r="AE510">
        <f t="shared" si="87"/>
        <v>0</v>
      </c>
      <c r="AF510">
        <f t="shared" si="88"/>
        <v>0</v>
      </c>
      <c r="AG510">
        <f t="shared" si="89"/>
        <v>0</v>
      </c>
      <c r="AH510" t="s">
        <v>561</v>
      </c>
      <c r="AI510" t="s">
        <v>587</v>
      </c>
      <c r="AJ510" t="s">
        <v>591</v>
      </c>
    </row>
    <row r="511" spans="1:36" x14ac:dyDescent="0.2">
      <c r="A511" t="s">
        <v>229</v>
      </c>
      <c r="B511" t="s">
        <v>445</v>
      </c>
      <c r="C511" t="s">
        <v>37</v>
      </c>
      <c r="D511" t="s">
        <v>881</v>
      </c>
      <c r="E511" s="6" t="s">
        <v>24</v>
      </c>
      <c r="F511" s="6">
        <v>0.5</v>
      </c>
      <c r="G511" s="6" t="s">
        <v>30</v>
      </c>
      <c r="H511" s="6">
        <v>0.5</v>
      </c>
      <c r="I511" t="s">
        <v>882</v>
      </c>
      <c r="J511" t="s">
        <v>883</v>
      </c>
      <c r="L511" t="s">
        <v>52</v>
      </c>
      <c r="M511">
        <v>1.4</v>
      </c>
      <c r="N511">
        <v>0.5</v>
      </c>
      <c r="P511" t="s">
        <v>2568</v>
      </c>
      <c r="Q511">
        <v>2</v>
      </c>
      <c r="R511" t="s">
        <v>2569</v>
      </c>
      <c r="S511">
        <v>0</v>
      </c>
      <c r="T511" t="s">
        <v>248</v>
      </c>
      <c r="U511" t="s">
        <v>59</v>
      </c>
      <c r="V511" t="s">
        <v>2570</v>
      </c>
      <c r="W511" t="s">
        <v>222</v>
      </c>
      <c r="Y511">
        <f t="shared" si="81"/>
        <v>0</v>
      </c>
      <c r="Z511">
        <f t="shared" si="82"/>
        <v>0</v>
      </c>
      <c r="AA511">
        <f t="shared" si="83"/>
        <v>0</v>
      </c>
      <c r="AB511">
        <f t="shared" si="84"/>
        <v>0</v>
      </c>
      <c r="AC511">
        <f t="shared" si="85"/>
        <v>0</v>
      </c>
      <c r="AD511">
        <f t="shared" si="86"/>
        <v>0</v>
      </c>
      <c r="AE511">
        <f t="shared" si="87"/>
        <v>0</v>
      </c>
      <c r="AF511">
        <f t="shared" si="88"/>
        <v>0</v>
      </c>
      <c r="AG511">
        <f t="shared" si="89"/>
        <v>0</v>
      </c>
      <c r="AH511" t="s">
        <v>561</v>
      </c>
      <c r="AI511" t="s">
        <v>587</v>
      </c>
      <c r="AJ511" t="s">
        <v>591</v>
      </c>
    </row>
    <row r="512" spans="1:36" x14ac:dyDescent="0.2">
      <c r="A512" t="s">
        <v>229</v>
      </c>
      <c r="B512" t="s">
        <v>445</v>
      </c>
      <c r="C512" t="s">
        <v>37</v>
      </c>
      <c r="D512" t="s">
        <v>881</v>
      </c>
      <c r="E512" s="6" t="s">
        <v>24</v>
      </c>
      <c r="F512" s="6">
        <v>0.5</v>
      </c>
      <c r="G512" s="6" t="s">
        <v>30</v>
      </c>
      <c r="H512" s="6">
        <v>0.5</v>
      </c>
      <c r="I512" t="s">
        <v>882</v>
      </c>
      <c r="J512" t="s">
        <v>883</v>
      </c>
      <c r="L512" t="s">
        <v>52</v>
      </c>
      <c r="M512">
        <v>1.4</v>
      </c>
      <c r="N512">
        <v>0.5</v>
      </c>
      <c r="P512" t="s">
        <v>2571</v>
      </c>
      <c r="Q512">
        <v>3</v>
      </c>
      <c r="R512" t="s">
        <v>2572</v>
      </c>
      <c r="S512">
        <v>1</v>
      </c>
      <c r="T512" t="s">
        <v>172</v>
      </c>
      <c r="U512" t="s">
        <v>61</v>
      </c>
      <c r="V512" t="s">
        <v>2573</v>
      </c>
      <c r="W512" t="s">
        <v>222</v>
      </c>
      <c r="Y512">
        <f t="shared" si="81"/>
        <v>0</v>
      </c>
      <c r="Z512">
        <f t="shared" si="82"/>
        <v>0</v>
      </c>
      <c r="AA512">
        <f t="shared" si="83"/>
        <v>0</v>
      </c>
      <c r="AB512">
        <f t="shared" si="84"/>
        <v>0</v>
      </c>
      <c r="AC512">
        <f t="shared" si="85"/>
        <v>0</v>
      </c>
      <c r="AD512">
        <f t="shared" si="86"/>
        <v>0</v>
      </c>
      <c r="AE512">
        <f t="shared" si="87"/>
        <v>0</v>
      </c>
      <c r="AF512">
        <f t="shared" si="88"/>
        <v>0</v>
      </c>
      <c r="AG512">
        <f t="shared" si="89"/>
        <v>0</v>
      </c>
      <c r="AH512" t="s">
        <v>561</v>
      </c>
      <c r="AI512" t="s">
        <v>587</v>
      </c>
      <c r="AJ512" t="s">
        <v>591</v>
      </c>
    </row>
    <row r="513" spans="1:36" x14ac:dyDescent="0.2">
      <c r="A513" t="s">
        <v>229</v>
      </c>
      <c r="B513" t="s">
        <v>445</v>
      </c>
      <c r="C513" t="s">
        <v>37</v>
      </c>
      <c r="D513" t="s">
        <v>881</v>
      </c>
      <c r="E513" s="6" t="s">
        <v>24</v>
      </c>
      <c r="F513" s="6">
        <v>0.5</v>
      </c>
      <c r="G513" s="6" t="s">
        <v>30</v>
      </c>
      <c r="H513" s="6">
        <v>0.5</v>
      </c>
      <c r="I513" t="s">
        <v>882</v>
      </c>
      <c r="J513" t="s">
        <v>883</v>
      </c>
      <c r="L513" t="s">
        <v>52</v>
      </c>
      <c r="M513">
        <v>1.4</v>
      </c>
      <c r="N513">
        <v>0.5</v>
      </c>
      <c r="P513" t="s">
        <v>2574</v>
      </c>
      <c r="Q513">
        <v>4</v>
      </c>
      <c r="R513" t="s">
        <v>2575</v>
      </c>
      <c r="S513">
        <v>3</v>
      </c>
      <c r="V513" t="s">
        <v>2576</v>
      </c>
      <c r="W513" t="s">
        <v>222</v>
      </c>
      <c r="Y513">
        <f t="shared" si="81"/>
        <v>0</v>
      </c>
      <c r="Z513">
        <f t="shared" si="82"/>
        <v>0</v>
      </c>
      <c r="AA513">
        <f t="shared" si="83"/>
        <v>0</v>
      </c>
      <c r="AB513">
        <f t="shared" si="84"/>
        <v>0.5</v>
      </c>
      <c r="AC513">
        <f t="shared" si="85"/>
        <v>0</v>
      </c>
      <c r="AD513">
        <f t="shared" si="86"/>
        <v>0</v>
      </c>
      <c r="AE513">
        <f t="shared" si="87"/>
        <v>0.5</v>
      </c>
      <c r="AF513">
        <f t="shared" si="88"/>
        <v>0</v>
      </c>
      <c r="AG513">
        <f t="shared" si="89"/>
        <v>0</v>
      </c>
      <c r="AH513" t="s">
        <v>561</v>
      </c>
      <c r="AI513" t="s">
        <v>587</v>
      </c>
      <c r="AJ513" t="s">
        <v>591</v>
      </c>
    </row>
    <row r="514" spans="1:36" x14ac:dyDescent="0.2">
      <c r="A514" t="s">
        <v>229</v>
      </c>
      <c r="B514" t="s">
        <v>445</v>
      </c>
      <c r="C514" t="s">
        <v>37</v>
      </c>
      <c r="D514" t="s">
        <v>881</v>
      </c>
      <c r="E514" s="6" t="s">
        <v>24</v>
      </c>
      <c r="F514" s="6">
        <v>0.5</v>
      </c>
      <c r="G514" s="6" t="s">
        <v>30</v>
      </c>
      <c r="H514" s="6">
        <v>0.5</v>
      </c>
      <c r="I514" t="s">
        <v>882</v>
      </c>
      <c r="J514" t="s">
        <v>883</v>
      </c>
      <c r="L514" t="s">
        <v>52</v>
      </c>
      <c r="M514">
        <v>1.4</v>
      </c>
      <c r="N514">
        <v>0.5</v>
      </c>
      <c r="P514" t="s">
        <v>2577</v>
      </c>
      <c r="Q514">
        <v>5</v>
      </c>
      <c r="R514" t="s">
        <v>2578</v>
      </c>
      <c r="S514">
        <v>4</v>
      </c>
      <c r="V514" t="s">
        <v>2454</v>
      </c>
      <c r="W514" t="s">
        <v>222</v>
      </c>
      <c r="Y514">
        <f t="shared" si="81"/>
        <v>0</v>
      </c>
      <c r="Z514">
        <f t="shared" si="82"/>
        <v>0</v>
      </c>
      <c r="AA514">
        <f t="shared" si="83"/>
        <v>0</v>
      </c>
      <c r="AB514">
        <f t="shared" si="84"/>
        <v>1.5</v>
      </c>
      <c r="AC514">
        <f t="shared" si="85"/>
        <v>0</v>
      </c>
      <c r="AD514">
        <f t="shared" si="86"/>
        <v>0</v>
      </c>
      <c r="AE514">
        <f t="shared" si="87"/>
        <v>1.5</v>
      </c>
      <c r="AF514">
        <f t="shared" si="88"/>
        <v>0</v>
      </c>
      <c r="AG514">
        <f t="shared" si="89"/>
        <v>0</v>
      </c>
      <c r="AH514" t="s">
        <v>561</v>
      </c>
      <c r="AI514" t="s">
        <v>587</v>
      </c>
      <c r="AJ514" t="s">
        <v>591</v>
      </c>
    </row>
    <row r="515" spans="1:36" x14ac:dyDescent="0.2">
      <c r="A515" t="s">
        <v>229</v>
      </c>
      <c r="B515" t="s">
        <v>446</v>
      </c>
      <c r="C515" t="s">
        <v>39</v>
      </c>
      <c r="D515" t="s">
        <v>881</v>
      </c>
      <c r="E515" s="6" t="s">
        <v>30</v>
      </c>
      <c r="F515" s="6">
        <v>0.5</v>
      </c>
      <c r="G515" s="6" t="s">
        <v>22</v>
      </c>
      <c r="H515" s="6">
        <v>0.5</v>
      </c>
      <c r="I515" t="s">
        <v>884</v>
      </c>
      <c r="J515" t="s">
        <v>885</v>
      </c>
      <c r="L515" t="s">
        <v>48</v>
      </c>
      <c r="M515">
        <v>1.2</v>
      </c>
      <c r="P515" t="s">
        <v>2579</v>
      </c>
      <c r="Q515">
        <v>1</v>
      </c>
      <c r="R515" t="s">
        <v>2580</v>
      </c>
      <c r="S515">
        <v>0</v>
      </c>
      <c r="T515" t="s">
        <v>265</v>
      </c>
      <c r="U515" t="s">
        <v>62</v>
      </c>
      <c r="V515" t="s">
        <v>2581</v>
      </c>
      <c r="W515" t="s">
        <v>222</v>
      </c>
      <c r="Y515">
        <f t="shared" si="81"/>
        <v>0</v>
      </c>
      <c r="Z515">
        <f t="shared" si="82"/>
        <v>0</v>
      </c>
      <c r="AA515">
        <f t="shared" si="83"/>
        <v>0</v>
      </c>
      <c r="AB515">
        <f t="shared" si="84"/>
        <v>2</v>
      </c>
      <c r="AC515">
        <f t="shared" si="85"/>
        <v>0</v>
      </c>
      <c r="AD515">
        <f t="shared" si="86"/>
        <v>0</v>
      </c>
      <c r="AE515">
        <f t="shared" si="87"/>
        <v>2</v>
      </c>
      <c r="AF515">
        <f t="shared" si="88"/>
        <v>0</v>
      </c>
      <c r="AG515">
        <f t="shared" si="89"/>
        <v>0</v>
      </c>
      <c r="AH515" t="s">
        <v>561</v>
      </c>
      <c r="AI515" t="s">
        <v>587</v>
      </c>
      <c r="AJ515" t="s">
        <v>591</v>
      </c>
    </row>
    <row r="516" spans="1:36" x14ac:dyDescent="0.2">
      <c r="A516" t="s">
        <v>229</v>
      </c>
      <c r="B516" t="s">
        <v>446</v>
      </c>
      <c r="C516" t="s">
        <v>39</v>
      </c>
      <c r="D516" t="s">
        <v>881</v>
      </c>
      <c r="E516" s="6" t="s">
        <v>30</v>
      </c>
      <c r="F516" s="6">
        <v>0.5</v>
      </c>
      <c r="G516" s="6" t="s">
        <v>22</v>
      </c>
      <c r="H516" s="6">
        <v>0.5</v>
      </c>
      <c r="I516" t="s">
        <v>884</v>
      </c>
      <c r="J516" t="s">
        <v>885</v>
      </c>
      <c r="L516" t="s">
        <v>48</v>
      </c>
      <c r="M516">
        <v>1.2</v>
      </c>
      <c r="P516" t="s">
        <v>2582</v>
      </c>
      <c r="Q516">
        <v>2</v>
      </c>
      <c r="R516" t="s">
        <v>2583</v>
      </c>
      <c r="S516">
        <v>1</v>
      </c>
      <c r="T516" t="s">
        <v>255</v>
      </c>
      <c r="U516" t="s">
        <v>60</v>
      </c>
      <c r="V516" t="s">
        <v>2584</v>
      </c>
      <c r="W516" t="s">
        <v>222</v>
      </c>
      <c r="Y516">
        <f t="shared" si="81"/>
        <v>0</v>
      </c>
      <c r="Z516">
        <f t="shared" si="82"/>
        <v>0</v>
      </c>
      <c r="AA516">
        <f t="shared" si="83"/>
        <v>0</v>
      </c>
      <c r="AB516">
        <f t="shared" si="84"/>
        <v>0</v>
      </c>
      <c r="AC516">
        <f t="shared" si="85"/>
        <v>0</v>
      </c>
      <c r="AD516">
        <f t="shared" si="86"/>
        <v>0</v>
      </c>
      <c r="AE516">
        <f t="shared" si="87"/>
        <v>0</v>
      </c>
      <c r="AF516">
        <f t="shared" si="88"/>
        <v>0</v>
      </c>
      <c r="AG516">
        <f t="shared" si="89"/>
        <v>0</v>
      </c>
      <c r="AH516" t="s">
        <v>561</v>
      </c>
      <c r="AI516" t="s">
        <v>587</v>
      </c>
      <c r="AJ516" t="s">
        <v>591</v>
      </c>
    </row>
    <row r="517" spans="1:36" x14ac:dyDescent="0.2">
      <c r="A517" t="s">
        <v>229</v>
      </c>
      <c r="B517" t="s">
        <v>446</v>
      </c>
      <c r="C517" t="s">
        <v>39</v>
      </c>
      <c r="D517" t="s">
        <v>881</v>
      </c>
      <c r="E517" s="6" t="s">
        <v>30</v>
      </c>
      <c r="F517" s="6">
        <v>0.5</v>
      </c>
      <c r="G517" s="6" t="s">
        <v>22</v>
      </c>
      <c r="H517" s="6">
        <v>0.5</v>
      </c>
      <c r="I517" t="s">
        <v>884</v>
      </c>
      <c r="J517" t="s">
        <v>885</v>
      </c>
      <c r="L517" t="s">
        <v>48</v>
      </c>
      <c r="M517">
        <v>1.2</v>
      </c>
      <c r="P517" t="s">
        <v>2585</v>
      </c>
      <c r="Q517">
        <v>3</v>
      </c>
      <c r="R517" t="s">
        <v>2586</v>
      </c>
      <c r="S517">
        <v>3</v>
      </c>
      <c r="V517" t="s">
        <v>2587</v>
      </c>
      <c r="W517" t="s">
        <v>222</v>
      </c>
      <c r="Y517">
        <f t="shared" si="81"/>
        <v>0</v>
      </c>
      <c r="Z517">
        <f t="shared" si="82"/>
        <v>0</v>
      </c>
      <c r="AA517">
        <f t="shared" si="83"/>
        <v>0.5</v>
      </c>
      <c r="AB517">
        <f t="shared" si="84"/>
        <v>0</v>
      </c>
      <c r="AC517">
        <f t="shared" si="85"/>
        <v>0</v>
      </c>
      <c r="AD517">
        <f t="shared" si="86"/>
        <v>0</v>
      </c>
      <c r="AE517">
        <f t="shared" si="87"/>
        <v>0.5</v>
      </c>
      <c r="AF517">
        <f t="shared" si="88"/>
        <v>0</v>
      </c>
      <c r="AG517">
        <f t="shared" si="89"/>
        <v>0</v>
      </c>
      <c r="AH517" t="s">
        <v>561</v>
      </c>
      <c r="AI517" t="s">
        <v>587</v>
      </c>
      <c r="AJ517" t="s">
        <v>591</v>
      </c>
    </row>
    <row r="518" spans="1:36" x14ac:dyDescent="0.2">
      <c r="A518" t="s">
        <v>229</v>
      </c>
      <c r="B518" t="s">
        <v>446</v>
      </c>
      <c r="C518" t="s">
        <v>39</v>
      </c>
      <c r="D518" t="s">
        <v>881</v>
      </c>
      <c r="E518" s="6" t="s">
        <v>30</v>
      </c>
      <c r="F518" s="6">
        <v>0.5</v>
      </c>
      <c r="G518" s="6" t="s">
        <v>22</v>
      </c>
      <c r="H518" s="6">
        <v>0.5</v>
      </c>
      <c r="I518" t="s">
        <v>884</v>
      </c>
      <c r="J518" t="s">
        <v>885</v>
      </c>
      <c r="L518" t="s">
        <v>48</v>
      </c>
      <c r="M518">
        <v>1.2</v>
      </c>
      <c r="P518" t="s">
        <v>2588</v>
      </c>
      <c r="Q518">
        <v>4</v>
      </c>
      <c r="R518" t="s">
        <v>2589</v>
      </c>
      <c r="S518">
        <v>4</v>
      </c>
      <c r="V518" t="s">
        <v>2454</v>
      </c>
      <c r="W518" t="s">
        <v>222</v>
      </c>
      <c r="Y518">
        <f t="shared" si="81"/>
        <v>0</v>
      </c>
      <c r="Z518">
        <f t="shared" si="82"/>
        <v>0</v>
      </c>
      <c r="AA518">
        <f t="shared" si="83"/>
        <v>1.5</v>
      </c>
      <c r="AB518">
        <f t="shared" si="84"/>
        <v>0</v>
      </c>
      <c r="AC518">
        <f t="shared" si="85"/>
        <v>0</v>
      </c>
      <c r="AD518">
        <f t="shared" si="86"/>
        <v>0</v>
      </c>
      <c r="AE518">
        <f t="shared" si="87"/>
        <v>1.5</v>
      </c>
      <c r="AF518">
        <f t="shared" si="88"/>
        <v>0</v>
      </c>
      <c r="AG518">
        <f t="shared" si="89"/>
        <v>0</v>
      </c>
      <c r="AH518" t="s">
        <v>561</v>
      </c>
      <c r="AI518" t="s">
        <v>587</v>
      </c>
      <c r="AJ518" t="s">
        <v>591</v>
      </c>
    </row>
    <row r="519" spans="1:36" x14ac:dyDescent="0.2">
      <c r="A519" t="s">
        <v>229</v>
      </c>
      <c r="B519" t="s">
        <v>447</v>
      </c>
      <c r="C519" t="s">
        <v>37</v>
      </c>
      <c r="D519" t="s">
        <v>886</v>
      </c>
      <c r="E519" s="6" t="s">
        <v>26</v>
      </c>
      <c r="F519" s="6">
        <v>0.5</v>
      </c>
      <c r="G519" s="6" t="s">
        <v>24</v>
      </c>
      <c r="H519" s="6">
        <v>0.5</v>
      </c>
      <c r="I519" t="s">
        <v>887</v>
      </c>
      <c r="J519" t="s">
        <v>888</v>
      </c>
      <c r="L519" t="s">
        <v>52</v>
      </c>
      <c r="M519">
        <v>1.3</v>
      </c>
      <c r="N519">
        <v>0.5</v>
      </c>
      <c r="P519" t="s">
        <v>2590</v>
      </c>
      <c r="Q519">
        <v>1</v>
      </c>
      <c r="R519" t="s">
        <v>1017</v>
      </c>
      <c r="S519">
        <v>0</v>
      </c>
      <c r="T519" t="s">
        <v>273</v>
      </c>
      <c r="U519" t="s">
        <v>65</v>
      </c>
      <c r="V519" t="s">
        <v>2591</v>
      </c>
      <c r="W519" t="s">
        <v>222</v>
      </c>
      <c r="Y519">
        <f t="shared" si="81"/>
        <v>0</v>
      </c>
      <c r="Z519">
        <f t="shared" si="82"/>
        <v>0</v>
      </c>
      <c r="AA519">
        <f t="shared" si="83"/>
        <v>2</v>
      </c>
      <c r="AB519">
        <f t="shared" si="84"/>
        <v>0</v>
      </c>
      <c r="AC519">
        <f t="shared" si="85"/>
        <v>0</v>
      </c>
      <c r="AD519">
        <f t="shared" si="86"/>
        <v>0</v>
      </c>
      <c r="AE519">
        <f t="shared" si="87"/>
        <v>2</v>
      </c>
      <c r="AF519">
        <f t="shared" si="88"/>
        <v>0</v>
      </c>
      <c r="AG519">
        <f t="shared" si="89"/>
        <v>0</v>
      </c>
      <c r="AH519" t="s">
        <v>530</v>
      </c>
      <c r="AI519" t="s">
        <v>676</v>
      </c>
      <c r="AJ519" t="s">
        <v>690</v>
      </c>
    </row>
    <row r="520" spans="1:36" x14ac:dyDescent="0.2">
      <c r="A520" t="s">
        <v>229</v>
      </c>
      <c r="B520" t="s">
        <v>447</v>
      </c>
      <c r="C520" t="s">
        <v>37</v>
      </c>
      <c r="D520" t="s">
        <v>886</v>
      </c>
      <c r="E520" s="6" t="s">
        <v>26</v>
      </c>
      <c r="F520" s="6">
        <v>0.5</v>
      </c>
      <c r="G520" s="6" t="s">
        <v>24</v>
      </c>
      <c r="H520" s="6">
        <v>0.5</v>
      </c>
      <c r="I520" t="s">
        <v>887</v>
      </c>
      <c r="J520" t="s">
        <v>888</v>
      </c>
      <c r="L520" t="s">
        <v>52</v>
      </c>
      <c r="M520">
        <v>1.3</v>
      </c>
      <c r="N520">
        <v>0.5</v>
      </c>
      <c r="P520" t="s">
        <v>2592</v>
      </c>
      <c r="Q520">
        <v>2</v>
      </c>
      <c r="R520" t="s">
        <v>2593</v>
      </c>
      <c r="S520">
        <v>0</v>
      </c>
      <c r="T520" t="s">
        <v>2594</v>
      </c>
      <c r="U520" t="s">
        <v>58</v>
      </c>
      <c r="V520" t="s">
        <v>2595</v>
      </c>
      <c r="W520" t="s">
        <v>222</v>
      </c>
      <c r="Y520">
        <f t="shared" si="81"/>
        <v>0</v>
      </c>
      <c r="Z520">
        <f t="shared" si="82"/>
        <v>0</v>
      </c>
      <c r="AA520">
        <f t="shared" si="83"/>
        <v>0</v>
      </c>
      <c r="AB520">
        <f t="shared" si="84"/>
        <v>0</v>
      </c>
      <c r="AC520">
        <f t="shared" si="85"/>
        <v>0</v>
      </c>
      <c r="AD520">
        <f t="shared" si="86"/>
        <v>0</v>
      </c>
      <c r="AE520">
        <f t="shared" si="87"/>
        <v>0</v>
      </c>
      <c r="AF520">
        <f t="shared" si="88"/>
        <v>0</v>
      </c>
      <c r="AG520">
        <f t="shared" si="89"/>
        <v>0</v>
      </c>
      <c r="AH520" t="s">
        <v>530</v>
      </c>
      <c r="AI520" t="s">
        <v>676</v>
      </c>
      <c r="AJ520" t="s">
        <v>690</v>
      </c>
    </row>
    <row r="521" spans="1:36" x14ac:dyDescent="0.2">
      <c r="A521" t="s">
        <v>229</v>
      </c>
      <c r="B521" t="s">
        <v>447</v>
      </c>
      <c r="C521" t="s">
        <v>37</v>
      </c>
      <c r="D521" t="s">
        <v>886</v>
      </c>
      <c r="E521" s="6" t="s">
        <v>26</v>
      </c>
      <c r="F521" s="6">
        <v>0.5</v>
      </c>
      <c r="G521" s="6" t="s">
        <v>24</v>
      </c>
      <c r="H521" s="6">
        <v>0.5</v>
      </c>
      <c r="I521" t="s">
        <v>887</v>
      </c>
      <c r="J521" t="s">
        <v>888</v>
      </c>
      <c r="L521" t="s">
        <v>52</v>
      </c>
      <c r="M521">
        <v>1.3</v>
      </c>
      <c r="N521">
        <v>0.5</v>
      </c>
      <c r="P521" t="s">
        <v>2596</v>
      </c>
      <c r="Q521">
        <v>3</v>
      </c>
      <c r="R521" t="s">
        <v>2597</v>
      </c>
      <c r="S521">
        <v>1</v>
      </c>
      <c r="T521" t="s">
        <v>172</v>
      </c>
      <c r="U521" t="s">
        <v>61</v>
      </c>
      <c r="V521" t="s">
        <v>2598</v>
      </c>
      <c r="W521" t="s">
        <v>222</v>
      </c>
      <c r="Y521">
        <f t="shared" si="81"/>
        <v>0</v>
      </c>
      <c r="Z521">
        <f t="shared" si="82"/>
        <v>0</v>
      </c>
      <c r="AA521">
        <f t="shared" si="83"/>
        <v>0</v>
      </c>
      <c r="AB521">
        <f t="shared" si="84"/>
        <v>0</v>
      </c>
      <c r="AC521">
        <f t="shared" si="85"/>
        <v>0</v>
      </c>
      <c r="AD521">
        <f t="shared" si="86"/>
        <v>0</v>
      </c>
      <c r="AE521">
        <f t="shared" si="87"/>
        <v>0</v>
      </c>
      <c r="AF521">
        <f t="shared" si="88"/>
        <v>0</v>
      </c>
      <c r="AG521">
        <f t="shared" si="89"/>
        <v>0</v>
      </c>
      <c r="AH521" t="s">
        <v>530</v>
      </c>
      <c r="AI521" t="s">
        <v>676</v>
      </c>
      <c r="AJ521" t="s">
        <v>690</v>
      </c>
    </row>
    <row r="522" spans="1:36" x14ac:dyDescent="0.2">
      <c r="A522" t="s">
        <v>229</v>
      </c>
      <c r="B522" t="s">
        <v>447</v>
      </c>
      <c r="C522" t="s">
        <v>37</v>
      </c>
      <c r="D522" t="s">
        <v>886</v>
      </c>
      <c r="E522" s="6" t="s">
        <v>26</v>
      </c>
      <c r="F522" s="6">
        <v>0.5</v>
      </c>
      <c r="G522" s="6" t="s">
        <v>24</v>
      </c>
      <c r="H522" s="6">
        <v>0.5</v>
      </c>
      <c r="I522" t="s">
        <v>887</v>
      </c>
      <c r="J522" t="s">
        <v>888</v>
      </c>
      <c r="L522" t="s">
        <v>52</v>
      </c>
      <c r="M522">
        <v>1.3</v>
      </c>
      <c r="N522">
        <v>0.5</v>
      </c>
      <c r="P522" t="s">
        <v>2599</v>
      </c>
      <c r="Q522">
        <v>4</v>
      </c>
      <c r="R522" t="s">
        <v>2600</v>
      </c>
      <c r="S522">
        <v>3</v>
      </c>
      <c r="V522" t="s">
        <v>2601</v>
      </c>
      <c r="W522" t="s">
        <v>222</v>
      </c>
      <c r="Y522">
        <f t="shared" si="81"/>
        <v>0</v>
      </c>
      <c r="Z522">
        <f t="shared" si="82"/>
        <v>0</v>
      </c>
      <c r="AA522">
        <f t="shared" si="83"/>
        <v>0</v>
      </c>
      <c r="AB522">
        <f t="shared" si="84"/>
        <v>0.5</v>
      </c>
      <c r="AC522">
        <f t="shared" si="85"/>
        <v>0.5</v>
      </c>
      <c r="AD522">
        <f t="shared" si="86"/>
        <v>0</v>
      </c>
      <c r="AE522">
        <f t="shared" si="87"/>
        <v>0</v>
      </c>
      <c r="AF522">
        <f t="shared" si="88"/>
        <v>0</v>
      </c>
      <c r="AG522">
        <f t="shared" si="89"/>
        <v>0</v>
      </c>
      <c r="AH522" t="s">
        <v>530</v>
      </c>
      <c r="AI522" t="s">
        <v>676</v>
      </c>
      <c r="AJ522" t="s">
        <v>690</v>
      </c>
    </row>
    <row r="523" spans="1:36" x14ac:dyDescent="0.2">
      <c r="A523" t="s">
        <v>229</v>
      </c>
      <c r="B523" t="s">
        <v>447</v>
      </c>
      <c r="C523" t="s">
        <v>37</v>
      </c>
      <c r="D523" t="s">
        <v>886</v>
      </c>
      <c r="E523" s="6" t="s">
        <v>26</v>
      </c>
      <c r="F523" s="6">
        <v>0.5</v>
      </c>
      <c r="G523" s="6" t="s">
        <v>24</v>
      </c>
      <c r="H523" s="6">
        <v>0.5</v>
      </c>
      <c r="I523" t="s">
        <v>887</v>
      </c>
      <c r="J523" t="s">
        <v>888</v>
      </c>
      <c r="L523" t="s">
        <v>52</v>
      </c>
      <c r="M523">
        <v>1.3</v>
      </c>
      <c r="N523">
        <v>0.5</v>
      </c>
      <c r="P523" t="s">
        <v>2602</v>
      </c>
      <c r="Q523">
        <v>5</v>
      </c>
      <c r="R523" t="s">
        <v>2603</v>
      </c>
      <c r="S523">
        <v>4</v>
      </c>
      <c r="V523" t="s">
        <v>2454</v>
      </c>
      <c r="W523" t="s">
        <v>222</v>
      </c>
      <c r="Y523">
        <f t="shared" si="81"/>
        <v>0</v>
      </c>
      <c r="Z523">
        <f t="shared" si="82"/>
        <v>0</v>
      </c>
      <c r="AA523">
        <f t="shared" si="83"/>
        <v>0</v>
      </c>
      <c r="AB523">
        <f t="shared" si="84"/>
        <v>1.5</v>
      </c>
      <c r="AC523">
        <f t="shared" si="85"/>
        <v>1.5</v>
      </c>
      <c r="AD523">
        <f t="shared" si="86"/>
        <v>0</v>
      </c>
      <c r="AE523">
        <f t="shared" si="87"/>
        <v>0</v>
      </c>
      <c r="AF523">
        <f t="shared" si="88"/>
        <v>0</v>
      </c>
      <c r="AG523">
        <f t="shared" si="89"/>
        <v>0</v>
      </c>
      <c r="AH523" t="s">
        <v>530</v>
      </c>
      <c r="AI523" t="s">
        <v>676</v>
      </c>
      <c r="AJ523" t="s">
        <v>690</v>
      </c>
    </row>
    <row r="524" spans="1:36" x14ac:dyDescent="0.2">
      <c r="A524" t="s">
        <v>229</v>
      </c>
      <c r="B524" t="s">
        <v>448</v>
      </c>
      <c r="C524" t="s">
        <v>39</v>
      </c>
      <c r="D524" t="s">
        <v>886</v>
      </c>
      <c r="E524" s="6" t="s">
        <v>26</v>
      </c>
      <c r="F524" s="6">
        <v>1</v>
      </c>
      <c r="G524" s="6" t="s">
        <v>522</v>
      </c>
      <c r="I524" t="s">
        <v>889</v>
      </c>
      <c r="J524" t="s">
        <v>890</v>
      </c>
      <c r="L524" t="s">
        <v>50</v>
      </c>
      <c r="M524">
        <v>1.1000000000000001</v>
      </c>
      <c r="P524" t="s">
        <v>2604</v>
      </c>
      <c r="Q524">
        <v>1</v>
      </c>
      <c r="R524" t="s">
        <v>2605</v>
      </c>
      <c r="S524">
        <v>0</v>
      </c>
      <c r="T524" t="s">
        <v>237</v>
      </c>
      <c r="U524" t="s">
        <v>58</v>
      </c>
      <c r="V524" t="s">
        <v>2606</v>
      </c>
      <c r="W524" t="s">
        <v>222</v>
      </c>
      <c r="Y524">
        <f t="shared" si="81"/>
        <v>0</v>
      </c>
      <c r="Z524">
        <f t="shared" si="82"/>
        <v>0</v>
      </c>
      <c r="AA524">
        <f t="shared" si="83"/>
        <v>0</v>
      </c>
      <c r="AB524">
        <f t="shared" si="84"/>
        <v>2</v>
      </c>
      <c r="AC524">
        <f t="shared" si="85"/>
        <v>2</v>
      </c>
      <c r="AD524">
        <f t="shared" si="86"/>
        <v>0</v>
      </c>
      <c r="AE524">
        <f t="shared" si="87"/>
        <v>0</v>
      </c>
      <c r="AF524">
        <f t="shared" si="88"/>
        <v>0</v>
      </c>
      <c r="AG524">
        <f t="shared" si="89"/>
        <v>0</v>
      </c>
      <c r="AH524" t="s">
        <v>570</v>
      </c>
      <c r="AI524" t="s">
        <v>594</v>
      </c>
      <c r="AJ524" t="s">
        <v>872</v>
      </c>
    </row>
    <row r="525" spans="1:36" x14ac:dyDescent="0.2">
      <c r="A525" t="s">
        <v>229</v>
      </c>
      <c r="B525" t="s">
        <v>448</v>
      </c>
      <c r="C525" t="s">
        <v>39</v>
      </c>
      <c r="D525" t="s">
        <v>886</v>
      </c>
      <c r="E525" s="6" t="s">
        <v>26</v>
      </c>
      <c r="F525" s="6">
        <v>1</v>
      </c>
      <c r="G525" s="6" t="s">
        <v>522</v>
      </c>
      <c r="I525" t="s">
        <v>889</v>
      </c>
      <c r="J525" t="s">
        <v>890</v>
      </c>
      <c r="L525" t="s">
        <v>50</v>
      </c>
      <c r="M525">
        <v>1.1000000000000001</v>
      </c>
      <c r="P525" t="s">
        <v>2607</v>
      </c>
      <c r="Q525">
        <v>2</v>
      </c>
      <c r="R525" t="s">
        <v>2608</v>
      </c>
      <c r="S525">
        <v>1</v>
      </c>
      <c r="T525" t="s">
        <v>255</v>
      </c>
      <c r="U525" t="s">
        <v>60</v>
      </c>
      <c r="V525" t="s">
        <v>2609</v>
      </c>
      <c r="W525" t="s">
        <v>222</v>
      </c>
      <c r="Y525">
        <f t="shared" si="81"/>
        <v>0</v>
      </c>
      <c r="Z525">
        <f t="shared" si="82"/>
        <v>0</v>
      </c>
      <c r="AA525">
        <f t="shared" si="83"/>
        <v>0</v>
      </c>
      <c r="AB525">
        <f t="shared" si="84"/>
        <v>0</v>
      </c>
      <c r="AC525">
        <f t="shared" si="85"/>
        <v>0</v>
      </c>
      <c r="AD525">
        <f t="shared" si="86"/>
        <v>0</v>
      </c>
      <c r="AE525">
        <f t="shared" si="87"/>
        <v>0</v>
      </c>
      <c r="AF525">
        <f t="shared" si="88"/>
        <v>0</v>
      </c>
      <c r="AG525">
        <f t="shared" si="89"/>
        <v>0</v>
      </c>
      <c r="AH525" t="s">
        <v>570</v>
      </c>
      <c r="AI525" t="s">
        <v>594</v>
      </c>
      <c r="AJ525" t="s">
        <v>872</v>
      </c>
    </row>
    <row r="526" spans="1:36" x14ac:dyDescent="0.2">
      <c r="A526" t="s">
        <v>229</v>
      </c>
      <c r="B526" t="s">
        <v>448</v>
      </c>
      <c r="C526" t="s">
        <v>39</v>
      </c>
      <c r="D526" t="s">
        <v>886</v>
      </c>
      <c r="E526" s="6" t="s">
        <v>26</v>
      </c>
      <c r="F526" s="6">
        <v>1</v>
      </c>
      <c r="G526" s="6" t="s">
        <v>522</v>
      </c>
      <c r="I526" t="s">
        <v>889</v>
      </c>
      <c r="J526" t="s">
        <v>890</v>
      </c>
      <c r="L526" t="s">
        <v>50</v>
      </c>
      <c r="M526">
        <v>1.1000000000000001</v>
      </c>
      <c r="P526" t="s">
        <v>2610</v>
      </c>
      <c r="Q526">
        <v>3</v>
      </c>
      <c r="R526" t="s">
        <v>2611</v>
      </c>
      <c r="S526">
        <v>3</v>
      </c>
      <c r="V526" t="s">
        <v>2612</v>
      </c>
      <c r="W526" t="s">
        <v>222</v>
      </c>
      <c r="Y526">
        <f t="shared" si="81"/>
        <v>0</v>
      </c>
      <c r="Z526">
        <f t="shared" si="82"/>
        <v>0</v>
      </c>
      <c r="AA526">
        <f t="shared" si="83"/>
        <v>0</v>
      </c>
      <c r="AB526">
        <f t="shared" si="84"/>
        <v>0</v>
      </c>
      <c r="AC526">
        <f t="shared" si="85"/>
        <v>1</v>
      </c>
      <c r="AD526">
        <f t="shared" si="86"/>
        <v>0</v>
      </c>
      <c r="AE526">
        <f t="shared" si="87"/>
        <v>0</v>
      </c>
      <c r="AF526">
        <f t="shared" si="88"/>
        <v>0</v>
      </c>
      <c r="AG526">
        <f t="shared" si="89"/>
        <v>0</v>
      </c>
      <c r="AH526" t="s">
        <v>570</v>
      </c>
      <c r="AI526" t="s">
        <v>594</v>
      </c>
      <c r="AJ526" t="s">
        <v>872</v>
      </c>
    </row>
    <row r="527" spans="1:36" x14ac:dyDescent="0.2">
      <c r="A527" t="s">
        <v>229</v>
      </c>
      <c r="B527" t="s">
        <v>448</v>
      </c>
      <c r="C527" t="s">
        <v>39</v>
      </c>
      <c r="D527" t="s">
        <v>886</v>
      </c>
      <c r="E527" s="6" t="s">
        <v>26</v>
      </c>
      <c r="F527" s="6">
        <v>1</v>
      </c>
      <c r="G527" s="6" t="s">
        <v>522</v>
      </c>
      <c r="I527" t="s">
        <v>889</v>
      </c>
      <c r="J527" t="s">
        <v>890</v>
      </c>
      <c r="L527" t="s">
        <v>50</v>
      </c>
      <c r="M527">
        <v>1.1000000000000001</v>
      </c>
      <c r="P527" t="s">
        <v>2613</v>
      </c>
      <c r="Q527">
        <v>4</v>
      </c>
      <c r="R527" t="s">
        <v>2614</v>
      </c>
      <c r="S527">
        <v>4</v>
      </c>
      <c r="V527" t="s">
        <v>2454</v>
      </c>
      <c r="W527" t="s">
        <v>222</v>
      </c>
      <c r="Y527">
        <f t="shared" si="81"/>
        <v>0</v>
      </c>
      <c r="Z527">
        <f t="shared" si="82"/>
        <v>0</v>
      </c>
      <c r="AA527">
        <f t="shared" si="83"/>
        <v>0</v>
      </c>
      <c r="AB527">
        <f t="shared" si="84"/>
        <v>0</v>
      </c>
      <c r="AC527">
        <f t="shared" si="85"/>
        <v>3</v>
      </c>
      <c r="AD527">
        <f t="shared" si="86"/>
        <v>0</v>
      </c>
      <c r="AE527">
        <f t="shared" si="87"/>
        <v>0</v>
      </c>
      <c r="AF527">
        <f t="shared" si="88"/>
        <v>0</v>
      </c>
      <c r="AG527">
        <f t="shared" si="89"/>
        <v>0</v>
      </c>
      <c r="AH527" t="s">
        <v>570</v>
      </c>
      <c r="AI527" t="s">
        <v>594</v>
      </c>
      <c r="AJ527" t="s">
        <v>872</v>
      </c>
    </row>
    <row r="528" spans="1:36" x14ac:dyDescent="0.2">
      <c r="A528" t="s">
        <v>229</v>
      </c>
      <c r="B528" t="s">
        <v>449</v>
      </c>
      <c r="C528" t="s">
        <v>39</v>
      </c>
      <c r="D528" t="s">
        <v>858</v>
      </c>
      <c r="E528" s="6" t="s">
        <v>24</v>
      </c>
      <c r="F528" s="6">
        <v>0.6</v>
      </c>
      <c r="G528" s="6" t="s">
        <v>18</v>
      </c>
      <c r="H528" s="6">
        <v>0.4</v>
      </c>
      <c r="I528" t="s">
        <v>891</v>
      </c>
      <c r="J528" t="s">
        <v>892</v>
      </c>
      <c r="L528" t="s">
        <v>52</v>
      </c>
      <c r="M528">
        <v>1</v>
      </c>
      <c r="P528" t="s">
        <v>2615</v>
      </c>
      <c r="Q528">
        <v>1</v>
      </c>
      <c r="R528" t="s">
        <v>2616</v>
      </c>
      <c r="S528">
        <v>0</v>
      </c>
      <c r="T528" t="s">
        <v>248</v>
      </c>
      <c r="U528" t="s">
        <v>59</v>
      </c>
      <c r="V528" t="s">
        <v>2617</v>
      </c>
      <c r="W528" t="s">
        <v>222</v>
      </c>
      <c r="Y528">
        <f t="shared" si="81"/>
        <v>0</v>
      </c>
      <c r="Z528">
        <f t="shared" si="82"/>
        <v>0</v>
      </c>
      <c r="AA528">
        <f t="shared" si="83"/>
        <v>0</v>
      </c>
      <c r="AB528">
        <f t="shared" si="84"/>
        <v>0</v>
      </c>
      <c r="AC528">
        <f t="shared" si="85"/>
        <v>4</v>
      </c>
      <c r="AD528">
        <f t="shared" si="86"/>
        <v>0</v>
      </c>
      <c r="AE528">
        <f t="shared" si="87"/>
        <v>0</v>
      </c>
      <c r="AF528">
        <f t="shared" si="88"/>
        <v>0</v>
      </c>
      <c r="AG528">
        <f t="shared" si="89"/>
        <v>0</v>
      </c>
      <c r="AH528" t="s">
        <v>550</v>
      </c>
      <c r="AI528" t="s">
        <v>551</v>
      </c>
      <c r="AJ528" t="s">
        <v>721</v>
      </c>
    </row>
    <row r="529" spans="1:36" x14ac:dyDescent="0.2">
      <c r="A529" t="s">
        <v>229</v>
      </c>
      <c r="B529" t="s">
        <v>449</v>
      </c>
      <c r="C529" t="s">
        <v>39</v>
      </c>
      <c r="D529" t="s">
        <v>858</v>
      </c>
      <c r="E529" s="6" t="s">
        <v>24</v>
      </c>
      <c r="F529" s="6">
        <v>0.6</v>
      </c>
      <c r="G529" s="6" t="s">
        <v>18</v>
      </c>
      <c r="H529" s="6">
        <v>0.4</v>
      </c>
      <c r="I529" t="s">
        <v>891</v>
      </c>
      <c r="J529" t="s">
        <v>892</v>
      </c>
      <c r="L529" t="s">
        <v>52</v>
      </c>
      <c r="M529">
        <v>1</v>
      </c>
      <c r="P529" t="s">
        <v>2618</v>
      </c>
      <c r="Q529">
        <v>2</v>
      </c>
      <c r="R529" t="s">
        <v>2619</v>
      </c>
      <c r="S529">
        <v>1</v>
      </c>
      <c r="T529" t="s">
        <v>172</v>
      </c>
      <c r="U529" t="s">
        <v>61</v>
      </c>
      <c r="V529" t="s">
        <v>2620</v>
      </c>
      <c r="W529" t="s">
        <v>222</v>
      </c>
      <c r="Y529">
        <f t="shared" si="81"/>
        <v>0</v>
      </c>
      <c r="Z529">
        <f t="shared" si="82"/>
        <v>0</v>
      </c>
      <c r="AA529">
        <f t="shared" si="83"/>
        <v>0</v>
      </c>
      <c r="AB529">
        <f t="shared" si="84"/>
        <v>0</v>
      </c>
      <c r="AC529">
        <f t="shared" si="85"/>
        <v>0</v>
      </c>
      <c r="AD529">
        <f t="shared" si="86"/>
        <v>0</v>
      </c>
      <c r="AE529">
        <f t="shared" si="87"/>
        <v>0</v>
      </c>
      <c r="AF529">
        <f t="shared" si="88"/>
        <v>0</v>
      </c>
      <c r="AG529">
        <f t="shared" si="89"/>
        <v>0</v>
      </c>
      <c r="AH529" t="s">
        <v>550</v>
      </c>
      <c r="AI529" t="s">
        <v>551</v>
      </c>
      <c r="AJ529" t="s">
        <v>721</v>
      </c>
    </row>
    <row r="530" spans="1:36" x14ac:dyDescent="0.2">
      <c r="A530" t="s">
        <v>229</v>
      </c>
      <c r="B530" t="s">
        <v>449</v>
      </c>
      <c r="C530" t="s">
        <v>39</v>
      </c>
      <c r="D530" t="s">
        <v>858</v>
      </c>
      <c r="E530" s="6" t="s">
        <v>24</v>
      </c>
      <c r="F530" s="6">
        <v>0.6</v>
      </c>
      <c r="G530" s="6" t="s">
        <v>18</v>
      </c>
      <c r="H530" s="6">
        <v>0.4</v>
      </c>
      <c r="I530" t="s">
        <v>891</v>
      </c>
      <c r="J530" t="s">
        <v>892</v>
      </c>
      <c r="L530" t="s">
        <v>52</v>
      </c>
      <c r="M530">
        <v>1</v>
      </c>
      <c r="P530" t="s">
        <v>2621</v>
      </c>
      <c r="Q530">
        <v>3</v>
      </c>
      <c r="R530" t="s">
        <v>2622</v>
      </c>
      <c r="S530">
        <v>3</v>
      </c>
      <c r="V530" t="s">
        <v>2623</v>
      </c>
      <c r="W530" t="s">
        <v>222</v>
      </c>
      <c r="Y530">
        <f t="shared" si="81"/>
        <v>0.4</v>
      </c>
      <c r="Z530">
        <f t="shared" si="82"/>
        <v>0</v>
      </c>
      <c r="AA530">
        <f t="shared" si="83"/>
        <v>0</v>
      </c>
      <c r="AB530">
        <f t="shared" si="84"/>
        <v>0.6</v>
      </c>
      <c r="AC530">
        <f t="shared" si="85"/>
        <v>0</v>
      </c>
      <c r="AD530">
        <f t="shared" si="86"/>
        <v>0</v>
      </c>
      <c r="AE530">
        <f t="shared" si="87"/>
        <v>0</v>
      </c>
      <c r="AF530">
        <f t="shared" si="88"/>
        <v>0</v>
      </c>
      <c r="AG530">
        <f t="shared" si="89"/>
        <v>0</v>
      </c>
      <c r="AH530" t="s">
        <v>550</v>
      </c>
      <c r="AI530" t="s">
        <v>551</v>
      </c>
      <c r="AJ530" t="s">
        <v>721</v>
      </c>
    </row>
    <row r="531" spans="1:36" x14ac:dyDescent="0.2">
      <c r="A531" t="s">
        <v>229</v>
      </c>
      <c r="B531" t="s">
        <v>449</v>
      </c>
      <c r="C531" t="s">
        <v>39</v>
      </c>
      <c r="D531" t="s">
        <v>858</v>
      </c>
      <c r="E531" s="6" t="s">
        <v>24</v>
      </c>
      <c r="F531" s="6">
        <v>0.6</v>
      </c>
      <c r="G531" s="6" t="s">
        <v>18</v>
      </c>
      <c r="H531" s="6">
        <v>0.4</v>
      </c>
      <c r="I531" t="s">
        <v>891</v>
      </c>
      <c r="J531" t="s">
        <v>892</v>
      </c>
      <c r="L531" t="s">
        <v>52</v>
      </c>
      <c r="M531">
        <v>1</v>
      </c>
      <c r="P531" t="s">
        <v>2624</v>
      </c>
      <c r="Q531">
        <v>4</v>
      </c>
      <c r="R531" t="s">
        <v>2625</v>
      </c>
      <c r="S531">
        <v>4</v>
      </c>
      <c r="V531" t="s">
        <v>2454</v>
      </c>
      <c r="W531" t="s">
        <v>222</v>
      </c>
      <c r="Y531">
        <f t="shared" si="81"/>
        <v>1.2000000000000002</v>
      </c>
      <c r="Z531">
        <f t="shared" si="82"/>
        <v>0</v>
      </c>
      <c r="AA531">
        <f t="shared" si="83"/>
        <v>0</v>
      </c>
      <c r="AB531">
        <f t="shared" si="84"/>
        <v>1.7999999999999998</v>
      </c>
      <c r="AC531">
        <f t="shared" si="85"/>
        <v>0</v>
      </c>
      <c r="AD531">
        <f t="shared" si="86"/>
        <v>0</v>
      </c>
      <c r="AE531">
        <f t="shared" si="87"/>
        <v>0</v>
      </c>
      <c r="AF531">
        <f t="shared" si="88"/>
        <v>0</v>
      </c>
      <c r="AG531">
        <f t="shared" si="89"/>
        <v>0</v>
      </c>
      <c r="AH531" t="s">
        <v>550</v>
      </c>
      <c r="AI531" t="s">
        <v>551</v>
      </c>
      <c r="AJ531" t="s">
        <v>721</v>
      </c>
    </row>
    <row r="532" spans="1:36" x14ac:dyDescent="0.2">
      <c r="A532" t="s">
        <v>229</v>
      </c>
      <c r="B532" t="s">
        <v>450</v>
      </c>
      <c r="C532" t="s">
        <v>39</v>
      </c>
      <c r="D532" t="s">
        <v>881</v>
      </c>
      <c r="E532" s="6" t="s">
        <v>24</v>
      </c>
      <c r="F532" s="6">
        <v>0.5</v>
      </c>
      <c r="G532" s="6" t="s">
        <v>30</v>
      </c>
      <c r="H532" s="6">
        <v>0.5</v>
      </c>
      <c r="I532" t="s">
        <v>893</v>
      </c>
      <c r="J532" t="s">
        <v>894</v>
      </c>
      <c r="L532" t="s">
        <v>52</v>
      </c>
      <c r="M532">
        <v>1</v>
      </c>
      <c r="P532" t="s">
        <v>2626</v>
      </c>
      <c r="Q532">
        <v>1</v>
      </c>
      <c r="R532" t="s">
        <v>2627</v>
      </c>
      <c r="S532">
        <v>0</v>
      </c>
      <c r="T532" t="s">
        <v>265</v>
      </c>
      <c r="U532" t="s">
        <v>62</v>
      </c>
      <c r="V532" t="s">
        <v>2628</v>
      </c>
      <c r="W532" t="s">
        <v>222</v>
      </c>
      <c r="Y532">
        <f t="shared" si="81"/>
        <v>1.6</v>
      </c>
      <c r="Z532">
        <f t="shared" si="82"/>
        <v>0</v>
      </c>
      <c r="AA532">
        <f t="shared" si="83"/>
        <v>0</v>
      </c>
      <c r="AB532">
        <f t="shared" si="84"/>
        <v>2.4</v>
      </c>
      <c r="AC532">
        <f t="shared" si="85"/>
        <v>0</v>
      </c>
      <c r="AD532">
        <f t="shared" si="86"/>
        <v>0</v>
      </c>
      <c r="AE532">
        <f t="shared" si="87"/>
        <v>0</v>
      </c>
      <c r="AF532">
        <f t="shared" si="88"/>
        <v>0</v>
      </c>
      <c r="AG532">
        <f t="shared" si="89"/>
        <v>0</v>
      </c>
      <c r="AH532" t="s">
        <v>561</v>
      </c>
      <c r="AI532" t="s">
        <v>562</v>
      </c>
      <c r="AJ532" t="s">
        <v>644</v>
      </c>
    </row>
    <row r="533" spans="1:36" x14ac:dyDescent="0.2">
      <c r="A533" t="s">
        <v>229</v>
      </c>
      <c r="B533" t="s">
        <v>450</v>
      </c>
      <c r="C533" t="s">
        <v>39</v>
      </c>
      <c r="D533" t="s">
        <v>881</v>
      </c>
      <c r="E533" s="6" t="s">
        <v>24</v>
      </c>
      <c r="F533" s="6">
        <v>0.5</v>
      </c>
      <c r="G533" s="6" t="s">
        <v>30</v>
      </c>
      <c r="H533" s="6">
        <v>0.5</v>
      </c>
      <c r="I533" t="s">
        <v>893</v>
      </c>
      <c r="J533" t="s">
        <v>894</v>
      </c>
      <c r="L533" t="s">
        <v>52</v>
      </c>
      <c r="M533">
        <v>1</v>
      </c>
      <c r="P533" t="s">
        <v>2629</v>
      </c>
      <c r="Q533">
        <v>2</v>
      </c>
      <c r="R533" t="s">
        <v>2630</v>
      </c>
      <c r="S533">
        <v>1</v>
      </c>
      <c r="T533" t="s">
        <v>255</v>
      </c>
      <c r="U533" t="s">
        <v>60</v>
      </c>
      <c r="V533" t="s">
        <v>2631</v>
      </c>
      <c r="W533" t="s">
        <v>222</v>
      </c>
      <c r="Y533">
        <f t="shared" si="81"/>
        <v>0</v>
      </c>
      <c r="Z533">
        <f t="shared" si="82"/>
        <v>0</v>
      </c>
      <c r="AA533">
        <f t="shared" si="83"/>
        <v>0</v>
      </c>
      <c r="AB533">
        <f t="shared" si="84"/>
        <v>0</v>
      </c>
      <c r="AC533">
        <f t="shared" si="85"/>
        <v>0</v>
      </c>
      <c r="AD533">
        <f t="shared" si="86"/>
        <v>0</v>
      </c>
      <c r="AE533">
        <f t="shared" si="87"/>
        <v>0</v>
      </c>
      <c r="AF533">
        <f t="shared" si="88"/>
        <v>0</v>
      </c>
      <c r="AG533">
        <f t="shared" si="89"/>
        <v>0</v>
      </c>
      <c r="AH533" t="s">
        <v>561</v>
      </c>
      <c r="AI533" t="s">
        <v>562</v>
      </c>
      <c r="AJ533" t="s">
        <v>644</v>
      </c>
    </row>
    <row r="534" spans="1:36" x14ac:dyDescent="0.2">
      <c r="A534" t="s">
        <v>229</v>
      </c>
      <c r="B534" t="s">
        <v>450</v>
      </c>
      <c r="C534" t="s">
        <v>39</v>
      </c>
      <c r="D534" t="s">
        <v>881</v>
      </c>
      <c r="E534" s="6" t="s">
        <v>24</v>
      </c>
      <c r="F534" s="6">
        <v>0.5</v>
      </c>
      <c r="G534" s="6" t="s">
        <v>30</v>
      </c>
      <c r="H534" s="6">
        <v>0.5</v>
      </c>
      <c r="I534" t="s">
        <v>893</v>
      </c>
      <c r="J534" t="s">
        <v>894</v>
      </c>
      <c r="L534" t="s">
        <v>52</v>
      </c>
      <c r="M534">
        <v>1</v>
      </c>
      <c r="P534" t="s">
        <v>2632</v>
      </c>
      <c r="Q534">
        <v>3</v>
      </c>
      <c r="R534" t="s">
        <v>2633</v>
      </c>
      <c r="S534">
        <v>3</v>
      </c>
      <c r="V534" t="s">
        <v>2634</v>
      </c>
      <c r="W534" t="s">
        <v>222</v>
      </c>
      <c r="Y534">
        <f t="shared" si="81"/>
        <v>0</v>
      </c>
      <c r="Z534">
        <f t="shared" si="82"/>
        <v>0</v>
      </c>
      <c r="AA534">
        <f t="shared" si="83"/>
        <v>0</v>
      </c>
      <c r="AB534">
        <f t="shared" si="84"/>
        <v>0.5</v>
      </c>
      <c r="AC534">
        <f t="shared" si="85"/>
        <v>0</v>
      </c>
      <c r="AD534">
        <f t="shared" si="86"/>
        <v>0</v>
      </c>
      <c r="AE534">
        <f t="shared" si="87"/>
        <v>0.5</v>
      </c>
      <c r="AF534">
        <f t="shared" si="88"/>
        <v>0</v>
      </c>
      <c r="AG534">
        <f t="shared" si="89"/>
        <v>0</v>
      </c>
      <c r="AH534" t="s">
        <v>561</v>
      </c>
      <c r="AI534" t="s">
        <v>562</v>
      </c>
      <c r="AJ534" t="s">
        <v>644</v>
      </c>
    </row>
    <row r="535" spans="1:36" x14ac:dyDescent="0.2">
      <c r="A535" t="s">
        <v>229</v>
      </c>
      <c r="B535" t="s">
        <v>450</v>
      </c>
      <c r="C535" t="s">
        <v>39</v>
      </c>
      <c r="D535" t="s">
        <v>881</v>
      </c>
      <c r="E535" s="6" t="s">
        <v>24</v>
      </c>
      <c r="F535" s="6">
        <v>0.5</v>
      </c>
      <c r="G535" s="6" t="s">
        <v>30</v>
      </c>
      <c r="H535" s="6">
        <v>0.5</v>
      </c>
      <c r="I535" t="s">
        <v>893</v>
      </c>
      <c r="J535" t="s">
        <v>894</v>
      </c>
      <c r="L535" t="s">
        <v>52</v>
      </c>
      <c r="M535">
        <v>1</v>
      </c>
      <c r="P535" t="s">
        <v>2635</v>
      </c>
      <c r="Q535">
        <v>4</v>
      </c>
      <c r="R535" t="s">
        <v>2636</v>
      </c>
      <c r="S535">
        <v>4</v>
      </c>
      <c r="V535" t="s">
        <v>2454</v>
      </c>
      <c r="W535" t="s">
        <v>222</v>
      </c>
      <c r="Y535">
        <f t="shared" si="81"/>
        <v>0</v>
      </c>
      <c r="Z535">
        <f t="shared" si="82"/>
        <v>0</v>
      </c>
      <c r="AA535">
        <f t="shared" si="83"/>
        <v>0</v>
      </c>
      <c r="AB535">
        <f t="shared" si="84"/>
        <v>1.5</v>
      </c>
      <c r="AC535">
        <f t="shared" si="85"/>
        <v>0</v>
      </c>
      <c r="AD535">
        <f t="shared" si="86"/>
        <v>0</v>
      </c>
      <c r="AE535">
        <f t="shared" si="87"/>
        <v>1.5</v>
      </c>
      <c r="AF535">
        <f t="shared" si="88"/>
        <v>0</v>
      </c>
      <c r="AG535">
        <f t="shared" si="89"/>
        <v>0</v>
      </c>
      <c r="AH535" t="s">
        <v>561</v>
      </c>
      <c r="AI535" t="s">
        <v>562</v>
      </c>
      <c r="AJ535" t="s">
        <v>644</v>
      </c>
    </row>
    <row r="536" spans="1:36" x14ac:dyDescent="0.2">
      <c r="A536" t="s">
        <v>229</v>
      </c>
      <c r="B536" t="s">
        <v>451</v>
      </c>
      <c r="C536" t="s">
        <v>39</v>
      </c>
      <c r="D536" t="s">
        <v>858</v>
      </c>
      <c r="E536" s="6" t="s">
        <v>18</v>
      </c>
      <c r="F536" s="6">
        <v>0.5</v>
      </c>
      <c r="G536" s="6" t="s">
        <v>24</v>
      </c>
      <c r="H536" s="6">
        <v>0.5</v>
      </c>
      <c r="I536" t="s">
        <v>895</v>
      </c>
      <c r="J536" t="s">
        <v>896</v>
      </c>
      <c r="L536" t="s">
        <v>52</v>
      </c>
      <c r="M536">
        <v>1.3</v>
      </c>
      <c r="N536">
        <v>0.5</v>
      </c>
      <c r="P536" t="s">
        <v>2637</v>
      </c>
      <c r="Q536">
        <v>1</v>
      </c>
      <c r="R536" t="s">
        <v>2638</v>
      </c>
      <c r="S536">
        <v>0</v>
      </c>
      <c r="T536" t="s">
        <v>248</v>
      </c>
      <c r="U536" t="s">
        <v>59</v>
      </c>
      <c r="V536" t="s">
        <v>2639</v>
      </c>
      <c r="W536" t="s">
        <v>222</v>
      </c>
      <c r="Y536">
        <f t="shared" ref="Y536:Y599" si="90">(S535*IF(E535="G",F535,0))+(S535*IF(G535="G",H535,0))</f>
        <v>0</v>
      </c>
      <c r="Z536">
        <f t="shared" ref="Z536:Z599" si="91">(S535*IF(E535="E",F535,0))+(S535*IF(G535="E",H535,0))</f>
        <v>0</v>
      </c>
      <c r="AA536">
        <f t="shared" ref="AA536:AA599" si="92">(S535*IF(E535="T",F535,0))+(S535*IF(G535="T",H535,0))</f>
        <v>0</v>
      </c>
      <c r="AB536">
        <f t="shared" ref="AB536:AB599" si="93">(S535*IF(E535="L",F535,0))+(S535*IF(G535="L",H535,0))</f>
        <v>2</v>
      </c>
      <c r="AC536">
        <f t="shared" ref="AC536:AC599" si="94">(S535*IF(E535="H",F535,0))+(S535*IF(G535="H",H535,0))</f>
        <v>0</v>
      </c>
      <c r="AD536">
        <f t="shared" ref="AD536:AD599" si="95">(S535*IF(E535="V",F535,0))+(S535*IF(G535="V",H535,0))</f>
        <v>0</v>
      </c>
      <c r="AE536">
        <f t="shared" ref="AE536:AE599" si="96">(S535*IF(E535="R",F535,0))+(S535*IF(G535="R",H535,0))</f>
        <v>2</v>
      </c>
      <c r="AF536">
        <f t="shared" ref="AF536:AF599" si="97">(S535*IF(E535="F",F535,0))+(S535*IF(G535="F",H535,0))</f>
        <v>0</v>
      </c>
      <c r="AG536">
        <f t="shared" ref="AG536:AG599" si="98">(S535*IF(E535="W",F535,0))+(S535*IF(G535="W",H535,0))</f>
        <v>0</v>
      </c>
      <c r="AH536" t="s">
        <v>570</v>
      </c>
      <c r="AI536" t="s">
        <v>571</v>
      </c>
      <c r="AJ536" t="s">
        <v>572</v>
      </c>
    </row>
    <row r="537" spans="1:36" x14ac:dyDescent="0.2">
      <c r="A537" t="s">
        <v>229</v>
      </c>
      <c r="B537" t="s">
        <v>451</v>
      </c>
      <c r="C537" t="s">
        <v>39</v>
      </c>
      <c r="D537" t="s">
        <v>858</v>
      </c>
      <c r="E537" s="6" t="s">
        <v>18</v>
      </c>
      <c r="F537" s="6">
        <v>0.5</v>
      </c>
      <c r="G537" s="6" t="s">
        <v>24</v>
      </c>
      <c r="H537" s="6">
        <v>0.5</v>
      </c>
      <c r="I537" t="s">
        <v>895</v>
      </c>
      <c r="J537" t="s">
        <v>896</v>
      </c>
      <c r="L537" t="s">
        <v>52</v>
      </c>
      <c r="M537">
        <v>1.3</v>
      </c>
      <c r="N537">
        <v>0.5</v>
      </c>
      <c r="P537" t="s">
        <v>2640</v>
      </c>
      <c r="Q537">
        <v>2</v>
      </c>
      <c r="R537" t="s">
        <v>2641</v>
      </c>
      <c r="S537">
        <v>1</v>
      </c>
      <c r="T537" t="s">
        <v>255</v>
      </c>
      <c r="U537" t="s">
        <v>60</v>
      </c>
      <c r="V537" t="s">
        <v>2642</v>
      </c>
      <c r="W537" t="s">
        <v>222</v>
      </c>
      <c r="Y537">
        <f t="shared" si="90"/>
        <v>0</v>
      </c>
      <c r="Z537">
        <f t="shared" si="91"/>
        <v>0</v>
      </c>
      <c r="AA537">
        <f t="shared" si="92"/>
        <v>0</v>
      </c>
      <c r="AB537">
        <f t="shared" si="93"/>
        <v>0</v>
      </c>
      <c r="AC537">
        <f t="shared" si="94"/>
        <v>0</v>
      </c>
      <c r="AD537">
        <f t="shared" si="95"/>
        <v>0</v>
      </c>
      <c r="AE537">
        <f t="shared" si="96"/>
        <v>0</v>
      </c>
      <c r="AF537">
        <f t="shared" si="97"/>
        <v>0</v>
      </c>
      <c r="AG537">
        <f t="shared" si="98"/>
        <v>0</v>
      </c>
      <c r="AH537" t="s">
        <v>570</v>
      </c>
      <c r="AI537" t="s">
        <v>571</v>
      </c>
      <c r="AJ537" t="s">
        <v>572</v>
      </c>
    </row>
    <row r="538" spans="1:36" x14ac:dyDescent="0.2">
      <c r="A538" t="s">
        <v>229</v>
      </c>
      <c r="B538" t="s">
        <v>451</v>
      </c>
      <c r="C538" t="s">
        <v>39</v>
      </c>
      <c r="D538" t="s">
        <v>858</v>
      </c>
      <c r="E538" s="6" t="s">
        <v>18</v>
      </c>
      <c r="F538" s="6">
        <v>0.5</v>
      </c>
      <c r="G538" s="6" t="s">
        <v>24</v>
      </c>
      <c r="H538" s="6">
        <v>0.5</v>
      </c>
      <c r="I538" t="s">
        <v>895</v>
      </c>
      <c r="J538" t="s">
        <v>896</v>
      </c>
      <c r="L538" t="s">
        <v>52</v>
      </c>
      <c r="M538">
        <v>1.3</v>
      </c>
      <c r="N538">
        <v>0.5</v>
      </c>
      <c r="P538" t="s">
        <v>2643</v>
      </c>
      <c r="Q538">
        <v>3</v>
      </c>
      <c r="R538" t="s">
        <v>2644</v>
      </c>
      <c r="S538">
        <v>3</v>
      </c>
      <c r="V538" t="s">
        <v>2645</v>
      </c>
      <c r="W538" t="s">
        <v>222</v>
      </c>
      <c r="Y538">
        <f t="shared" si="90"/>
        <v>0.5</v>
      </c>
      <c r="Z538">
        <f t="shared" si="91"/>
        <v>0</v>
      </c>
      <c r="AA538">
        <f t="shared" si="92"/>
        <v>0</v>
      </c>
      <c r="AB538">
        <f t="shared" si="93"/>
        <v>0.5</v>
      </c>
      <c r="AC538">
        <f t="shared" si="94"/>
        <v>0</v>
      </c>
      <c r="AD538">
        <f t="shared" si="95"/>
        <v>0</v>
      </c>
      <c r="AE538">
        <f t="shared" si="96"/>
        <v>0</v>
      </c>
      <c r="AF538">
        <f t="shared" si="97"/>
        <v>0</v>
      </c>
      <c r="AG538">
        <f t="shared" si="98"/>
        <v>0</v>
      </c>
      <c r="AH538" t="s">
        <v>570</v>
      </c>
      <c r="AI538" t="s">
        <v>571</v>
      </c>
      <c r="AJ538" t="s">
        <v>572</v>
      </c>
    </row>
    <row r="539" spans="1:36" x14ac:dyDescent="0.2">
      <c r="A539" t="s">
        <v>229</v>
      </c>
      <c r="B539" t="s">
        <v>451</v>
      </c>
      <c r="C539" t="s">
        <v>39</v>
      </c>
      <c r="D539" t="s">
        <v>858</v>
      </c>
      <c r="E539" s="6" t="s">
        <v>18</v>
      </c>
      <c r="F539" s="6">
        <v>0.5</v>
      </c>
      <c r="G539" s="6" t="s">
        <v>24</v>
      </c>
      <c r="H539" s="6">
        <v>0.5</v>
      </c>
      <c r="I539" t="s">
        <v>895</v>
      </c>
      <c r="J539" t="s">
        <v>896</v>
      </c>
      <c r="L539" t="s">
        <v>52</v>
      </c>
      <c r="M539">
        <v>1.3</v>
      </c>
      <c r="N539">
        <v>0.5</v>
      </c>
      <c r="P539" t="s">
        <v>2646</v>
      </c>
      <c r="Q539">
        <v>4</v>
      </c>
      <c r="R539" t="s">
        <v>2647</v>
      </c>
      <c r="S539">
        <v>4</v>
      </c>
      <c r="V539" t="s">
        <v>2454</v>
      </c>
      <c r="W539" t="s">
        <v>222</v>
      </c>
      <c r="Y539">
        <f t="shared" si="90"/>
        <v>1.5</v>
      </c>
      <c r="Z539">
        <f t="shared" si="91"/>
        <v>0</v>
      </c>
      <c r="AA539">
        <f t="shared" si="92"/>
        <v>0</v>
      </c>
      <c r="AB539">
        <f t="shared" si="93"/>
        <v>1.5</v>
      </c>
      <c r="AC539">
        <f t="shared" si="94"/>
        <v>0</v>
      </c>
      <c r="AD539">
        <f t="shared" si="95"/>
        <v>0</v>
      </c>
      <c r="AE539">
        <f t="shared" si="96"/>
        <v>0</v>
      </c>
      <c r="AF539">
        <f t="shared" si="97"/>
        <v>0</v>
      </c>
      <c r="AG539">
        <f t="shared" si="98"/>
        <v>0</v>
      </c>
      <c r="AH539" t="s">
        <v>570</v>
      </c>
      <c r="AI539" t="s">
        <v>571</v>
      </c>
      <c r="AJ539" t="s">
        <v>572</v>
      </c>
    </row>
    <row r="540" spans="1:36" x14ac:dyDescent="0.2">
      <c r="A540" t="s">
        <v>229</v>
      </c>
      <c r="B540" t="s">
        <v>452</v>
      </c>
      <c r="C540" t="s">
        <v>41</v>
      </c>
      <c r="D540" t="s">
        <v>886</v>
      </c>
      <c r="E540" s="6" t="s">
        <v>26</v>
      </c>
      <c r="F540" s="6">
        <v>0.5</v>
      </c>
      <c r="G540" s="6" t="s">
        <v>24</v>
      </c>
      <c r="H540" s="6">
        <v>0.5</v>
      </c>
      <c r="I540" t="s">
        <v>897</v>
      </c>
      <c r="J540" t="s">
        <v>898</v>
      </c>
      <c r="L540" t="s">
        <v>52</v>
      </c>
      <c r="M540">
        <v>1</v>
      </c>
      <c r="P540" t="s">
        <v>2648</v>
      </c>
      <c r="Q540">
        <v>1</v>
      </c>
      <c r="R540" t="s">
        <v>2649</v>
      </c>
      <c r="S540">
        <v>0</v>
      </c>
      <c r="T540" t="s">
        <v>2594</v>
      </c>
      <c r="U540" t="s">
        <v>58</v>
      </c>
      <c r="V540" t="s">
        <v>2650</v>
      </c>
      <c r="W540" t="s">
        <v>222</v>
      </c>
      <c r="Y540">
        <f t="shared" si="90"/>
        <v>2</v>
      </c>
      <c r="Z540">
        <f t="shared" si="91"/>
        <v>0</v>
      </c>
      <c r="AA540">
        <f t="shared" si="92"/>
        <v>0</v>
      </c>
      <c r="AB540">
        <f t="shared" si="93"/>
        <v>2</v>
      </c>
      <c r="AC540">
        <f t="shared" si="94"/>
        <v>0</v>
      </c>
      <c r="AD540">
        <f t="shared" si="95"/>
        <v>0</v>
      </c>
      <c r="AE540">
        <f t="shared" si="96"/>
        <v>0</v>
      </c>
      <c r="AF540">
        <f t="shared" si="97"/>
        <v>0</v>
      </c>
      <c r="AG540">
        <f t="shared" si="98"/>
        <v>0</v>
      </c>
      <c r="AH540" t="s">
        <v>570</v>
      </c>
      <c r="AI540" t="s">
        <v>571</v>
      </c>
      <c r="AJ540" t="s">
        <v>604</v>
      </c>
    </row>
    <row r="541" spans="1:36" x14ac:dyDescent="0.2">
      <c r="A541" t="s">
        <v>229</v>
      </c>
      <c r="B541" t="s">
        <v>452</v>
      </c>
      <c r="C541" t="s">
        <v>41</v>
      </c>
      <c r="D541" t="s">
        <v>886</v>
      </c>
      <c r="E541" s="6" t="s">
        <v>26</v>
      </c>
      <c r="F541" s="6">
        <v>0.5</v>
      </c>
      <c r="G541" s="6" t="s">
        <v>24</v>
      </c>
      <c r="H541" s="6">
        <v>0.5</v>
      </c>
      <c r="I541" t="s">
        <v>897</v>
      </c>
      <c r="J541" t="s">
        <v>898</v>
      </c>
      <c r="L541" t="s">
        <v>52</v>
      </c>
      <c r="M541">
        <v>1</v>
      </c>
      <c r="P541" t="s">
        <v>2651</v>
      </c>
      <c r="Q541">
        <v>2</v>
      </c>
      <c r="R541" t="s">
        <v>2652</v>
      </c>
      <c r="S541">
        <v>1</v>
      </c>
      <c r="T541" t="s">
        <v>255</v>
      </c>
      <c r="U541" t="s">
        <v>60</v>
      </c>
      <c r="V541" t="s">
        <v>2653</v>
      </c>
      <c r="W541" t="s">
        <v>222</v>
      </c>
      <c r="Y541">
        <f t="shared" si="90"/>
        <v>0</v>
      </c>
      <c r="Z541">
        <f t="shared" si="91"/>
        <v>0</v>
      </c>
      <c r="AA541">
        <f t="shared" si="92"/>
        <v>0</v>
      </c>
      <c r="AB541">
        <f t="shared" si="93"/>
        <v>0</v>
      </c>
      <c r="AC541">
        <f t="shared" si="94"/>
        <v>0</v>
      </c>
      <c r="AD541">
        <f t="shared" si="95"/>
        <v>0</v>
      </c>
      <c r="AE541">
        <f t="shared" si="96"/>
        <v>0</v>
      </c>
      <c r="AF541">
        <f t="shared" si="97"/>
        <v>0</v>
      </c>
      <c r="AG541">
        <f t="shared" si="98"/>
        <v>0</v>
      </c>
      <c r="AH541" t="s">
        <v>570</v>
      </c>
      <c r="AI541" t="s">
        <v>571</v>
      </c>
      <c r="AJ541" t="s">
        <v>604</v>
      </c>
    </row>
    <row r="542" spans="1:36" x14ac:dyDescent="0.2">
      <c r="A542" t="s">
        <v>229</v>
      </c>
      <c r="B542" t="s">
        <v>452</v>
      </c>
      <c r="C542" t="s">
        <v>41</v>
      </c>
      <c r="D542" t="s">
        <v>886</v>
      </c>
      <c r="E542" s="6" t="s">
        <v>26</v>
      </c>
      <c r="F542" s="6">
        <v>0.5</v>
      </c>
      <c r="G542" s="6" t="s">
        <v>24</v>
      </c>
      <c r="H542" s="6">
        <v>0.5</v>
      </c>
      <c r="I542" t="s">
        <v>897</v>
      </c>
      <c r="J542" t="s">
        <v>898</v>
      </c>
      <c r="L542" t="s">
        <v>52</v>
      </c>
      <c r="M542">
        <v>1</v>
      </c>
      <c r="P542" t="s">
        <v>2654</v>
      </c>
      <c r="Q542">
        <v>3</v>
      </c>
      <c r="R542" t="s">
        <v>2655</v>
      </c>
      <c r="S542">
        <v>3</v>
      </c>
      <c r="V542" t="s">
        <v>2656</v>
      </c>
      <c r="W542" t="s">
        <v>222</v>
      </c>
      <c r="Y542">
        <f t="shared" si="90"/>
        <v>0</v>
      </c>
      <c r="Z542">
        <f t="shared" si="91"/>
        <v>0</v>
      </c>
      <c r="AA542">
        <f t="shared" si="92"/>
        <v>0</v>
      </c>
      <c r="AB542">
        <f t="shared" si="93"/>
        <v>0.5</v>
      </c>
      <c r="AC542">
        <f t="shared" si="94"/>
        <v>0.5</v>
      </c>
      <c r="AD542">
        <f t="shared" si="95"/>
        <v>0</v>
      </c>
      <c r="AE542">
        <f t="shared" si="96"/>
        <v>0</v>
      </c>
      <c r="AF542">
        <f t="shared" si="97"/>
        <v>0</v>
      </c>
      <c r="AG542">
        <f t="shared" si="98"/>
        <v>0</v>
      </c>
      <c r="AH542" t="s">
        <v>570</v>
      </c>
      <c r="AI542" t="s">
        <v>571</v>
      </c>
      <c r="AJ542" t="s">
        <v>604</v>
      </c>
    </row>
    <row r="543" spans="1:36" x14ac:dyDescent="0.2">
      <c r="A543" t="s">
        <v>229</v>
      </c>
      <c r="B543" t="s">
        <v>452</v>
      </c>
      <c r="C543" t="s">
        <v>41</v>
      </c>
      <c r="D543" t="s">
        <v>886</v>
      </c>
      <c r="E543" s="6" t="s">
        <v>26</v>
      </c>
      <c r="F543" s="6">
        <v>0.5</v>
      </c>
      <c r="G543" s="6" t="s">
        <v>24</v>
      </c>
      <c r="H543" s="6">
        <v>0.5</v>
      </c>
      <c r="I543" t="s">
        <v>897</v>
      </c>
      <c r="J543" t="s">
        <v>898</v>
      </c>
      <c r="L543" t="s">
        <v>52</v>
      </c>
      <c r="M543">
        <v>1</v>
      </c>
      <c r="P543" t="s">
        <v>2657</v>
      </c>
      <c r="Q543">
        <v>4</v>
      </c>
      <c r="R543" t="s">
        <v>2658</v>
      </c>
      <c r="S543">
        <v>4</v>
      </c>
      <c r="V543" t="s">
        <v>2454</v>
      </c>
      <c r="W543" t="s">
        <v>222</v>
      </c>
      <c r="Y543">
        <f t="shared" si="90"/>
        <v>0</v>
      </c>
      <c r="Z543">
        <f t="shared" si="91"/>
        <v>0</v>
      </c>
      <c r="AA543">
        <f t="shared" si="92"/>
        <v>0</v>
      </c>
      <c r="AB543">
        <f t="shared" si="93"/>
        <v>1.5</v>
      </c>
      <c r="AC543">
        <f t="shared" si="94"/>
        <v>1.5</v>
      </c>
      <c r="AD543">
        <f t="shared" si="95"/>
        <v>0</v>
      </c>
      <c r="AE543">
        <f t="shared" si="96"/>
        <v>0</v>
      </c>
      <c r="AF543">
        <f t="shared" si="97"/>
        <v>0</v>
      </c>
      <c r="AG543">
        <f t="shared" si="98"/>
        <v>0</v>
      </c>
      <c r="AH543" t="s">
        <v>570</v>
      </c>
      <c r="AI543" t="s">
        <v>571</v>
      </c>
      <c r="AJ543" t="s">
        <v>604</v>
      </c>
    </row>
    <row r="544" spans="1:36" x14ac:dyDescent="0.2">
      <c r="A544" t="s">
        <v>231</v>
      </c>
      <c r="B544" t="s">
        <v>453</v>
      </c>
      <c r="C544" t="s">
        <v>37</v>
      </c>
      <c r="D544" t="s">
        <v>899</v>
      </c>
      <c r="E544" s="6" t="s">
        <v>28</v>
      </c>
      <c r="F544" s="6">
        <v>1</v>
      </c>
      <c r="G544" s="6" t="s">
        <v>522</v>
      </c>
      <c r="I544" t="s">
        <v>900</v>
      </c>
      <c r="J544" t="s">
        <v>901</v>
      </c>
      <c r="L544" t="s">
        <v>46</v>
      </c>
      <c r="M544">
        <v>1.4</v>
      </c>
      <c r="N544">
        <v>0.5</v>
      </c>
      <c r="P544" t="s">
        <v>2659</v>
      </c>
      <c r="Q544">
        <v>1</v>
      </c>
      <c r="R544" t="s">
        <v>1017</v>
      </c>
      <c r="S544">
        <v>0</v>
      </c>
      <c r="T544" t="s">
        <v>273</v>
      </c>
      <c r="U544" t="s">
        <v>65</v>
      </c>
      <c r="V544" t="s">
        <v>2660</v>
      </c>
      <c r="W544" t="s">
        <v>222</v>
      </c>
      <c r="Y544">
        <f t="shared" si="90"/>
        <v>0</v>
      </c>
      <c r="Z544">
        <f t="shared" si="91"/>
        <v>0</v>
      </c>
      <c r="AA544">
        <f t="shared" si="92"/>
        <v>0</v>
      </c>
      <c r="AB544">
        <f t="shared" si="93"/>
        <v>2</v>
      </c>
      <c r="AC544">
        <f t="shared" si="94"/>
        <v>2</v>
      </c>
      <c r="AD544">
        <f t="shared" si="95"/>
        <v>0</v>
      </c>
      <c r="AE544">
        <f t="shared" si="96"/>
        <v>0</v>
      </c>
      <c r="AF544">
        <f t="shared" si="97"/>
        <v>0</v>
      </c>
      <c r="AG544">
        <f t="shared" si="98"/>
        <v>0</v>
      </c>
      <c r="AH544" t="s">
        <v>550</v>
      </c>
      <c r="AI544" t="s">
        <v>551</v>
      </c>
      <c r="AJ544" t="s">
        <v>552</v>
      </c>
    </row>
    <row r="545" spans="1:36" x14ac:dyDescent="0.2">
      <c r="A545" t="s">
        <v>231</v>
      </c>
      <c r="B545" t="s">
        <v>453</v>
      </c>
      <c r="C545" t="s">
        <v>37</v>
      </c>
      <c r="D545" t="s">
        <v>899</v>
      </c>
      <c r="E545" s="6" t="s">
        <v>28</v>
      </c>
      <c r="F545" s="6">
        <v>1</v>
      </c>
      <c r="G545" s="6" t="s">
        <v>522</v>
      </c>
      <c r="I545" t="s">
        <v>900</v>
      </c>
      <c r="J545" t="s">
        <v>901</v>
      </c>
      <c r="L545" t="s">
        <v>46</v>
      </c>
      <c r="M545">
        <v>1.4</v>
      </c>
      <c r="N545">
        <v>0.5</v>
      </c>
      <c r="P545" t="s">
        <v>2661</v>
      </c>
      <c r="Q545">
        <v>2</v>
      </c>
      <c r="R545" t="s">
        <v>2662</v>
      </c>
      <c r="S545">
        <v>0</v>
      </c>
      <c r="T545" t="s">
        <v>276</v>
      </c>
      <c r="U545" t="s">
        <v>66</v>
      </c>
      <c r="V545" t="s">
        <v>2663</v>
      </c>
      <c r="W545" t="s">
        <v>222</v>
      </c>
      <c r="Y545">
        <f t="shared" si="90"/>
        <v>0</v>
      </c>
      <c r="Z545">
        <f t="shared" si="91"/>
        <v>0</v>
      </c>
      <c r="AA545">
        <f t="shared" si="92"/>
        <v>0</v>
      </c>
      <c r="AB545">
        <f t="shared" si="93"/>
        <v>0</v>
      </c>
      <c r="AC545">
        <f t="shared" si="94"/>
        <v>0</v>
      </c>
      <c r="AD545">
        <f t="shared" si="95"/>
        <v>0</v>
      </c>
      <c r="AE545">
        <f t="shared" si="96"/>
        <v>0</v>
      </c>
      <c r="AF545">
        <f t="shared" si="97"/>
        <v>0</v>
      </c>
      <c r="AG545">
        <f t="shared" si="98"/>
        <v>0</v>
      </c>
      <c r="AH545" t="s">
        <v>550</v>
      </c>
      <c r="AI545" t="s">
        <v>551</v>
      </c>
      <c r="AJ545" t="s">
        <v>552</v>
      </c>
    </row>
    <row r="546" spans="1:36" x14ac:dyDescent="0.2">
      <c r="A546" t="s">
        <v>231</v>
      </c>
      <c r="B546" t="s">
        <v>453</v>
      </c>
      <c r="C546" t="s">
        <v>37</v>
      </c>
      <c r="D546" t="s">
        <v>899</v>
      </c>
      <c r="E546" s="6" t="s">
        <v>28</v>
      </c>
      <c r="F546" s="6">
        <v>1</v>
      </c>
      <c r="G546" s="6" t="s">
        <v>522</v>
      </c>
      <c r="I546" t="s">
        <v>900</v>
      </c>
      <c r="J546" t="s">
        <v>901</v>
      </c>
      <c r="L546" t="s">
        <v>46</v>
      </c>
      <c r="M546">
        <v>1.4</v>
      </c>
      <c r="N546">
        <v>0.5</v>
      </c>
      <c r="P546" t="s">
        <v>2664</v>
      </c>
      <c r="Q546">
        <v>3</v>
      </c>
      <c r="R546" t="s">
        <v>2665</v>
      </c>
      <c r="S546">
        <v>1</v>
      </c>
      <c r="T546" t="s">
        <v>174</v>
      </c>
      <c r="U546" t="s">
        <v>63</v>
      </c>
      <c r="V546" t="s">
        <v>2666</v>
      </c>
      <c r="W546" t="s">
        <v>222</v>
      </c>
      <c r="Y546">
        <f t="shared" si="90"/>
        <v>0</v>
      </c>
      <c r="Z546">
        <f t="shared" si="91"/>
        <v>0</v>
      </c>
      <c r="AA546">
        <f t="shared" si="92"/>
        <v>0</v>
      </c>
      <c r="AB546">
        <f t="shared" si="93"/>
        <v>0</v>
      </c>
      <c r="AC546">
        <f t="shared" si="94"/>
        <v>0</v>
      </c>
      <c r="AD546">
        <f t="shared" si="95"/>
        <v>0</v>
      </c>
      <c r="AE546">
        <f t="shared" si="96"/>
        <v>0</v>
      </c>
      <c r="AF546">
        <f t="shared" si="97"/>
        <v>0</v>
      </c>
      <c r="AG546">
        <f t="shared" si="98"/>
        <v>0</v>
      </c>
      <c r="AH546" t="s">
        <v>550</v>
      </c>
      <c r="AI546" t="s">
        <v>551</v>
      </c>
      <c r="AJ546" t="s">
        <v>552</v>
      </c>
    </row>
    <row r="547" spans="1:36" x14ac:dyDescent="0.2">
      <c r="A547" t="s">
        <v>231</v>
      </c>
      <c r="B547" t="s">
        <v>453</v>
      </c>
      <c r="C547" t="s">
        <v>37</v>
      </c>
      <c r="D547" t="s">
        <v>899</v>
      </c>
      <c r="E547" s="6" t="s">
        <v>28</v>
      </c>
      <c r="F547" s="6">
        <v>1</v>
      </c>
      <c r="G547" s="6" t="s">
        <v>522</v>
      </c>
      <c r="I547" t="s">
        <v>900</v>
      </c>
      <c r="J547" t="s">
        <v>901</v>
      </c>
      <c r="L547" t="s">
        <v>46</v>
      </c>
      <c r="M547">
        <v>1.4</v>
      </c>
      <c r="N547">
        <v>0.5</v>
      </c>
      <c r="P547" t="s">
        <v>2667</v>
      </c>
      <c r="Q547">
        <v>4</v>
      </c>
      <c r="R547" t="s">
        <v>2668</v>
      </c>
      <c r="S547">
        <v>3</v>
      </c>
      <c r="V547" t="s">
        <v>2669</v>
      </c>
      <c r="W547" t="s">
        <v>222</v>
      </c>
      <c r="Y547">
        <f t="shared" si="90"/>
        <v>0</v>
      </c>
      <c r="Z547">
        <f t="shared" si="91"/>
        <v>0</v>
      </c>
      <c r="AA547">
        <f t="shared" si="92"/>
        <v>0</v>
      </c>
      <c r="AB547">
        <f t="shared" si="93"/>
        <v>0</v>
      </c>
      <c r="AC547">
        <f t="shared" si="94"/>
        <v>0</v>
      </c>
      <c r="AD547">
        <f t="shared" si="95"/>
        <v>1</v>
      </c>
      <c r="AE547">
        <f t="shared" si="96"/>
        <v>0</v>
      </c>
      <c r="AF547">
        <f t="shared" si="97"/>
        <v>0</v>
      </c>
      <c r="AG547">
        <f t="shared" si="98"/>
        <v>0</v>
      </c>
      <c r="AH547" t="s">
        <v>550</v>
      </c>
      <c r="AI547" t="s">
        <v>551</v>
      </c>
      <c r="AJ547" t="s">
        <v>552</v>
      </c>
    </row>
    <row r="548" spans="1:36" x14ac:dyDescent="0.2">
      <c r="A548" t="s">
        <v>231</v>
      </c>
      <c r="B548" t="s">
        <v>453</v>
      </c>
      <c r="C548" t="s">
        <v>37</v>
      </c>
      <c r="D548" t="s">
        <v>899</v>
      </c>
      <c r="E548" s="6" t="s">
        <v>28</v>
      </c>
      <c r="F548" s="6">
        <v>1</v>
      </c>
      <c r="G548" s="6" t="s">
        <v>522</v>
      </c>
      <c r="I548" t="s">
        <v>900</v>
      </c>
      <c r="J548" t="s">
        <v>901</v>
      </c>
      <c r="L548" t="s">
        <v>46</v>
      </c>
      <c r="M548">
        <v>1.4</v>
      </c>
      <c r="N548">
        <v>0.5</v>
      </c>
      <c r="P548" t="s">
        <v>2670</v>
      </c>
      <c r="Q548">
        <v>5</v>
      </c>
      <c r="R548" t="s">
        <v>2671</v>
      </c>
      <c r="S548">
        <v>4</v>
      </c>
      <c r="V548" t="s">
        <v>2454</v>
      </c>
      <c r="W548" t="s">
        <v>222</v>
      </c>
      <c r="Y548">
        <f t="shared" si="90"/>
        <v>0</v>
      </c>
      <c r="Z548">
        <f t="shared" si="91"/>
        <v>0</v>
      </c>
      <c r="AA548">
        <f t="shared" si="92"/>
        <v>0</v>
      </c>
      <c r="AB548">
        <f t="shared" si="93"/>
        <v>0</v>
      </c>
      <c r="AC548">
        <f t="shared" si="94"/>
        <v>0</v>
      </c>
      <c r="AD548">
        <f t="shared" si="95"/>
        <v>3</v>
      </c>
      <c r="AE548">
        <f t="shared" si="96"/>
        <v>0</v>
      </c>
      <c r="AF548">
        <f t="shared" si="97"/>
        <v>0</v>
      </c>
      <c r="AG548">
        <f t="shared" si="98"/>
        <v>0</v>
      </c>
      <c r="AH548" t="s">
        <v>550</v>
      </c>
      <c r="AI548" t="s">
        <v>551</v>
      </c>
      <c r="AJ548" t="s">
        <v>552</v>
      </c>
    </row>
    <row r="549" spans="1:36" x14ac:dyDescent="0.2">
      <c r="A549" t="s">
        <v>231</v>
      </c>
      <c r="B549" t="s">
        <v>455</v>
      </c>
      <c r="C549" t="s">
        <v>39</v>
      </c>
      <c r="D549" t="s">
        <v>899</v>
      </c>
      <c r="E549" s="6" t="s">
        <v>28</v>
      </c>
      <c r="F549" s="6">
        <v>1</v>
      </c>
      <c r="G549" s="6" t="s">
        <v>522</v>
      </c>
      <c r="I549" t="s">
        <v>902</v>
      </c>
      <c r="J549" t="s">
        <v>903</v>
      </c>
      <c r="L549" t="s">
        <v>46</v>
      </c>
      <c r="M549">
        <v>1</v>
      </c>
      <c r="P549" t="s">
        <v>2672</v>
      </c>
      <c r="Q549">
        <v>1</v>
      </c>
      <c r="R549" t="s">
        <v>2673</v>
      </c>
      <c r="S549">
        <v>0</v>
      </c>
      <c r="T549" t="s">
        <v>276</v>
      </c>
      <c r="U549" t="s">
        <v>66</v>
      </c>
      <c r="V549" t="s">
        <v>2663</v>
      </c>
      <c r="W549" t="s">
        <v>222</v>
      </c>
      <c r="Y549">
        <f t="shared" si="90"/>
        <v>0</v>
      </c>
      <c r="Z549">
        <f t="shared" si="91"/>
        <v>0</v>
      </c>
      <c r="AA549">
        <f t="shared" si="92"/>
        <v>0</v>
      </c>
      <c r="AB549">
        <f t="shared" si="93"/>
        <v>0</v>
      </c>
      <c r="AC549">
        <f t="shared" si="94"/>
        <v>0</v>
      </c>
      <c r="AD549">
        <f t="shared" si="95"/>
        <v>4</v>
      </c>
      <c r="AE549">
        <f t="shared" si="96"/>
        <v>0</v>
      </c>
      <c r="AF549">
        <f t="shared" si="97"/>
        <v>0</v>
      </c>
      <c r="AG549">
        <f t="shared" si="98"/>
        <v>0</v>
      </c>
      <c r="AH549" t="s">
        <v>550</v>
      </c>
      <c r="AI549" t="s">
        <v>551</v>
      </c>
      <c r="AJ549" t="s">
        <v>552</v>
      </c>
    </row>
    <row r="550" spans="1:36" x14ac:dyDescent="0.2">
      <c r="A550" t="s">
        <v>231</v>
      </c>
      <c r="B550" t="s">
        <v>455</v>
      </c>
      <c r="C550" t="s">
        <v>39</v>
      </c>
      <c r="D550" t="s">
        <v>899</v>
      </c>
      <c r="E550" s="6" t="s">
        <v>28</v>
      </c>
      <c r="F550" s="6">
        <v>1</v>
      </c>
      <c r="G550" s="6" t="s">
        <v>522</v>
      </c>
      <c r="I550" t="s">
        <v>902</v>
      </c>
      <c r="J550" t="s">
        <v>903</v>
      </c>
      <c r="L550" t="s">
        <v>46</v>
      </c>
      <c r="M550">
        <v>1</v>
      </c>
      <c r="P550" t="s">
        <v>2674</v>
      </c>
      <c r="Q550">
        <v>2</v>
      </c>
      <c r="R550" t="s">
        <v>2675</v>
      </c>
      <c r="S550">
        <v>2</v>
      </c>
      <c r="T550" t="s">
        <v>2676</v>
      </c>
      <c r="U550" t="s">
        <v>63</v>
      </c>
      <c r="V550" t="s">
        <v>2677</v>
      </c>
      <c r="W550" t="s">
        <v>222</v>
      </c>
      <c r="Y550">
        <f t="shared" si="90"/>
        <v>0</v>
      </c>
      <c r="Z550">
        <f t="shared" si="91"/>
        <v>0</v>
      </c>
      <c r="AA550">
        <f t="shared" si="92"/>
        <v>0</v>
      </c>
      <c r="AB550">
        <f t="shared" si="93"/>
        <v>0</v>
      </c>
      <c r="AC550">
        <f t="shared" si="94"/>
        <v>0</v>
      </c>
      <c r="AD550">
        <f t="shared" si="95"/>
        <v>0</v>
      </c>
      <c r="AE550">
        <f t="shared" si="96"/>
        <v>0</v>
      </c>
      <c r="AF550">
        <f t="shared" si="97"/>
        <v>0</v>
      </c>
      <c r="AG550">
        <f t="shared" si="98"/>
        <v>0</v>
      </c>
      <c r="AH550" t="s">
        <v>550</v>
      </c>
      <c r="AI550" t="s">
        <v>551</v>
      </c>
      <c r="AJ550" t="s">
        <v>552</v>
      </c>
    </row>
    <row r="551" spans="1:36" x14ac:dyDescent="0.2">
      <c r="A551" t="s">
        <v>231</v>
      </c>
      <c r="B551" t="s">
        <v>455</v>
      </c>
      <c r="C551" t="s">
        <v>39</v>
      </c>
      <c r="D551" t="s">
        <v>899</v>
      </c>
      <c r="E551" s="6" t="s">
        <v>28</v>
      </c>
      <c r="F551" s="6">
        <v>1</v>
      </c>
      <c r="G551" s="6" t="s">
        <v>522</v>
      </c>
      <c r="I551" t="s">
        <v>902</v>
      </c>
      <c r="J551" t="s">
        <v>903</v>
      </c>
      <c r="L551" t="s">
        <v>46</v>
      </c>
      <c r="M551">
        <v>1</v>
      </c>
      <c r="P551" t="s">
        <v>2678</v>
      </c>
      <c r="Q551">
        <v>3</v>
      </c>
      <c r="R551" t="s">
        <v>2679</v>
      </c>
      <c r="S551">
        <v>3</v>
      </c>
      <c r="T551" t="s">
        <v>174</v>
      </c>
      <c r="U551" t="s">
        <v>63</v>
      </c>
      <c r="V551" t="s">
        <v>2666</v>
      </c>
      <c r="W551" t="s">
        <v>222</v>
      </c>
      <c r="Y551">
        <f t="shared" si="90"/>
        <v>0</v>
      </c>
      <c r="Z551">
        <f t="shared" si="91"/>
        <v>0</v>
      </c>
      <c r="AA551">
        <f t="shared" si="92"/>
        <v>0</v>
      </c>
      <c r="AB551">
        <f t="shared" si="93"/>
        <v>0</v>
      </c>
      <c r="AC551">
        <f t="shared" si="94"/>
        <v>0</v>
      </c>
      <c r="AD551">
        <f t="shared" si="95"/>
        <v>2</v>
      </c>
      <c r="AE551">
        <f t="shared" si="96"/>
        <v>0</v>
      </c>
      <c r="AF551">
        <f t="shared" si="97"/>
        <v>0</v>
      </c>
      <c r="AG551">
        <f t="shared" si="98"/>
        <v>0</v>
      </c>
      <c r="AH551" t="s">
        <v>550</v>
      </c>
      <c r="AI551" t="s">
        <v>551</v>
      </c>
      <c r="AJ551" t="s">
        <v>552</v>
      </c>
    </row>
    <row r="552" spans="1:36" x14ac:dyDescent="0.2">
      <c r="A552" t="s">
        <v>231</v>
      </c>
      <c r="B552" t="s">
        <v>456</v>
      </c>
      <c r="C552" t="s">
        <v>39</v>
      </c>
      <c r="D552" t="s">
        <v>899</v>
      </c>
      <c r="E552" s="6" t="s">
        <v>18</v>
      </c>
      <c r="F552" s="6">
        <v>0.5</v>
      </c>
      <c r="G552" s="6" t="s">
        <v>28</v>
      </c>
      <c r="H552" s="6">
        <v>0.5</v>
      </c>
      <c r="I552" t="s">
        <v>904</v>
      </c>
      <c r="J552" t="s">
        <v>905</v>
      </c>
      <c r="L552" t="s">
        <v>44</v>
      </c>
      <c r="M552">
        <v>1.2</v>
      </c>
      <c r="P552" t="s">
        <v>2680</v>
      </c>
      <c r="Q552">
        <v>1</v>
      </c>
      <c r="R552" t="s">
        <v>2681</v>
      </c>
      <c r="S552">
        <v>0</v>
      </c>
      <c r="T552" t="s">
        <v>255</v>
      </c>
      <c r="U552" t="s">
        <v>60</v>
      </c>
      <c r="V552" t="s">
        <v>2682</v>
      </c>
      <c r="W552" t="s">
        <v>222</v>
      </c>
      <c r="Y552">
        <f t="shared" si="90"/>
        <v>0</v>
      </c>
      <c r="Z552">
        <f t="shared" si="91"/>
        <v>0</v>
      </c>
      <c r="AA552">
        <f t="shared" si="92"/>
        <v>0</v>
      </c>
      <c r="AB552">
        <f t="shared" si="93"/>
        <v>0</v>
      </c>
      <c r="AC552">
        <f t="shared" si="94"/>
        <v>0</v>
      </c>
      <c r="AD552">
        <f t="shared" si="95"/>
        <v>3</v>
      </c>
      <c r="AE552">
        <f t="shared" si="96"/>
        <v>0</v>
      </c>
      <c r="AF552">
        <f t="shared" si="97"/>
        <v>0</v>
      </c>
      <c r="AG552">
        <f t="shared" si="98"/>
        <v>0</v>
      </c>
      <c r="AH552" t="s">
        <v>570</v>
      </c>
      <c r="AI552" t="s">
        <v>571</v>
      </c>
      <c r="AJ552" t="s">
        <v>572</v>
      </c>
    </row>
    <row r="553" spans="1:36" x14ac:dyDescent="0.2">
      <c r="A553" t="s">
        <v>231</v>
      </c>
      <c r="B553" t="s">
        <v>456</v>
      </c>
      <c r="C553" t="s">
        <v>39</v>
      </c>
      <c r="D553" t="s">
        <v>899</v>
      </c>
      <c r="E553" s="6" t="s">
        <v>18</v>
      </c>
      <c r="F553" s="6">
        <v>0.5</v>
      </c>
      <c r="G553" s="6" t="s">
        <v>28</v>
      </c>
      <c r="H553" s="6">
        <v>0.5</v>
      </c>
      <c r="I553" t="s">
        <v>904</v>
      </c>
      <c r="J553" t="s">
        <v>905</v>
      </c>
      <c r="L553" t="s">
        <v>44</v>
      </c>
      <c r="M553">
        <v>1.2</v>
      </c>
      <c r="P553" t="s">
        <v>2683</v>
      </c>
      <c r="Q553">
        <v>2</v>
      </c>
      <c r="R553" t="s">
        <v>2684</v>
      </c>
      <c r="S553">
        <v>1</v>
      </c>
      <c r="T553" t="s">
        <v>172</v>
      </c>
      <c r="U553" t="s">
        <v>61</v>
      </c>
      <c r="V553" t="s">
        <v>2685</v>
      </c>
      <c r="W553" t="s">
        <v>222</v>
      </c>
      <c r="Y553">
        <f t="shared" si="90"/>
        <v>0</v>
      </c>
      <c r="Z553">
        <f t="shared" si="91"/>
        <v>0</v>
      </c>
      <c r="AA553">
        <f t="shared" si="92"/>
        <v>0</v>
      </c>
      <c r="AB553">
        <f t="shared" si="93"/>
        <v>0</v>
      </c>
      <c r="AC553">
        <f t="shared" si="94"/>
        <v>0</v>
      </c>
      <c r="AD553">
        <f t="shared" si="95"/>
        <v>0</v>
      </c>
      <c r="AE553">
        <f t="shared" si="96"/>
        <v>0</v>
      </c>
      <c r="AF553">
        <f t="shared" si="97"/>
        <v>0</v>
      </c>
      <c r="AG553">
        <f t="shared" si="98"/>
        <v>0</v>
      </c>
      <c r="AH553" t="s">
        <v>570</v>
      </c>
      <c r="AI553" t="s">
        <v>571</v>
      </c>
      <c r="AJ553" t="s">
        <v>572</v>
      </c>
    </row>
    <row r="554" spans="1:36" x14ac:dyDescent="0.2">
      <c r="A554" t="s">
        <v>231</v>
      </c>
      <c r="B554" t="s">
        <v>456</v>
      </c>
      <c r="C554" t="s">
        <v>39</v>
      </c>
      <c r="D554" t="s">
        <v>899</v>
      </c>
      <c r="E554" s="6" t="s">
        <v>18</v>
      </c>
      <c r="F554" s="6">
        <v>0.5</v>
      </c>
      <c r="G554" s="6" t="s">
        <v>28</v>
      </c>
      <c r="H554" s="6">
        <v>0.5</v>
      </c>
      <c r="I554" t="s">
        <v>904</v>
      </c>
      <c r="J554" t="s">
        <v>905</v>
      </c>
      <c r="L554" t="s">
        <v>44</v>
      </c>
      <c r="M554">
        <v>1.2</v>
      </c>
      <c r="P554" t="s">
        <v>2686</v>
      </c>
      <c r="Q554">
        <v>3</v>
      </c>
      <c r="R554" t="s">
        <v>2687</v>
      </c>
      <c r="S554">
        <v>3</v>
      </c>
      <c r="V554" t="s">
        <v>2688</v>
      </c>
      <c r="W554" t="s">
        <v>222</v>
      </c>
      <c r="Y554">
        <f t="shared" si="90"/>
        <v>0.5</v>
      </c>
      <c r="Z554">
        <f t="shared" si="91"/>
        <v>0</v>
      </c>
      <c r="AA554">
        <f t="shared" si="92"/>
        <v>0</v>
      </c>
      <c r="AB554">
        <f t="shared" si="93"/>
        <v>0</v>
      </c>
      <c r="AC554">
        <f t="shared" si="94"/>
        <v>0</v>
      </c>
      <c r="AD554">
        <f t="shared" si="95"/>
        <v>0.5</v>
      </c>
      <c r="AE554">
        <f t="shared" si="96"/>
        <v>0</v>
      </c>
      <c r="AF554">
        <f t="shared" si="97"/>
        <v>0</v>
      </c>
      <c r="AG554">
        <f t="shared" si="98"/>
        <v>0</v>
      </c>
      <c r="AH554" t="s">
        <v>570</v>
      </c>
      <c r="AI554" t="s">
        <v>571</v>
      </c>
      <c r="AJ554" t="s">
        <v>572</v>
      </c>
    </row>
    <row r="555" spans="1:36" x14ac:dyDescent="0.2">
      <c r="A555" t="s">
        <v>231</v>
      </c>
      <c r="B555" t="s">
        <v>456</v>
      </c>
      <c r="C555" t="s">
        <v>39</v>
      </c>
      <c r="D555" t="s">
        <v>899</v>
      </c>
      <c r="E555" s="6" t="s">
        <v>18</v>
      </c>
      <c r="F555" s="6">
        <v>0.5</v>
      </c>
      <c r="G555" s="6" t="s">
        <v>28</v>
      </c>
      <c r="H555" s="6">
        <v>0.5</v>
      </c>
      <c r="I555" t="s">
        <v>904</v>
      </c>
      <c r="J555" t="s">
        <v>905</v>
      </c>
      <c r="L555" t="s">
        <v>44</v>
      </c>
      <c r="M555">
        <v>1.2</v>
      </c>
      <c r="P555" t="s">
        <v>2689</v>
      </c>
      <c r="Q555">
        <v>4</v>
      </c>
      <c r="R555" t="s">
        <v>2690</v>
      </c>
      <c r="S555">
        <v>4</v>
      </c>
      <c r="V555" t="s">
        <v>2454</v>
      </c>
      <c r="W555" t="s">
        <v>222</v>
      </c>
      <c r="Y555">
        <f t="shared" si="90"/>
        <v>1.5</v>
      </c>
      <c r="Z555">
        <f t="shared" si="91"/>
        <v>0</v>
      </c>
      <c r="AA555">
        <f t="shared" si="92"/>
        <v>0</v>
      </c>
      <c r="AB555">
        <f t="shared" si="93"/>
        <v>0</v>
      </c>
      <c r="AC555">
        <f t="shared" si="94"/>
        <v>0</v>
      </c>
      <c r="AD555">
        <f t="shared" si="95"/>
        <v>1.5</v>
      </c>
      <c r="AE555">
        <f t="shared" si="96"/>
        <v>0</v>
      </c>
      <c r="AF555">
        <f t="shared" si="97"/>
        <v>0</v>
      </c>
      <c r="AG555">
        <f t="shared" si="98"/>
        <v>0</v>
      </c>
      <c r="AH555" t="s">
        <v>570</v>
      </c>
      <c r="AI555" t="s">
        <v>571</v>
      </c>
      <c r="AJ555" t="s">
        <v>572</v>
      </c>
    </row>
    <row r="556" spans="1:36" x14ac:dyDescent="0.2">
      <c r="A556" t="s">
        <v>231</v>
      </c>
      <c r="B556" t="s">
        <v>457</v>
      </c>
      <c r="C556" t="s">
        <v>37</v>
      </c>
      <c r="D556" t="s">
        <v>906</v>
      </c>
      <c r="E556" s="6" t="s">
        <v>28</v>
      </c>
      <c r="F556" s="6">
        <v>0.7</v>
      </c>
      <c r="G556" s="6" t="s">
        <v>34</v>
      </c>
      <c r="H556" s="6">
        <v>0.3</v>
      </c>
      <c r="I556" t="s">
        <v>907</v>
      </c>
      <c r="J556" t="s">
        <v>908</v>
      </c>
      <c r="L556" t="s">
        <v>46</v>
      </c>
      <c r="M556">
        <v>1.3</v>
      </c>
      <c r="N556">
        <v>0.5</v>
      </c>
      <c r="P556" t="s">
        <v>2691</v>
      </c>
      <c r="Q556">
        <v>1</v>
      </c>
      <c r="R556" t="s">
        <v>1017</v>
      </c>
      <c r="S556">
        <v>0</v>
      </c>
      <c r="T556" t="s">
        <v>273</v>
      </c>
      <c r="U556" t="s">
        <v>65</v>
      </c>
      <c r="V556" t="s">
        <v>2692</v>
      </c>
      <c r="W556" t="s">
        <v>222</v>
      </c>
      <c r="Y556">
        <f t="shared" si="90"/>
        <v>2</v>
      </c>
      <c r="Z556">
        <f t="shared" si="91"/>
        <v>0</v>
      </c>
      <c r="AA556">
        <f t="shared" si="92"/>
        <v>0</v>
      </c>
      <c r="AB556">
        <f t="shared" si="93"/>
        <v>0</v>
      </c>
      <c r="AC556">
        <f t="shared" si="94"/>
        <v>0</v>
      </c>
      <c r="AD556">
        <f t="shared" si="95"/>
        <v>2</v>
      </c>
      <c r="AE556">
        <f t="shared" si="96"/>
        <v>0</v>
      </c>
      <c r="AF556">
        <f t="shared" si="97"/>
        <v>0</v>
      </c>
      <c r="AG556">
        <f t="shared" si="98"/>
        <v>0</v>
      </c>
      <c r="AH556" t="s">
        <v>550</v>
      </c>
      <c r="AI556" t="s">
        <v>551</v>
      </c>
      <c r="AJ556" t="s">
        <v>552</v>
      </c>
    </row>
    <row r="557" spans="1:36" x14ac:dyDescent="0.2">
      <c r="A557" t="s">
        <v>231</v>
      </c>
      <c r="B557" t="s">
        <v>457</v>
      </c>
      <c r="C557" t="s">
        <v>37</v>
      </c>
      <c r="D557" t="s">
        <v>906</v>
      </c>
      <c r="E557" s="6" t="s">
        <v>28</v>
      </c>
      <c r="F557" s="6">
        <v>0.7</v>
      </c>
      <c r="G557" s="6" t="s">
        <v>34</v>
      </c>
      <c r="H557" s="6">
        <v>0.3</v>
      </c>
      <c r="I557" t="s">
        <v>907</v>
      </c>
      <c r="J557" t="s">
        <v>908</v>
      </c>
      <c r="L557" t="s">
        <v>46</v>
      </c>
      <c r="M557">
        <v>1.3</v>
      </c>
      <c r="N557">
        <v>0.5</v>
      </c>
      <c r="P557" t="s">
        <v>2693</v>
      </c>
      <c r="Q557">
        <v>2</v>
      </c>
      <c r="R557" t="s">
        <v>2694</v>
      </c>
      <c r="S557">
        <v>0</v>
      </c>
      <c r="T557" t="s">
        <v>276</v>
      </c>
      <c r="U557" t="s">
        <v>66</v>
      </c>
      <c r="V557" t="s">
        <v>2695</v>
      </c>
      <c r="W557" t="s">
        <v>222</v>
      </c>
      <c r="Y557">
        <f t="shared" si="90"/>
        <v>0</v>
      </c>
      <c r="Z557">
        <f t="shared" si="91"/>
        <v>0</v>
      </c>
      <c r="AA557">
        <f t="shared" si="92"/>
        <v>0</v>
      </c>
      <c r="AB557">
        <f t="shared" si="93"/>
        <v>0</v>
      </c>
      <c r="AC557">
        <f t="shared" si="94"/>
        <v>0</v>
      </c>
      <c r="AD557">
        <f t="shared" si="95"/>
        <v>0</v>
      </c>
      <c r="AE557">
        <f t="shared" si="96"/>
        <v>0</v>
      </c>
      <c r="AF557">
        <f t="shared" si="97"/>
        <v>0</v>
      </c>
      <c r="AG557">
        <f t="shared" si="98"/>
        <v>0</v>
      </c>
      <c r="AH557" t="s">
        <v>550</v>
      </c>
      <c r="AI557" t="s">
        <v>551</v>
      </c>
      <c r="AJ557" t="s">
        <v>552</v>
      </c>
    </row>
    <row r="558" spans="1:36" x14ac:dyDescent="0.2">
      <c r="A558" t="s">
        <v>231</v>
      </c>
      <c r="B558" t="s">
        <v>457</v>
      </c>
      <c r="C558" t="s">
        <v>37</v>
      </c>
      <c r="D558" t="s">
        <v>906</v>
      </c>
      <c r="E558" s="6" t="s">
        <v>28</v>
      </c>
      <c r="F558" s="6">
        <v>0.7</v>
      </c>
      <c r="G558" s="6" t="s">
        <v>34</v>
      </c>
      <c r="H558" s="6">
        <v>0.3</v>
      </c>
      <c r="I558" t="s">
        <v>907</v>
      </c>
      <c r="J558" t="s">
        <v>908</v>
      </c>
      <c r="L558" t="s">
        <v>46</v>
      </c>
      <c r="M558">
        <v>1.3</v>
      </c>
      <c r="N558">
        <v>0.5</v>
      </c>
      <c r="P558" t="s">
        <v>2696</v>
      </c>
      <c r="Q558">
        <v>3</v>
      </c>
      <c r="R558" t="s">
        <v>2697</v>
      </c>
      <c r="S558">
        <v>1</v>
      </c>
      <c r="T558" t="s">
        <v>276</v>
      </c>
      <c r="U558" t="s">
        <v>66</v>
      </c>
      <c r="V558" t="s">
        <v>2549</v>
      </c>
      <c r="W558" t="s">
        <v>222</v>
      </c>
      <c r="Y558">
        <f t="shared" si="90"/>
        <v>0</v>
      </c>
      <c r="Z558">
        <f t="shared" si="91"/>
        <v>0</v>
      </c>
      <c r="AA558">
        <f t="shared" si="92"/>
        <v>0</v>
      </c>
      <c r="AB558">
        <f t="shared" si="93"/>
        <v>0</v>
      </c>
      <c r="AC558">
        <f t="shared" si="94"/>
        <v>0</v>
      </c>
      <c r="AD558">
        <f t="shared" si="95"/>
        <v>0</v>
      </c>
      <c r="AE558">
        <f t="shared" si="96"/>
        <v>0</v>
      </c>
      <c r="AF558">
        <f t="shared" si="97"/>
        <v>0</v>
      </c>
      <c r="AG558">
        <f t="shared" si="98"/>
        <v>0</v>
      </c>
      <c r="AH558" t="s">
        <v>550</v>
      </c>
      <c r="AI558" t="s">
        <v>551</v>
      </c>
      <c r="AJ558" t="s">
        <v>552</v>
      </c>
    </row>
    <row r="559" spans="1:36" x14ac:dyDescent="0.2">
      <c r="A559" t="s">
        <v>231</v>
      </c>
      <c r="B559" t="s">
        <v>457</v>
      </c>
      <c r="C559" t="s">
        <v>37</v>
      </c>
      <c r="D559" t="s">
        <v>906</v>
      </c>
      <c r="E559" s="6" t="s">
        <v>28</v>
      </c>
      <c r="F559" s="6">
        <v>0.7</v>
      </c>
      <c r="G559" s="6" t="s">
        <v>34</v>
      </c>
      <c r="H559" s="6">
        <v>0.3</v>
      </c>
      <c r="I559" t="s">
        <v>907</v>
      </c>
      <c r="J559" t="s">
        <v>908</v>
      </c>
      <c r="L559" t="s">
        <v>46</v>
      </c>
      <c r="M559">
        <v>1.3</v>
      </c>
      <c r="N559">
        <v>0.5</v>
      </c>
      <c r="P559" t="s">
        <v>2698</v>
      </c>
      <c r="Q559">
        <v>4</v>
      </c>
      <c r="R559" t="s">
        <v>2699</v>
      </c>
      <c r="S559">
        <v>3</v>
      </c>
      <c r="V559" t="s">
        <v>2552</v>
      </c>
      <c r="W559" t="s">
        <v>222</v>
      </c>
      <c r="Y559">
        <f t="shared" si="90"/>
        <v>0</v>
      </c>
      <c r="Z559">
        <f t="shared" si="91"/>
        <v>0</v>
      </c>
      <c r="AA559">
        <f t="shared" si="92"/>
        <v>0</v>
      </c>
      <c r="AB559">
        <f t="shared" si="93"/>
        <v>0</v>
      </c>
      <c r="AC559">
        <f t="shared" si="94"/>
        <v>0</v>
      </c>
      <c r="AD559">
        <f t="shared" si="95"/>
        <v>0.7</v>
      </c>
      <c r="AE559">
        <f t="shared" si="96"/>
        <v>0</v>
      </c>
      <c r="AF559">
        <f t="shared" si="97"/>
        <v>0</v>
      </c>
      <c r="AG559">
        <f t="shared" si="98"/>
        <v>0.3</v>
      </c>
      <c r="AH559" t="s">
        <v>550</v>
      </c>
      <c r="AI559" t="s">
        <v>551</v>
      </c>
      <c r="AJ559" t="s">
        <v>552</v>
      </c>
    </row>
    <row r="560" spans="1:36" x14ac:dyDescent="0.2">
      <c r="A560" t="s">
        <v>231</v>
      </c>
      <c r="B560" t="s">
        <v>457</v>
      </c>
      <c r="C560" t="s">
        <v>37</v>
      </c>
      <c r="D560" t="s">
        <v>906</v>
      </c>
      <c r="E560" s="6" t="s">
        <v>28</v>
      </c>
      <c r="F560" s="6">
        <v>0.7</v>
      </c>
      <c r="G560" s="6" t="s">
        <v>34</v>
      </c>
      <c r="H560" s="6">
        <v>0.3</v>
      </c>
      <c r="I560" t="s">
        <v>907</v>
      </c>
      <c r="J560" t="s">
        <v>908</v>
      </c>
      <c r="L560" t="s">
        <v>46</v>
      </c>
      <c r="M560">
        <v>1.3</v>
      </c>
      <c r="N560">
        <v>0.5</v>
      </c>
      <c r="P560" t="s">
        <v>2700</v>
      </c>
      <c r="Q560">
        <v>5</v>
      </c>
      <c r="R560" t="s">
        <v>2701</v>
      </c>
      <c r="S560">
        <v>4</v>
      </c>
      <c r="V560" t="s">
        <v>2454</v>
      </c>
      <c r="W560" t="s">
        <v>222</v>
      </c>
      <c r="Y560">
        <f t="shared" si="90"/>
        <v>0</v>
      </c>
      <c r="Z560">
        <f t="shared" si="91"/>
        <v>0</v>
      </c>
      <c r="AA560">
        <f t="shared" si="92"/>
        <v>0</v>
      </c>
      <c r="AB560">
        <f t="shared" si="93"/>
        <v>0</v>
      </c>
      <c r="AC560">
        <f t="shared" si="94"/>
        <v>0</v>
      </c>
      <c r="AD560">
        <f t="shared" si="95"/>
        <v>2.0999999999999996</v>
      </c>
      <c r="AE560">
        <f t="shared" si="96"/>
        <v>0</v>
      </c>
      <c r="AF560">
        <f t="shared" si="97"/>
        <v>0</v>
      </c>
      <c r="AG560">
        <f t="shared" si="98"/>
        <v>0.89999999999999991</v>
      </c>
      <c r="AH560" t="s">
        <v>550</v>
      </c>
      <c r="AI560" t="s">
        <v>551</v>
      </c>
      <c r="AJ560" t="s">
        <v>552</v>
      </c>
    </row>
    <row r="561" spans="1:36" x14ac:dyDescent="0.2">
      <c r="A561" t="s">
        <v>231</v>
      </c>
      <c r="B561" t="s">
        <v>458</v>
      </c>
      <c r="C561" t="s">
        <v>39</v>
      </c>
      <c r="D561" t="s">
        <v>906</v>
      </c>
      <c r="E561" s="6" t="s">
        <v>34</v>
      </c>
      <c r="F561" s="6">
        <v>0.6</v>
      </c>
      <c r="G561" s="6" t="s">
        <v>28</v>
      </c>
      <c r="H561" s="6">
        <v>0.4</v>
      </c>
      <c r="I561" t="s">
        <v>909</v>
      </c>
      <c r="J561" t="s">
        <v>910</v>
      </c>
      <c r="L561" t="s">
        <v>46</v>
      </c>
      <c r="M561">
        <v>1.1000000000000001</v>
      </c>
      <c r="P561" t="s">
        <v>2702</v>
      </c>
      <c r="Q561">
        <v>1</v>
      </c>
      <c r="R561" t="s">
        <v>2703</v>
      </c>
      <c r="S561">
        <v>0</v>
      </c>
      <c r="T561" t="s">
        <v>236</v>
      </c>
      <c r="U561" t="s">
        <v>57</v>
      </c>
      <c r="V561" t="s">
        <v>2704</v>
      </c>
      <c r="W561" t="s">
        <v>222</v>
      </c>
      <c r="Y561">
        <f t="shared" si="90"/>
        <v>0</v>
      </c>
      <c r="Z561">
        <f t="shared" si="91"/>
        <v>0</v>
      </c>
      <c r="AA561">
        <f t="shared" si="92"/>
        <v>0</v>
      </c>
      <c r="AB561">
        <f t="shared" si="93"/>
        <v>0</v>
      </c>
      <c r="AC561">
        <f t="shared" si="94"/>
        <v>0</v>
      </c>
      <c r="AD561">
        <f t="shared" si="95"/>
        <v>2.8</v>
      </c>
      <c r="AE561">
        <f t="shared" si="96"/>
        <v>0</v>
      </c>
      <c r="AF561">
        <f t="shared" si="97"/>
        <v>0</v>
      </c>
      <c r="AG561">
        <f t="shared" si="98"/>
        <v>1.2</v>
      </c>
      <c r="AH561" t="s">
        <v>599</v>
      </c>
      <c r="AI561" t="s">
        <v>600</v>
      </c>
      <c r="AJ561" t="s">
        <v>911</v>
      </c>
    </row>
    <row r="562" spans="1:36" x14ac:dyDescent="0.2">
      <c r="A562" t="s">
        <v>231</v>
      </c>
      <c r="B562" t="s">
        <v>458</v>
      </c>
      <c r="C562" t="s">
        <v>39</v>
      </c>
      <c r="D562" t="s">
        <v>906</v>
      </c>
      <c r="E562" s="6" t="s">
        <v>34</v>
      </c>
      <c r="F562" s="6">
        <v>0.6</v>
      </c>
      <c r="G562" s="6" t="s">
        <v>28</v>
      </c>
      <c r="H562" s="6">
        <v>0.4</v>
      </c>
      <c r="I562" t="s">
        <v>909</v>
      </c>
      <c r="J562" t="s">
        <v>910</v>
      </c>
      <c r="L562" t="s">
        <v>46</v>
      </c>
      <c r="M562">
        <v>1.1000000000000001</v>
      </c>
      <c r="P562" t="s">
        <v>2705</v>
      </c>
      <c r="Q562">
        <v>2</v>
      </c>
      <c r="R562" t="s">
        <v>2706</v>
      </c>
      <c r="S562">
        <v>1</v>
      </c>
      <c r="T562" t="s">
        <v>255</v>
      </c>
      <c r="U562" t="s">
        <v>60</v>
      </c>
      <c r="V562" t="s">
        <v>2707</v>
      </c>
      <c r="W562" t="s">
        <v>222</v>
      </c>
      <c r="Y562">
        <f t="shared" si="90"/>
        <v>0</v>
      </c>
      <c r="Z562">
        <f t="shared" si="91"/>
        <v>0</v>
      </c>
      <c r="AA562">
        <f t="shared" si="92"/>
        <v>0</v>
      </c>
      <c r="AB562">
        <f t="shared" si="93"/>
        <v>0</v>
      </c>
      <c r="AC562">
        <f t="shared" si="94"/>
        <v>0</v>
      </c>
      <c r="AD562">
        <f t="shared" si="95"/>
        <v>0</v>
      </c>
      <c r="AE562">
        <f t="shared" si="96"/>
        <v>0</v>
      </c>
      <c r="AF562">
        <f t="shared" si="97"/>
        <v>0</v>
      </c>
      <c r="AG562">
        <f t="shared" si="98"/>
        <v>0</v>
      </c>
      <c r="AH562" t="s">
        <v>599</v>
      </c>
      <c r="AI562" t="s">
        <v>600</v>
      </c>
      <c r="AJ562" t="s">
        <v>911</v>
      </c>
    </row>
    <row r="563" spans="1:36" x14ac:dyDescent="0.2">
      <c r="A563" t="s">
        <v>231</v>
      </c>
      <c r="B563" t="s">
        <v>458</v>
      </c>
      <c r="C563" t="s">
        <v>39</v>
      </c>
      <c r="D563" t="s">
        <v>906</v>
      </c>
      <c r="E563" s="6" t="s">
        <v>34</v>
      </c>
      <c r="F563" s="6">
        <v>0.6</v>
      </c>
      <c r="G563" s="6" t="s">
        <v>28</v>
      </c>
      <c r="H563" s="6">
        <v>0.4</v>
      </c>
      <c r="I563" t="s">
        <v>909</v>
      </c>
      <c r="J563" t="s">
        <v>910</v>
      </c>
      <c r="L563" t="s">
        <v>46</v>
      </c>
      <c r="M563">
        <v>1.1000000000000001</v>
      </c>
      <c r="P563" t="s">
        <v>2708</v>
      </c>
      <c r="Q563">
        <v>3</v>
      </c>
      <c r="R563" t="s">
        <v>2709</v>
      </c>
      <c r="S563">
        <v>3</v>
      </c>
      <c r="V563" t="s">
        <v>2710</v>
      </c>
      <c r="W563" t="s">
        <v>222</v>
      </c>
      <c r="Y563">
        <f t="shared" si="90"/>
        <v>0</v>
      </c>
      <c r="Z563">
        <f t="shared" si="91"/>
        <v>0</v>
      </c>
      <c r="AA563">
        <f t="shared" si="92"/>
        <v>0</v>
      </c>
      <c r="AB563">
        <f t="shared" si="93"/>
        <v>0</v>
      </c>
      <c r="AC563">
        <f t="shared" si="94"/>
        <v>0</v>
      </c>
      <c r="AD563">
        <f t="shared" si="95"/>
        <v>0.4</v>
      </c>
      <c r="AE563">
        <f t="shared" si="96"/>
        <v>0</v>
      </c>
      <c r="AF563">
        <f t="shared" si="97"/>
        <v>0</v>
      </c>
      <c r="AG563">
        <f t="shared" si="98"/>
        <v>0.6</v>
      </c>
      <c r="AH563" t="s">
        <v>599</v>
      </c>
      <c r="AI563" t="s">
        <v>600</v>
      </c>
      <c r="AJ563" t="s">
        <v>911</v>
      </c>
    </row>
    <row r="564" spans="1:36" x14ac:dyDescent="0.2">
      <c r="A564" t="s">
        <v>231</v>
      </c>
      <c r="B564" t="s">
        <v>458</v>
      </c>
      <c r="C564" t="s">
        <v>39</v>
      </c>
      <c r="D564" t="s">
        <v>906</v>
      </c>
      <c r="E564" s="6" t="s">
        <v>34</v>
      </c>
      <c r="F564" s="6">
        <v>0.6</v>
      </c>
      <c r="G564" s="6" t="s">
        <v>28</v>
      </c>
      <c r="H564" s="6">
        <v>0.4</v>
      </c>
      <c r="I564" t="s">
        <v>909</v>
      </c>
      <c r="J564" t="s">
        <v>910</v>
      </c>
      <c r="L564" t="s">
        <v>46</v>
      </c>
      <c r="M564">
        <v>1.1000000000000001</v>
      </c>
      <c r="P564" t="s">
        <v>2711</v>
      </c>
      <c r="Q564">
        <v>4</v>
      </c>
      <c r="R564" t="s">
        <v>2712</v>
      </c>
      <c r="S564">
        <v>4</v>
      </c>
      <c r="V564" t="s">
        <v>2454</v>
      </c>
      <c r="W564" t="s">
        <v>222</v>
      </c>
      <c r="Y564">
        <f t="shared" si="90"/>
        <v>0</v>
      </c>
      <c r="Z564">
        <f t="shared" si="91"/>
        <v>0</v>
      </c>
      <c r="AA564">
        <f t="shared" si="92"/>
        <v>0</v>
      </c>
      <c r="AB564">
        <f t="shared" si="93"/>
        <v>0</v>
      </c>
      <c r="AC564">
        <f t="shared" si="94"/>
        <v>0</v>
      </c>
      <c r="AD564">
        <f t="shared" si="95"/>
        <v>1.2000000000000002</v>
      </c>
      <c r="AE564">
        <f t="shared" si="96"/>
        <v>0</v>
      </c>
      <c r="AF564">
        <f t="shared" si="97"/>
        <v>0</v>
      </c>
      <c r="AG564">
        <f t="shared" si="98"/>
        <v>1.7999999999999998</v>
      </c>
      <c r="AH564" t="s">
        <v>599</v>
      </c>
      <c r="AI564" t="s">
        <v>600</v>
      </c>
      <c r="AJ564" t="s">
        <v>911</v>
      </c>
    </row>
    <row r="565" spans="1:36" x14ac:dyDescent="0.2">
      <c r="A565" t="s">
        <v>231</v>
      </c>
      <c r="B565" t="s">
        <v>459</v>
      </c>
      <c r="C565" t="s">
        <v>37</v>
      </c>
      <c r="D565" t="s">
        <v>912</v>
      </c>
      <c r="E565" s="6" t="s">
        <v>32</v>
      </c>
      <c r="F565" s="6">
        <v>1</v>
      </c>
      <c r="G565" s="6" t="s">
        <v>522</v>
      </c>
      <c r="I565" t="s">
        <v>913</v>
      </c>
      <c r="J565" t="s">
        <v>914</v>
      </c>
      <c r="L565" t="s">
        <v>48</v>
      </c>
      <c r="M565">
        <v>1.2</v>
      </c>
      <c r="P565" t="s">
        <v>2713</v>
      </c>
      <c r="Q565">
        <v>1</v>
      </c>
      <c r="R565" t="s">
        <v>1017</v>
      </c>
      <c r="S565">
        <v>0</v>
      </c>
      <c r="T565" t="s">
        <v>273</v>
      </c>
      <c r="U565" t="s">
        <v>65</v>
      </c>
      <c r="V565" t="s">
        <v>2714</v>
      </c>
      <c r="W565" t="s">
        <v>222</v>
      </c>
      <c r="Y565">
        <f t="shared" si="90"/>
        <v>0</v>
      </c>
      <c r="Z565">
        <f t="shared" si="91"/>
        <v>0</v>
      </c>
      <c r="AA565">
        <f t="shared" si="92"/>
        <v>0</v>
      </c>
      <c r="AB565">
        <f t="shared" si="93"/>
        <v>0</v>
      </c>
      <c r="AC565">
        <f t="shared" si="94"/>
        <v>0</v>
      </c>
      <c r="AD565">
        <f t="shared" si="95"/>
        <v>1.6</v>
      </c>
      <c r="AE565">
        <f t="shared" si="96"/>
        <v>0</v>
      </c>
      <c r="AF565">
        <f t="shared" si="97"/>
        <v>0</v>
      </c>
      <c r="AG565">
        <f t="shared" si="98"/>
        <v>2.4</v>
      </c>
      <c r="AH565" t="s">
        <v>614</v>
      </c>
      <c r="AI565" t="s">
        <v>615</v>
      </c>
      <c r="AJ565" t="s">
        <v>915</v>
      </c>
    </row>
    <row r="566" spans="1:36" x14ac:dyDescent="0.2">
      <c r="A566" t="s">
        <v>231</v>
      </c>
      <c r="B566" t="s">
        <v>459</v>
      </c>
      <c r="C566" t="s">
        <v>37</v>
      </c>
      <c r="D566" t="s">
        <v>912</v>
      </c>
      <c r="E566" s="6" t="s">
        <v>32</v>
      </c>
      <c r="F566" s="6">
        <v>1</v>
      </c>
      <c r="G566" s="6" t="s">
        <v>522</v>
      </c>
      <c r="I566" t="s">
        <v>913</v>
      </c>
      <c r="J566" t="s">
        <v>914</v>
      </c>
      <c r="L566" t="s">
        <v>48</v>
      </c>
      <c r="M566">
        <v>1.2</v>
      </c>
      <c r="P566" t="s">
        <v>2715</v>
      </c>
      <c r="Q566">
        <v>2</v>
      </c>
      <c r="R566" t="s">
        <v>2716</v>
      </c>
      <c r="S566">
        <v>0</v>
      </c>
      <c r="T566" t="s">
        <v>178</v>
      </c>
      <c r="U566" t="s">
        <v>55</v>
      </c>
      <c r="V566" t="s">
        <v>2717</v>
      </c>
      <c r="W566" t="s">
        <v>222</v>
      </c>
      <c r="Y566">
        <f t="shared" si="90"/>
        <v>0</v>
      </c>
      <c r="Z566">
        <f t="shared" si="91"/>
        <v>0</v>
      </c>
      <c r="AA566">
        <f t="shared" si="92"/>
        <v>0</v>
      </c>
      <c r="AB566">
        <f t="shared" si="93"/>
        <v>0</v>
      </c>
      <c r="AC566">
        <f t="shared" si="94"/>
        <v>0</v>
      </c>
      <c r="AD566">
        <f t="shared" si="95"/>
        <v>0</v>
      </c>
      <c r="AE566">
        <f t="shared" si="96"/>
        <v>0</v>
      </c>
      <c r="AF566">
        <f t="shared" si="97"/>
        <v>0</v>
      </c>
      <c r="AG566">
        <f t="shared" si="98"/>
        <v>0</v>
      </c>
      <c r="AH566" t="s">
        <v>614</v>
      </c>
      <c r="AI566" t="s">
        <v>615</v>
      </c>
      <c r="AJ566" t="s">
        <v>915</v>
      </c>
    </row>
    <row r="567" spans="1:36" x14ac:dyDescent="0.2">
      <c r="A567" t="s">
        <v>231</v>
      </c>
      <c r="B567" t="s">
        <v>459</v>
      </c>
      <c r="C567" t="s">
        <v>37</v>
      </c>
      <c r="D567" t="s">
        <v>912</v>
      </c>
      <c r="E567" s="6" t="s">
        <v>32</v>
      </c>
      <c r="F567" s="6">
        <v>1</v>
      </c>
      <c r="G567" s="6" t="s">
        <v>522</v>
      </c>
      <c r="I567" t="s">
        <v>913</v>
      </c>
      <c r="J567" t="s">
        <v>914</v>
      </c>
      <c r="L567" t="s">
        <v>48</v>
      </c>
      <c r="M567">
        <v>1.2</v>
      </c>
      <c r="P567" t="s">
        <v>2718</v>
      </c>
      <c r="Q567">
        <v>3</v>
      </c>
      <c r="R567" t="s">
        <v>2719</v>
      </c>
      <c r="S567">
        <v>1</v>
      </c>
      <c r="T567" t="s">
        <v>255</v>
      </c>
      <c r="U567" t="s">
        <v>60</v>
      </c>
      <c r="V567" t="s">
        <v>2720</v>
      </c>
      <c r="W567" t="s">
        <v>222</v>
      </c>
      <c r="Y567">
        <f t="shared" si="90"/>
        <v>0</v>
      </c>
      <c r="Z567">
        <f t="shared" si="91"/>
        <v>0</v>
      </c>
      <c r="AA567">
        <f t="shared" si="92"/>
        <v>0</v>
      </c>
      <c r="AB567">
        <f t="shared" si="93"/>
        <v>0</v>
      </c>
      <c r="AC567">
        <f t="shared" si="94"/>
        <v>0</v>
      </c>
      <c r="AD567">
        <f t="shared" si="95"/>
        <v>0</v>
      </c>
      <c r="AE567">
        <f t="shared" si="96"/>
        <v>0</v>
      </c>
      <c r="AF567">
        <f t="shared" si="97"/>
        <v>0</v>
      </c>
      <c r="AG567">
        <f t="shared" si="98"/>
        <v>0</v>
      </c>
      <c r="AH567" t="s">
        <v>614</v>
      </c>
      <c r="AI567" t="s">
        <v>615</v>
      </c>
      <c r="AJ567" t="s">
        <v>915</v>
      </c>
    </row>
    <row r="568" spans="1:36" x14ac:dyDescent="0.2">
      <c r="A568" t="s">
        <v>231</v>
      </c>
      <c r="B568" t="s">
        <v>459</v>
      </c>
      <c r="C568" t="s">
        <v>37</v>
      </c>
      <c r="D568" t="s">
        <v>912</v>
      </c>
      <c r="E568" s="6" t="s">
        <v>32</v>
      </c>
      <c r="F568" s="6">
        <v>1</v>
      </c>
      <c r="G568" s="6" t="s">
        <v>522</v>
      </c>
      <c r="I568" t="s">
        <v>913</v>
      </c>
      <c r="J568" t="s">
        <v>914</v>
      </c>
      <c r="L568" t="s">
        <v>48</v>
      </c>
      <c r="M568">
        <v>1.2</v>
      </c>
      <c r="P568" t="s">
        <v>2721</v>
      </c>
      <c r="Q568">
        <v>4</v>
      </c>
      <c r="R568" t="s">
        <v>2722</v>
      </c>
      <c r="S568">
        <v>3</v>
      </c>
      <c r="V568" t="s">
        <v>2723</v>
      </c>
      <c r="W568" t="s">
        <v>222</v>
      </c>
      <c r="Y568">
        <f t="shared" si="90"/>
        <v>0</v>
      </c>
      <c r="Z568">
        <f t="shared" si="91"/>
        <v>0</v>
      </c>
      <c r="AA568">
        <f t="shared" si="92"/>
        <v>0</v>
      </c>
      <c r="AB568">
        <f t="shared" si="93"/>
        <v>0</v>
      </c>
      <c r="AC568">
        <f t="shared" si="94"/>
        <v>0</v>
      </c>
      <c r="AD568">
        <f t="shared" si="95"/>
        <v>0</v>
      </c>
      <c r="AE568">
        <f t="shared" si="96"/>
        <v>0</v>
      </c>
      <c r="AF568">
        <f t="shared" si="97"/>
        <v>1</v>
      </c>
      <c r="AG568">
        <f t="shared" si="98"/>
        <v>0</v>
      </c>
      <c r="AH568" t="s">
        <v>614</v>
      </c>
      <c r="AI568" t="s">
        <v>615</v>
      </c>
      <c r="AJ568" t="s">
        <v>915</v>
      </c>
    </row>
    <row r="569" spans="1:36" x14ac:dyDescent="0.2">
      <c r="A569" t="s">
        <v>231</v>
      </c>
      <c r="B569" t="s">
        <v>459</v>
      </c>
      <c r="C569" t="s">
        <v>37</v>
      </c>
      <c r="D569" t="s">
        <v>912</v>
      </c>
      <c r="E569" s="6" t="s">
        <v>32</v>
      </c>
      <c r="F569" s="6">
        <v>1</v>
      </c>
      <c r="G569" s="6" t="s">
        <v>522</v>
      </c>
      <c r="I569" t="s">
        <v>913</v>
      </c>
      <c r="J569" t="s">
        <v>914</v>
      </c>
      <c r="L569" t="s">
        <v>48</v>
      </c>
      <c r="M569">
        <v>1.2</v>
      </c>
      <c r="P569" t="s">
        <v>2724</v>
      </c>
      <c r="Q569">
        <v>5</v>
      </c>
      <c r="R569" t="s">
        <v>2725</v>
      </c>
      <c r="S569">
        <v>4</v>
      </c>
      <c r="V569" t="s">
        <v>2454</v>
      </c>
      <c r="W569" t="s">
        <v>222</v>
      </c>
      <c r="Y569">
        <f t="shared" si="90"/>
        <v>0</v>
      </c>
      <c r="Z569">
        <f t="shared" si="91"/>
        <v>0</v>
      </c>
      <c r="AA569">
        <f t="shared" si="92"/>
        <v>0</v>
      </c>
      <c r="AB569">
        <f t="shared" si="93"/>
        <v>0</v>
      </c>
      <c r="AC569">
        <f t="shared" si="94"/>
        <v>0</v>
      </c>
      <c r="AD569">
        <f t="shared" si="95"/>
        <v>0</v>
      </c>
      <c r="AE569">
        <f t="shared" si="96"/>
        <v>0</v>
      </c>
      <c r="AF569">
        <f t="shared" si="97"/>
        <v>3</v>
      </c>
      <c r="AG569">
        <f t="shared" si="98"/>
        <v>0</v>
      </c>
      <c r="AH569" t="s">
        <v>614</v>
      </c>
      <c r="AI569" t="s">
        <v>615</v>
      </c>
      <c r="AJ569" t="s">
        <v>915</v>
      </c>
    </row>
    <row r="570" spans="1:36" x14ac:dyDescent="0.2">
      <c r="A570" t="s">
        <v>231</v>
      </c>
      <c r="B570" t="s">
        <v>460</v>
      </c>
      <c r="C570" t="s">
        <v>39</v>
      </c>
      <c r="D570" t="s">
        <v>912</v>
      </c>
      <c r="E570" s="6" t="s">
        <v>32</v>
      </c>
      <c r="F570" s="6">
        <v>0.6</v>
      </c>
      <c r="G570" s="6" t="s">
        <v>18</v>
      </c>
      <c r="H570" s="6">
        <v>0.4</v>
      </c>
      <c r="I570" t="s">
        <v>916</v>
      </c>
      <c r="J570" t="s">
        <v>917</v>
      </c>
      <c r="L570" t="s">
        <v>48</v>
      </c>
      <c r="M570">
        <v>1</v>
      </c>
      <c r="P570" t="s">
        <v>2726</v>
      </c>
      <c r="Q570">
        <v>1</v>
      </c>
      <c r="R570" t="s">
        <v>2727</v>
      </c>
      <c r="S570">
        <v>0</v>
      </c>
      <c r="T570" t="s">
        <v>178</v>
      </c>
      <c r="U570" t="s">
        <v>55</v>
      </c>
      <c r="V570" t="s">
        <v>2728</v>
      </c>
      <c r="W570" t="s">
        <v>222</v>
      </c>
      <c r="Y570">
        <f t="shared" si="90"/>
        <v>0</v>
      </c>
      <c r="Z570">
        <f t="shared" si="91"/>
        <v>0</v>
      </c>
      <c r="AA570">
        <f t="shared" si="92"/>
        <v>0</v>
      </c>
      <c r="AB570">
        <f t="shared" si="93"/>
        <v>0</v>
      </c>
      <c r="AC570">
        <f t="shared" si="94"/>
        <v>0</v>
      </c>
      <c r="AD570">
        <f t="shared" si="95"/>
        <v>0</v>
      </c>
      <c r="AE570">
        <f t="shared" si="96"/>
        <v>0</v>
      </c>
      <c r="AF570">
        <f t="shared" si="97"/>
        <v>4</v>
      </c>
      <c r="AG570">
        <f t="shared" si="98"/>
        <v>0</v>
      </c>
      <c r="AH570" t="s">
        <v>521</v>
      </c>
      <c r="AI570" t="s">
        <v>535</v>
      </c>
      <c r="AJ570" t="s">
        <v>536</v>
      </c>
    </row>
    <row r="571" spans="1:36" x14ac:dyDescent="0.2">
      <c r="A571" t="s">
        <v>231</v>
      </c>
      <c r="B571" t="s">
        <v>460</v>
      </c>
      <c r="C571" t="s">
        <v>39</v>
      </c>
      <c r="D571" t="s">
        <v>912</v>
      </c>
      <c r="E571" s="6" t="s">
        <v>32</v>
      </c>
      <c r="F571" s="6">
        <v>0.6</v>
      </c>
      <c r="G571" s="6" t="s">
        <v>18</v>
      </c>
      <c r="H571" s="6">
        <v>0.4</v>
      </c>
      <c r="I571" t="s">
        <v>916</v>
      </c>
      <c r="J571" t="s">
        <v>917</v>
      </c>
      <c r="L571" t="s">
        <v>48</v>
      </c>
      <c r="M571">
        <v>1</v>
      </c>
      <c r="P571" t="s">
        <v>2729</v>
      </c>
      <c r="Q571">
        <v>2</v>
      </c>
      <c r="R571" t="s">
        <v>2730</v>
      </c>
      <c r="S571">
        <v>1</v>
      </c>
      <c r="T571" t="s">
        <v>255</v>
      </c>
      <c r="U571" t="s">
        <v>60</v>
      </c>
      <c r="V571" t="s">
        <v>2731</v>
      </c>
      <c r="W571" t="s">
        <v>222</v>
      </c>
      <c r="Y571">
        <f t="shared" si="90"/>
        <v>0</v>
      </c>
      <c r="Z571">
        <f t="shared" si="91"/>
        <v>0</v>
      </c>
      <c r="AA571">
        <f t="shared" si="92"/>
        <v>0</v>
      </c>
      <c r="AB571">
        <f t="shared" si="93"/>
        <v>0</v>
      </c>
      <c r="AC571">
        <f t="shared" si="94"/>
        <v>0</v>
      </c>
      <c r="AD571">
        <f t="shared" si="95"/>
        <v>0</v>
      </c>
      <c r="AE571">
        <f t="shared" si="96"/>
        <v>0</v>
      </c>
      <c r="AF571">
        <f t="shared" si="97"/>
        <v>0</v>
      </c>
      <c r="AG571">
        <f t="shared" si="98"/>
        <v>0</v>
      </c>
      <c r="AH571" t="s">
        <v>521</v>
      </c>
      <c r="AI571" t="s">
        <v>535</v>
      </c>
      <c r="AJ571" t="s">
        <v>536</v>
      </c>
    </row>
    <row r="572" spans="1:36" x14ac:dyDescent="0.2">
      <c r="A572" t="s">
        <v>231</v>
      </c>
      <c r="B572" t="s">
        <v>460</v>
      </c>
      <c r="C572" t="s">
        <v>39</v>
      </c>
      <c r="D572" t="s">
        <v>912</v>
      </c>
      <c r="E572" s="6" t="s">
        <v>32</v>
      </c>
      <c r="F572" s="6">
        <v>0.6</v>
      </c>
      <c r="G572" s="6" t="s">
        <v>18</v>
      </c>
      <c r="H572" s="6">
        <v>0.4</v>
      </c>
      <c r="I572" t="s">
        <v>916</v>
      </c>
      <c r="J572" t="s">
        <v>917</v>
      </c>
      <c r="L572" t="s">
        <v>48</v>
      </c>
      <c r="M572">
        <v>1</v>
      </c>
      <c r="P572" t="s">
        <v>2732</v>
      </c>
      <c r="Q572">
        <v>3</v>
      </c>
      <c r="R572" t="s">
        <v>2733</v>
      </c>
      <c r="S572">
        <v>3</v>
      </c>
      <c r="V572" t="s">
        <v>2734</v>
      </c>
      <c r="W572" t="s">
        <v>222</v>
      </c>
      <c r="Y572">
        <f t="shared" si="90"/>
        <v>0.4</v>
      </c>
      <c r="Z572">
        <f t="shared" si="91"/>
        <v>0</v>
      </c>
      <c r="AA572">
        <f t="shared" si="92"/>
        <v>0</v>
      </c>
      <c r="AB572">
        <f t="shared" si="93"/>
        <v>0</v>
      </c>
      <c r="AC572">
        <f t="shared" si="94"/>
        <v>0</v>
      </c>
      <c r="AD572">
        <f t="shared" si="95"/>
        <v>0</v>
      </c>
      <c r="AE572">
        <f t="shared" si="96"/>
        <v>0</v>
      </c>
      <c r="AF572">
        <f t="shared" si="97"/>
        <v>0.6</v>
      </c>
      <c r="AG572">
        <f t="shared" si="98"/>
        <v>0</v>
      </c>
      <c r="AH572" t="s">
        <v>521</v>
      </c>
      <c r="AI572" t="s">
        <v>535</v>
      </c>
      <c r="AJ572" t="s">
        <v>536</v>
      </c>
    </row>
    <row r="573" spans="1:36" x14ac:dyDescent="0.2">
      <c r="A573" t="s">
        <v>231</v>
      </c>
      <c r="B573" t="s">
        <v>460</v>
      </c>
      <c r="C573" t="s">
        <v>39</v>
      </c>
      <c r="D573" t="s">
        <v>912</v>
      </c>
      <c r="E573" s="6" t="s">
        <v>32</v>
      </c>
      <c r="F573" s="6">
        <v>0.6</v>
      </c>
      <c r="G573" s="6" t="s">
        <v>18</v>
      </c>
      <c r="H573" s="6">
        <v>0.4</v>
      </c>
      <c r="I573" t="s">
        <v>916</v>
      </c>
      <c r="J573" t="s">
        <v>917</v>
      </c>
      <c r="L573" t="s">
        <v>48</v>
      </c>
      <c r="M573">
        <v>1</v>
      </c>
      <c r="P573" t="s">
        <v>2735</v>
      </c>
      <c r="Q573">
        <v>4</v>
      </c>
      <c r="R573" t="s">
        <v>2736</v>
      </c>
      <c r="S573">
        <v>4</v>
      </c>
      <c r="V573" t="s">
        <v>2454</v>
      </c>
      <c r="W573" t="s">
        <v>222</v>
      </c>
      <c r="Y573">
        <f t="shared" si="90"/>
        <v>1.2000000000000002</v>
      </c>
      <c r="Z573">
        <f t="shared" si="91"/>
        <v>0</v>
      </c>
      <c r="AA573">
        <f t="shared" si="92"/>
        <v>0</v>
      </c>
      <c r="AB573">
        <f t="shared" si="93"/>
        <v>0</v>
      </c>
      <c r="AC573">
        <f t="shared" si="94"/>
        <v>0</v>
      </c>
      <c r="AD573">
        <f t="shared" si="95"/>
        <v>0</v>
      </c>
      <c r="AE573">
        <f t="shared" si="96"/>
        <v>0</v>
      </c>
      <c r="AF573">
        <f t="shared" si="97"/>
        <v>1.7999999999999998</v>
      </c>
      <c r="AG573">
        <f t="shared" si="98"/>
        <v>0</v>
      </c>
      <c r="AH573" t="s">
        <v>521</v>
      </c>
      <c r="AI573" t="s">
        <v>535</v>
      </c>
      <c r="AJ573" t="s">
        <v>536</v>
      </c>
    </row>
    <row r="574" spans="1:36" x14ac:dyDescent="0.2">
      <c r="A574" t="s">
        <v>231</v>
      </c>
      <c r="B574" t="s">
        <v>461</v>
      </c>
      <c r="C574" t="s">
        <v>39</v>
      </c>
      <c r="D574" t="s">
        <v>912</v>
      </c>
      <c r="E574" s="6" t="s">
        <v>32</v>
      </c>
      <c r="F574" s="6">
        <v>0.5</v>
      </c>
      <c r="G574" s="6" t="s">
        <v>20</v>
      </c>
      <c r="H574" s="6">
        <v>0.5</v>
      </c>
      <c r="I574" t="s">
        <v>918</v>
      </c>
      <c r="J574" t="s">
        <v>919</v>
      </c>
      <c r="L574" t="s">
        <v>48</v>
      </c>
      <c r="M574">
        <v>1</v>
      </c>
      <c r="P574" t="s">
        <v>2737</v>
      </c>
      <c r="Q574">
        <v>1</v>
      </c>
      <c r="R574" t="s">
        <v>2738</v>
      </c>
      <c r="S574">
        <v>0</v>
      </c>
      <c r="T574" t="s">
        <v>2739</v>
      </c>
      <c r="U574" t="s">
        <v>66</v>
      </c>
      <c r="V574" t="s">
        <v>2740</v>
      </c>
      <c r="W574" t="s">
        <v>222</v>
      </c>
      <c r="Y574">
        <f t="shared" si="90"/>
        <v>1.6</v>
      </c>
      <c r="Z574">
        <f t="shared" si="91"/>
        <v>0</v>
      </c>
      <c r="AA574">
        <f t="shared" si="92"/>
        <v>0</v>
      </c>
      <c r="AB574">
        <f t="shared" si="93"/>
        <v>0</v>
      </c>
      <c r="AC574">
        <f t="shared" si="94"/>
        <v>0</v>
      </c>
      <c r="AD574">
        <f t="shared" si="95"/>
        <v>0</v>
      </c>
      <c r="AE574">
        <f t="shared" si="96"/>
        <v>0</v>
      </c>
      <c r="AF574">
        <f t="shared" si="97"/>
        <v>2.4</v>
      </c>
      <c r="AG574">
        <f t="shared" si="98"/>
        <v>0</v>
      </c>
      <c r="AH574" t="s">
        <v>614</v>
      </c>
      <c r="AI574" t="s">
        <v>615</v>
      </c>
      <c r="AJ574" t="s">
        <v>616</v>
      </c>
    </row>
    <row r="575" spans="1:36" x14ac:dyDescent="0.2">
      <c r="A575" t="s">
        <v>231</v>
      </c>
      <c r="B575" t="s">
        <v>461</v>
      </c>
      <c r="C575" t="s">
        <v>39</v>
      </c>
      <c r="D575" t="s">
        <v>912</v>
      </c>
      <c r="E575" s="6" t="s">
        <v>32</v>
      </c>
      <c r="F575" s="6">
        <v>0.5</v>
      </c>
      <c r="G575" s="6" t="s">
        <v>20</v>
      </c>
      <c r="H575" s="6">
        <v>0.5</v>
      </c>
      <c r="I575" t="s">
        <v>918</v>
      </c>
      <c r="J575" t="s">
        <v>919</v>
      </c>
      <c r="L575" t="s">
        <v>48</v>
      </c>
      <c r="M575">
        <v>1</v>
      </c>
      <c r="P575" t="s">
        <v>2741</v>
      </c>
      <c r="Q575">
        <v>2</v>
      </c>
      <c r="R575" t="s">
        <v>2742</v>
      </c>
      <c r="S575">
        <v>1</v>
      </c>
      <c r="T575" t="s">
        <v>178</v>
      </c>
      <c r="U575" t="s">
        <v>55</v>
      </c>
      <c r="V575" t="s">
        <v>2743</v>
      </c>
      <c r="W575" t="s">
        <v>222</v>
      </c>
      <c r="Y575">
        <f t="shared" si="90"/>
        <v>0</v>
      </c>
      <c r="Z575">
        <f t="shared" si="91"/>
        <v>0</v>
      </c>
      <c r="AA575">
        <f t="shared" si="92"/>
        <v>0</v>
      </c>
      <c r="AB575">
        <f t="shared" si="93"/>
        <v>0</v>
      </c>
      <c r="AC575">
        <f t="shared" si="94"/>
        <v>0</v>
      </c>
      <c r="AD575">
        <f t="shared" si="95"/>
        <v>0</v>
      </c>
      <c r="AE575">
        <f t="shared" si="96"/>
        <v>0</v>
      </c>
      <c r="AF575">
        <f t="shared" si="97"/>
        <v>0</v>
      </c>
      <c r="AG575">
        <f t="shared" si="98"/>
        <v>0</v>
      </c>
      <c r="AH575" t="s">
        <v>614</v>
      </c>
      <c r="AI575" t="s">
        <v>615</v>
      </c>
      <c r="AJ575" t="s">
        <v>616</v>
      </c>
    </row>
    <row r="576" spans="1:36" x14ac:dyDescent="0.2">
      <c r="A576" t="s">
        <v>231</v>
      </c>
      <c r="B576" t="s">
        <v>461</v>
      </c>
      <c r="C576" t="s">
        <v>39</v>
      </c>
      <c r="D576" t="s">
        <v>912</v>
      </c>
      <c r="E576" s="6" t="s">
        <v>32</v>
      </c>
      <c r="F576" s="6">
        <v>0.5</v>
      </c>
      <c r="G576" s="6" t="s">
        <v>20</v>
      </c>
      <c r="H576" s="6">
        <v>0.5</v>
      </c>
      <c r="I576" t="s">
        <v>918</v>
      </c>
      <c r="J576" t="s">
        <v>919</v>
      </c>
      <c r="L576" t="s">
        <v>48</v>
      </c>
      <c r="M576">
        <v>1</v>
      </c>
      <c r="P576" t="s">
        <v>2744</v>
      </c>
      <c r="Q576">
        <v>3</v>
      </c>
      <c r="R576" t="s">
        <v>2745</v>
      </c>
      <c r="S576">
        <v>3</v>
      </c>
      <c r="V576" t="s">
        <v>2746</v>
      </c>
      <c r="W576" t="s">
        <v>222</v>
      </c>
      <c r="Y576">
        <f t="shared" si="90"/>
        <v>0</v>
      </c>
      <c r="Z576">
        <f t="shared" si="91"/>
        <v>0.5</v>
      </c>
      <c r="AA576">
        <f t="shared" si="92"/>
        <v>0</v>
      </c>
      <c r="AB576">
        <f t="shared" si="93"/>
        <v>0</v>
      </c>
      <c r="AC576">
        <f t="shared" si="94"/>
        <v>0</v>
      </c>
      <c r="AD576">
        <f t="shared" si="95"/>
        <v>0</v>
      </c>
      <c r="AE576">
        <f t="shared" si="96"/>
        <v>0</v>
      </c>
      <c r="AF576">
        <f t="shared" si="97"/>
        <v>0.5</v>
      </c>
      <c r="AG576">
        <f t="shared" si="98"/>
        <v>0</v>
      </c>
      <c r="AH576" t="s">
        <v>614</v>
      </c>
      <c r="AI576" t="s">
        <v>615</v>
      </c>
      <c r="AJ576" t="s">
        <v>616</v>
      </c>
    </row>
    <row r="577" spans="1:36" x14ac:dyDescent="0.2">
      <c r="A577" t="s">
        <v>231</v>
      </c>
      <c r="B577" t="s">
        <v>461</v>
      </c>
      <c r="C577" t="s">
        <v>39</v>
      </c>
      <c r="D577" t="s">
        <v>912</v>
      </c>
      <c r="E577" s="6" t="s">
        <v>32</v>
      </c>
      <c r="F577" s="6">
        <v>0.5</v>
      </c>
      <c r="G577" s="6" t="s">
        <v>20</v>
      </c>
      <c r="H577" s="6">
        <v>0.5</v>
      </c>
      <c r="I577" t="s">
        <v>918</v>
      </c>
      <c r="J577" t="s">
        <v>919</v>
      </c>
      <c r="L577" t="s">
        <v>48</v>
      </c>
      <c r="M577">
        <v>1</v>
      </c>
      <c r="P577" t="s">
        <v>2747</v>
      </c>
      <c r="Q577">
        <v>4</v>
      </c>
      <c r="R577" t="s">
        <v>2748</v>
      </c>
      <c r="S577">
        <v>4</v>
      </c>
      <c r="V577" t="s">
        <v>2454</v>
      </c>
      <c r="W577" t="s">
        <v>222</v>
      </c>
      <c r="Y577">
        <f t="shared" si="90"/>
        <v>0</v>
      </c>
      <c r="Z577">
        <f t="shared" si="91"/>
        <v>1.5</v>
      </c>
      <c r="AA577">
        <f t="shared" si="92"/>
        <v>0</v>
      </c>
      <c r="AB577">
        <f t="shared" si="93"/>
        <v>0</v>
      </c>
      <c r="AC577">
        <f t="shared" si="94"/>
        <v>0</v>
      </c>
      <c r="AD577">
        <f t="shared" si="95"/>
        <v>0</v>
      </c>
      <c r="AE577">
        <f t="shared" si="96"/>
        <v>0</v>
      </c>
      <c r="AF577">
        <f t="shared" si="97"/>
        <v>1.5</v>
      </c>
      <c r="AG577">
        <f t="shared" si="98"/>
        <v>0</v>
      </c>
      <c r="AH577" t="s">
        <v>614</v>
      </c>
      <c r="AI577" t="s">
        <v>615</v>
      </c>
      <c r="AJ577" t="s">
        <v>616</v>
      </c>
    </row>
    <row r="578" spans="1:36" x14ac:dyDescent="0.2">
      <c r="A578" t="s">
        <v>231</v>
      </c>
      <c r="B578" t="s">
        <v>462</v>
      </c>
      <c r="C578" t="s">
        <v>37</v>
      </c>
      <c r="D578" t="s">
        <v>920</v>
      </c>
      <c r="E578" s="6" t="s">
        <v>28</v>
      </c>
      <c r="F578" s="6">
        <v>0.7</v>
      </c>
      <c r="G578" s="6" t="s">
        <v>20</v>
      </c>
      <c r="H578" s="6">
        <v>0.3</v>
      </c>
      <c r="I578" t="s">
        <v>921</v>
      </c>
      <c r="J578" t="s">
        <v>922</v>
      </c>
      <c r="L578" t="s">
        <v>46</v>
      </c>
      <c r="M578">
        <v>1.2</v>
      </c>
      <c r="P578" t="s">
        <v>2749</v>
      </c>
      <c r="Q578">
        <v>1</v>
      </c>
      <c r="R578" t="s">
        <v>2750</v>
      </c>
      <c r="S578">
        <v>0</v>
      </c>
      <c r="T578" t="s">
        <v>276</v>
      </c>
      <c r="U578" t="s">
        <v>66</v>
      </c>
      <c r="V578" t="s">
        <v>2751</v>
      </c>
      <c r="W578" t="s">
        <v>222</v>
      </c>
      <c r="Y578">
        <f t="shared" si="90"/>
        <v>0</v>
      </c>
      <c r="Z578">
        <f t="shared" si="91"/>
        <v>2</v>
      </c>
      <c r="AA578">
        <f t="shared" si="92"/>
        <v>0</v>
      </c>
      <c r="AB578">
        <f t="shared" si="93"/>
        <v>0</v>
      </c>
      <c r="AC578">
        <f t="shared" si="94"/>
        <v>0</v>
      </c>
      <c r="AD578">
        <f t="shared" si="95"/>
        <v>0</v>
      </c>
      <c r="AE578">
        <f t="shared" si="96"/>
        <v>0</v>
      </c>
      <c r="AF578">
        <f t="shared" si="97"/>
        <v>2</v>
      </c>
      <c r="AG578">
        <f t="shared" si="98"/>
        <v>0</v>
      </c>
      <c r="AH578" t="s">
        <v>550</v>
      </c>
      <c r="AI578" t="s">
        <v>551</v>
      </c>
      <c r="AJ578" t="s">
        <v>552</v>
      </c>
    </row>
    <row r="579" spans="1:36" x14ac:dyDescent="0.2">
      <c r="A579" t="s">
        <v>231</v>
      </c>
      <c r="B579" t="s">
        <v>462</v>
      </c>
      <c r="C579" t="s">
        <v>37</v>
      </c>
      <c r="D579" t="s">
        <v>920</v>
      </c>
      <c r="E579" s="6" t="s">
        <v>28</v>
      </c>
      <c r="F579" s="6">
        <v>0.7</v>
      </c>
      <c r="G579" s="6" t="s">
        <v>20</v>
      </c>
      <c r="H579" s="6">
        <v>0.3</v>
      </c>
      <c r="I579" t="s">
        <v>921</v>
      </c>
      <c r="J579" t="s">
        <v>922</v>
      </c>
      <c r="L579" t="s">
        <v>46</v>
      </c>
      <c r="M579">
        <v>1.2</v>
      </c>
      <c r="P579" t="s">
        <v>2752</v>
      </c>
      <c r="Q579">
        <v>2</v>
      </c>
      <c r="R579" t="s">
        <v>2753</v>
      </c>
      <c r="S579">
        <v>1</v>
      </c>
      <c r="T579" t="s">
        <v>172</v>
      </c>
      <c r="U579" t="s">
        <v>61</v>
      </c>
      <c r="V579" t="s">
        <v>2754</v>
      </c>
      <c r="W579" t="s">
        <v>222</v>
      </c>
      <c r="Y579">
        <f t="shared" si="90"/>
        <v>0</v>
      </c>
      <c r="Z579">
        <f t="shared" si="91"/>
        <v>0</v>
      </c>
      <c r="AA579">
        <f t="shared" si="92"/>
        <v>0</v>
      </c>
      <c r="AB579">
        <f t="shared" si="93"/>
        <v>0</v>
      </c>
      <c r="AC579">
        <f t="shared" si="94"/>
        <v>0</v>
      </c>
      <c r="AD579">
        <f t="shared" si="95"/>
        <v>0</v>
      </c>
      <c r="AE579">
        <f t="shared" si="96"/>
        <v>0</v>
      </c>
      <c r="AF579">
        <f t="shared" si="97"/>
        <v>0</v>
      </c>
      <c r="AG579">
        <f t="shared" si="98"/>
        <v>0</v>
      </c>
      <c r="AH579" t="s">
        <v>550</v>
      </c>
      <c r="AI579" t="s">
        <v>551</v>
      </c>
      <c r="AJ579" t="s">
        <v>552</v>
      </c>
    </row>
    <row r="580" spans="1:36" x14ac:dyDescent="0.2">
      <c r="A580" t="s">
        <v>231</v>
      </c>
      <c r="B580" t="s">
        <v>462</v>
      </c>
      <c r="C580" t="s">
        <v>37</v>
      </c>
      <c r="D580" t="s">
        <v>920</v>
      </c>
      <c r="E580" s="6" t="s">
        <v>28</v>
      </c>
      <c r="F580" s="6">
        <v>0.7</v>
      </c>
      <c r="G580" s="6" t="s">
        <v>20</v>
      </c>
      <c r="H580" s="6">
        <v>0.3</v>
      </c>
      <c r="I580" t="s">
        <v>921</v>
      </c>
      <c r="J580" t="s">
        <v>922</v>
      </c>
      <c r="L580" t="s">
        <v>46</v>
      </c>
      <c r="M580">
        <v>1.2</v>
      </c>
      <c r="P580" t="s">
        <v>2755</v>
      </c>
      <c r="Q580">
        <v>3</v>
      </c>
      <c r="R580" t="s">
        <v>2756</v>
      </c>
      <c r="S580">
        <v>3</v>
      </c>
      <c r="V580" t="s">
        <v>2757</v>
      </c>
      <c r="W580" t="s">
        <v>222</v>
      </c>
      <c r="Y580">
        <f t="shared" si="90"/>
        <v>0</v>
      </c>
      <c r="Z580">
        <f t="shared" si="91"/>
        <v>0.3</v>
      </c>
      <c r="AA580">
        <f t="shared" si="92"/>
        <v>0</v>
      </c>
      <c r="AB580">
        <f t="shared" si="93"/>
        <v>0</v>
      </c>
      <c r="AC580">
        <f t="shared" si="94"/>
        <v>0</v>
      </c>
      <c r="AD580">
        <f t="shared" si="95"/>
        <v>0.7</v>
      </c>
      <c r="AE580">
        <f t="shared" si="96"/>
        <v>0</v>
      </c>
      <c r="AF580">
        <f t="shared" si="97"/>
        <v>0</v>
      </c>
      <c r="AG580">
        <f t="shared" si="98"/>
        <v>0</v>
      </c>
      <c r="AH580" t="s">
        <v>550</v>
      </c>
      <c r="AI580" t="s">
        <v>551</v>
      </c>
      <c r="AJ580" t="s">
        <v>552</v>
      </c>
    </row>
    <row r="581" spans="1:36" x14ac:dyDescent="0.2">
      <c r="A581" t="s">
        <v>231</v>
      </c>
      <c r="B581" t="s">
        <v>462</v>
      </c>
      <c r="C581" t="s">
        <v>37</v>
      </c>
      <c r="D581" t="s">
        <v>920</v>
      </c>
      <c r="E581" s="6" t="s">
        <v>28</v>
      </c>
      <c r="F581" s="6">
        <v>0.7</v>
      </c>
      <c r="G581" s="6" t="s">
        <v>20</v>
      </c>
      <c r="H581" s="6">
        <v>0.3</v>
      </c>
      <c r="I581" t="s">
        <v>921</v>
      </c>
      <c r="J581" t="s">
        <v>922</v>
      </c>
      <c r="L581" t="s">
        <v>46</v>
      </c>
      <c r="M581">
        <v>1.2</v>
      </c>
      <c r="P581" t="s">
        <v>2758</v>
      </c>
      <c r="Q581">
        <v>4</v>
      </c>
      <c r="R581" t="s">
        <v>2759</v>
      </c>
      <c r="S581">
        <v>4</v>
      </c>
      <c r="V581" t="s">
        <v>2454</v>
      </c>
      <c r="W581" t="s">
        <v>222</v>
      </c>
      <c r="Y581">
        <f t="shared" si="90"/>
        <v>0</v>
      </c>
      <c r="Z581">
        <f t="shared" si="91"/>
        <v>0.89999999999999991</v>
      </c>
      <c r="AA581">
        <f t="shared" si="92"/>
        <v>0</v>
      </c>
      <c r="AB581">
        <f t="shared" si="93"/>
        <v>0</v>
      </c>
      <c r="AC581">
        <f t="shared" si="94"/>
        <v>0</v>
      </c>
      <c r="AD581">
        <f t="shared" si="95"/>
        <v>2.0999999999999996</v>
      </c>
      <c r="AE581">
        <f t="shared" si="96"/>
        <v>0</v>
      </c>
      <c r="AF581">
        <f t="shared" si="97"/>
        <v>0</v>
      </c>
      <c r="AG581">
        <f t="shared" si="98"/>
        <v>0</v>
      </c>
      <c r="AH581" t="s">
        <v>550</v>
      </c>
      <c r="AI581" t="s">
        <v>551</v>
      </c>
      <c r="AJ581" t="s">
        <v>552</v>
      </c>
    </row>
    <row r="582" spans="1:36" x14ac:dyDescent="0.2">
      <c r="A582" t="s">
        <v>231</v>
      </c>
      <c r="B582" t="s">
        <v>463</v>
      </c>
      <c r="C582" t="s">
        <v>39</v>
      </c>
      <c r="D582" t="s">
        <v>920</v>
      </c>
      <c r="E582" s="6" t="s">
        <v>28</v>
      </c>
      <c r="F582" s="6">
        <v>0.5</v>
      </c>
      <c r="G582" s="6" t="s">
        <v>20</v>
      </c>
      <c r="H582" s="6">
        <v>0.5</v>
      </c>
      <c r="I582" t="s">
        <v>923</v>
      </c>
      <c r="J582" t="s">
        <v>924</v>
      </c>
      <c r="L582" t="s">
        <v>46</v>
      </c>
      <c r="M582">
        <v>1</v>
      </c>
      <c r="P582" t="s">
        <v>2760</v>
      </c>
      <c r="Q582">
        <v>1</v>
      </c>
      <c r="R582" t="s">
        <v>2761</v>
      </c>
      <c r="S582">
        <v>0</v>
      </c>
      <c r="T582" t="s">
        <v>276</v>
      </c>
      <c r="U582" t="s">
        <v>66</v>
      </c>
      <c r="V582" t="s">
        <v>2762</v>
      </c>
      <c r="W582" t="s">
        <v>222</v>
      </c>
      <c r="Y582">
        <f t="shared" si="90"/>
        <v>0</v>
      </c>
      <c r="Z582">
        <f t="shared" si="91"/>
        <v>1.2</v>
      </c>
      <c r="AA582">
        <f t="shared" si="92"/>
        <v>0</v>
      </c>
      <c r="AB582">
        <f t="shared" si="93"/>
        <v>0</v>
      </c>
      <c r="AC582">
        <f t="shared" si="94"/>
        <v>0</v>
      </c>
      <c r="AD582">
        <f t="shared" si="95"/>
        <v>2.8</v>
      </c>
      <c r="AE582">
        <f t="shared" si="96"/>
        <v>0</v>
      </c>
      <c r="AF582">
        <f t="shared" si="97"/>
        <v>0</v>
      </c>
      <c r="AG582">
        <f t="shared" si="98"/>
        <v>0</v>
      </c>
      <c r="AH582" t="s">
        <v>614</v>
      </c>
      <c r="AI582" t="s">
        <v>700</v>
      </c>
      <c r="AJ582" t="s">
        <v>925</v>
      </c>
    </row>
    <row r="583" spans="1:36" x14ac:dyDescent="0.2">
      <c r="A583" t="s">
        <v>231</v>
      </c>
      <c r="B583" t="s">
        <v>463</v>
      </c>
      <c r="C583" t="s">
        <v>39</v>
      </c>
      <c r="D583" t="s">
        <v>920</v>
      </c>
      <c r="E583" s="6" t="s">
        <v>28</v>
      </c>
      <c r="F583" s="6">
        <v>0.5</v>
      </c>
      <c r="G583" s="6" t="s">
        <v>20</v>
      </c>
      <c r="H583" s="6">
        <v>0.5</v>
      </c>
      <c r="I583" t="s">
        <v>923</v>
      </c>
      <c r="J583" t="s">
        <v>924</v>
      </c>
      <c r="L583" t="s">
        <v>46</v>
      </c>
      <c r="M583">
        <v>1</v>
      </c>
      <c r="P583" t="s">
        <v>2763</v>
      </c>
      <c r="Q583">
        <v>2</v>
      </c>
      <c r="R583" t="s">
        <v>2764</v>
      </c>
      <c r="S583">
        <v>1</v>
      </c>
      <c r="T583" t="s">
        <v>255</v>
      </c>
      <c r="U583" t="s">
        <v>60</v>
      </c>
      <c r="V583" t="s">
        <v>2765</v>
      </c>
      <c r="W583" t="s">
        <v>222</v>
      </c>
      <c r="Y583">
        <f t="shared" si="90"/>
        <v>0</v>
      </c>
      <c r="Z583">
        <f t="shared" si="91"/>
        <v>0</v>
      </c>
      <c r="AA583">
        <f t="shared" si="92"/>
        <v>0</v>
      </c>
      <c r="AB583">
        <f t="shared" si="93"/>
        <v>0</v>
      </c>
      <c r="AC583">
        <f t="shared" si="94"/>
        <v>0</v>
      </c>
      <c r="AD583">
        <f t="shared" si="95"/>
        <v>0</v>
      </c>
      <c r="AE583">
        <f t="shared" si="96"/>
        <v>0</v>
      </c>
      <c r="AF583">
        <f t="shared" si="97"/>
        <v>0</v>
      </c>
      <c r="AG583">
        <f t="shared" si="98"/>
        <v>0</v>
      </c>
      <c r="AH583" t="s">
        <v>614</v>
      </c>
      <c r="AI583" t="s">
        <v>700</v>
      </c>
      <c r="AJ583" t="s">
        <v>925</v>
      </c>
    </row>
    <row r="584" spans="1:36" x14ac:dyDescent="0.2">
      <c r="A584" t="s">
        <v>231</v>
      </c>
      <c r="B584" t="s">
        <v>463</v>
      </c>
      <c r="C584" t="s">
        <v>39</v>
      </c>
      <c r="D584" t="s">
        <v>920</v>
      </c>
      <c r="E584" s="6" t="s">
        <v>28</v>
      </c>
      <c r="F584" s="6">
        <v>0.5</v>
      </c>
      <c r="G584" s="6" t="s">
        <v>20</v>
      </c>
      <c r="H584" s="6">
        <v>0.5</v>
      </c>
      <c r="I584" t="s">
        <v>923</v>
      </c>
      <c r="J584" t="s">
        <v>924</v>
      </c>
      <c r="L584" t="s">
        <v>46</v>
      </c>
      <c r="M584">
        <v>1</v>
      </c>
      <c r="P584" t="s">
        <v>2766</v>
      </c>
      <c r="Q584">
        <v>3</v>
      </c>
      <c r="R584" t="s">
        <v>2767</v>
      </c>
      <c r="S584">
        <v>3</v>
      </c>
      <c r="V584" t="s">
        <v>2768</v>
      </c>
      <c r="W584" t="s">
        <v>222</v>
      </c>
      <c r="Y584">
        <f t="shared" si="90"/>
        <v>0</v>
      </c>
      <c r="Z584">
        <f t="shared" si="91"/>
        <v>0.5</v>
      </c>
      <c r="AA584">
        <f t="shared" si="92"/>
        <v>0</v>
      </c>
      <c r="AB584">
        <f t="shared" si="93"/>
        <v>0</v>
      </c>
      <c r="AC584">
        <f t="shared" si="94"/>
        <v>0</v>
      </c>
      <c r="AD584">
        <f t="shared" si="95"/>
        <v>0.5</v>
      </c>
      <c r="AE584">
        <f t="shared" si="96"/>
        <v>0</v>
      </c>
      <c r="AF584">
        <f t="shared" si="97"/>
        <v>0</v>
      </c>
      <c r="AG584">
        <f t="shared" si="98"/>
        <v>0</v>
      </c>
      <c r="AH584" t="s">
        <v>614</v>
      </c>
      <c r="AI584" t="s">
        <v>700</v>
      </c>
      <c r="AJ584" t="s">
        <v>925</v>
      </c>
    </row>
    <row r="585" spans="1:36" x14ac:dyDescent="0.2">
      <c r="A585" t="s">
        <v>231</v>
      </c>
      <c r="B585" t="s">
        <v>463</v>
      </c>
      <c r="C585" t="s">
        <v>39</v>
      </c>
      <c r="D585" t="s">
        <v>920</v>
      </c>
      <c r="E585" s="6" t="s">
        <v>28</v>
      </c>
      <c r="F585" s="6">
        <v>0.5</v>
      </c>
      <c r="G585" s="6" t="s">
        <v>20</v>
      </c>
      <c r="H585" s="6">
        <v>0.5</v>
      </c>
      <c r="I585" t="s">
        <v>923</v>
      </c>
      <c r="J585" t="s">
        <v>924</v>
      </c>
      <c r="L585" t="s">
        <v>46</v>
      </c>
      <c r="M585">
        <v>1</v>
      </c>
      <c r="P585" t="s">
        <v>2769</v>
      </c>
      <c r="Q585">
        <v>4</v>
      </c>
      <c r="R585" t="s">
        <v>2770</v>
      </c>
      <c r="S585">
        <v>4</v>
      </c>
      <c r="V585" t="s">
        <v>2454</v>
      </c>
      <c r="W585" t="s">
        <v>222</v>
      </c>
      <c r="Y585">
        <f t="shared" si="90"/>
        <v>0</v>
      </c>
      <c r="Z585">
        <f t="shared" si="91"/>
        <v>1.5</v>
      </c>
      <c r="AA585">
        <f t="shared" si="92"/>
        <v>0</v>
      </c>
      <c r="AB585">
        <f t="shared" si="93"/>
        <v>0</v>
      </c>
      <c r="AC585">
        <f t="shared" si="94"/>
        <v>0</v>
      </c>
      <c r="AD585">
        <f t="shared" si="95"/>
        <v>1.5</v>
      </c>
      <c r="AE585">
        <f t="shared" si="96"/>
        <v>0</v>
      </c>
      <c r="AF585">
        <f t="shared" si="97"/>
        <v>0</v>
      </c>
      <c r="AG585">
        <f t="shared" si="98"/>
        <v>0</v>
      </c>
      <c r="AH585" t="s">
        <v>614</v>
      </c>
      <c r="AI585" t="s">
        <v>700</v>
      </c>
      <c r="AJ585" t="s">
        <v>925</v>
      </c>
    </row>
    <row r="586" spans="1:36" x14ac:dyDescent="0.2">
      <c r="A586" t="s">
        <v>231</v>
      </c>
      <c r="B586" t="s">
        <v>464</v>
      </c>
      <c r="C586" t="s">
        <v>37</v>
      </c>
      <c r="D586" t="s">
        <v>926</v>
      </c>
      <c r="E586" s="6" t="s">
        <v>34</v>
      </c>
      <c r="F586" s="6">
        <v>1</v>
      </c>
      <c r="G586" s="6" t="s">
        <v>522</v>
      </c>
      <c r="I586" t="s">
        <v>927</v>
      </c>
      <c r="J586" t="s">
        <v>928</v>
      </c>
      <c r="L586" t="s">
        <v>46</v>
      </c>
      <c r="M586">
        <v>1.3</v>
      </c>
      <c r="N586">
        <v>0.5</v>
      </c>
      <c r="P586" t="s">
        <v>2771</v>
      </c>
      <c r="Q586">
        <v>1</v>
      </c>
      <c r="R586" t="s">
        <v>2772</v>
      </c>
      <c r="S586">
        <v>0</v>
      </c>
      <c r="T586" t="s">
        <v>236</v>
      </c>
      <c r="U586" t="s">
        <v>57</v>
      </c>
      <c r="V586" t="s">
        <v>2773</v>
      </c>
      <c r="W586" t="s">
        <v>222</v>
      </c>
      <c r="Y586">
        <f t="shared" si="90"/>
        <v>0</v>
      </c>
      <c r="Z586">
        <f t="shared" si="91"/>
        <v>2</v>
      </c>
      <c r="AA586">
        <f t="shared" si="92"/>
        <v>0</v>
      </c>
      <c r="AB586">
        <f t="shared" si="93"/>
        <v>0</v>
      </c>
      <c r="AC586">
        <f t="shared" si="94"/>
        <v>0</v>
      </c>
      <c r="AD586">
        <f t="shared" si="95"/>
        <v>2</v>
      </c>
      <c r="AE586">
        <f t="shared" si="96"/>
        <v>0</v>
      </c>
      <c r="AF586">
        <f t="shared" si="97"/>
        <v>0</v>
      </c>
      <c r="AG586">
        <f t="shared" si="98"/>
        <v>0</v>
      </c>
      <c r="AH586" t="s">
        <v>614</v>
      </c>
      <c r="AI586" t="s">
        <v>700</v>
      </c>
      <c r="AJ586" t="s">
        <v>701</v>
      </c>
    </row>
    <row r="587" spans="1:36" x14ac:dyDescent="0.2">
      <c r="A587" t="s">
        <v>231</v>
      </c>
      <c r="B587" t="s">
        <v>464</v>
      </c>
      <c r="C587" t="s">
        <v>37</v>
      </c>
      <c r="D587" t="s">
        <v>926</v>
      </c>
      <c r="E587" s="6" t="s">
        <v>34</v>
      </c>
      <c r="F587" s="6">
        <v>1</v>
      </c>
      <c r="G587" s="6" t="s">
        <v>522</v>
      </c>
      <c r="I587" t="s">
        <v>927</v>
      </c>
      <c r="J587" t="s">
        <v>928</v>
      </c>
      <c r="L587" t="s">
        <v>46</v>
      </c>
      <c r="M587">
        <v>1.3</v>
      </c>
      <c r="N587">
        <v>0.5</v>
      </c>
      <c r="P587" t="s">
        <v>2774</v>
      </c>
      <c r="Q587">
        <v>2</v>
      </c>
      <c r="R587" t="s">
        <v>2775</v>
      </c>
      <c r="S587">
        <v>1</v>
      </c>
      <c r="T587" t="s">
        <v>255</v>
      </c>
      <c r="U587" t="s">
        <v>60</v>
      </c>
      <c r="V587" t="s">
        <v>2776</v>
      </c>
      <c r="W587" t="s">
        <v>222</v>
      </c>
      <c r="Y587">
        <f t="shared" si="90"/>
        <v>0</v>
      </c>
      <c r="Z587">
        <f t="shared" si="91"/>
        <v>0</v>
      </c>
      <c r="AA587">
        <f t="shared" si="92"/>
        <v>0</v>
      </c>
      <c r="AB587">
        <f t="shared" si="93"/>
        <v>0</v>
      </c>
      <c r="AC587">
        <f t="shared" si="94"/>
        <v>0</v>
      </c>
      <c r="AD587">
        <f t="shared" si="95"/>
        <v>0</v>
      </c>
      <c r="AE587">
        <f t="shared" si="96"/>
        <v>0</v>
      </c>
      <c r="AF587">
        <f t="shared" si="97"/>
        <v>0</v>
      </c>
      <c r="AG587">
        <f t="shared" si="98"/>
        <v>0</v>
      </c>
      <c r="AH587" t="s">
        <v>614</v>
      </c>
      <c r="AI587" t="s">
        <v>700</v>
      </c>
      <c r="AJ587" t="s">
        <v>701</v>
      </c>
    </row>
    <row r="588" spans="1:36" x14ac:dyDescent="0.2">
      <c r="A588" t="s">
        <v>231</v>
      </c>
      <c r="B588" t="s">
        <v>464</v>
      </c>
      <c r="C588" t="s">
        <v>37</v>
      </c>
      <c r="D588" t="s">
        <v>926</v>
      </c>
      <c r="E588" s="6" t="s">
        <v>34</v>
      </c>
      <c r="F588" s="6">
        <v>1</v>
      </c>
      <c r="G588" s="6" t="s">
        <v>522</v>
      </c>
      <c r="I588" t="s">
        <v>927</v>
      </c>
      <c r="J588" t="s">
        <v>928</v>
      </c>
      <c r="L588" t="s">
        <v>46</v>
      </c>
      <c r="M588">
        <v>1.3</v>
      </c>
      <c r="N588">
        <v>0.5</v>
      </c>
      <c r="P588" t="s">
        <v>2777</v>
      </c>
      <c r="Q588">
        <v>3</v>
      </c>
      <c r="R588" t="s">
        <v>2778</v>
      </c>
      <c r="S588">
        <v>3</v>
      </c>
      <c r="V588" t="s">
        <v>2779</v>
      </c>
      <c r="W588" t="s">
        <v>222</v>
      </c>
      <c r="Y588">
        <f t="shared" si="90"/>
        <v>0</v>
      </c>
      <c r="Z588">
        <f t="shared" si="91"/>
        <v>0</v>
      </c>
      <c r="AA588">
        <f t="shared" si="92"/>
        <v>0</v>
      </c>
      <c r="AB588">
        <f t="shared" si="93"/>
        <v>0</v>
      </c>
      <c r="AC588">
        <f t="shared" si="94"/>
        <v>0</v>
      </c>
      <c r="AD588">
        <f t="shared" si="95"/>
        <v>0</v>
      </c>
      <c r="AE588">
        <f t="shared" si="96"/>
        <v>0</v>
      </c>
      <c r="AF588">
        <f t="shared" si="97"/>
        <v>0</v>
      </c>
      <c r="AG588">
        <f t="shared" si="98"/>
        <v>1</v>
      </c>
      <c r="AH588" t="s">
        <v>614</v>
      </c>
      <c r="AI588" t="s">
        <v>700</v>
      </c>
      <c r="AJ588" t="s">
        <v>701</v>
      </c>
    </row>
    <row r="589" spans="1:36" x14ac:dyDescent="0.2">
      <c r="A589" t="s">
        <v>231</v>
      </c>
      <c r="B589" t="s">
        <v>464</v>
      </c>
      <c r="C589" t="s">
        <v>37</v>
      </c>
      <c r="D589" t="s">
        <v>926</v>
      </c>
      <c r="E589" s="6" t="s">
        <v>34</v>
      </c>
      <c r="F589" s="6">
        <v>1</v>
      </c>
      <c r="G589" s="6" t="s">
        <v>522</v>
      </c>
      <c r="I589" t="s">
        <v>927</v>
      </c>
      <c r="J589" t="s">
        <v>928</v>
      </c>
      <c r="L589" t="s">
        <v>46</v>
      </c>
      <c r="M589">
        <v>1.3</v>
      </c>
      <c r="N589">
        <v>0.5</v>
      </c>
      <c r="P589" t="s">
        <v>2780</v>
      </c>
      <c r="Q589">
        <v>4</v>
      </c>
      <c r="R589" t="s">
        <v>2781</v>
      </c>
      <c r="S589">
        <v>4</v>
      </c>
      <c r="V589" t="s">
        <v>2454</v>
      </c>
      <c r="W589" t="s">
        <v>222</v>
      </c>
      <c r="Y589">
        <f t="shared" si="90"/>
        <v>0</v>
      </c>
      <c r="Z589">
        <f t="shared" si="91"/>
        <v>0</v>
      </c>
      <c r="AA589">
        <f t="shared" si="92"/>
        <v>0</v>
      </c>
      <c r="AB589">
        <f t="shared" si="93"/>
        <v>0</v>
      </c>
      <c r="AC589">
        <f t="shared" si="94"/>
        <v>0</v>
      </c>
      <c r="AD589">
        <f t="shared" si="95"/>
        <v>0</v>
      </c>
      <c r="AE589">
        <f t="shared" si="96"/>
        <v>0</v>
      </c>
      <c r="AF589">
        <f t="shared" si="97"/>
        <v>0</v>
      </c>
      <c r="AG589">
        <f t="shared" si="98"/>
        <v>3</v>
      </c>
      <c r="AH589" t="s">
        <v>614</v>
      </c>
      <c r="AI589" t="s">
        <v>700</v>
      </c>
      <c r="AJ589" t="s">
        <v>701</v>
      </c>
    </row>
    <row r="590" spans="1:36" x14ac:dyDescent="0.2">
      <c r="A590" t="s">
        <v>231</v>
      </c>
      <c r="B590" t="s">
        <v>465</v>
      </c>
      <c r="C590" t="s">
        <v>39</v>
      </c>
      <c r="D590" t="s">
        <v>926</v>
      </c>
      <c r="E590" s="6" t="s">
        <v>18</v>
      </c>
      <c r="F590" s="6">
        <v>0.4</v>
      </c>
      <c r="G590" s="6" t="s">
        <v>34</v>
      </c>
      <c r="H590" s="6">
        <v>0.6</v>
      </c>
      <c r="I590" t="s">
        <v>929</v>
      </c>
      <c r="J590" t="s">
        <v>930</v>
      </c>
      <c r="L590" t="s">
        <v>44</v>
      </c>
      <c r="M590">
        <v>1</v>
      </c>
      <c r="P590" t="s">
        <v>2782</v>
      </c>
      <c r="Q590">
        <v>1</v>
      </c>
      <c r="R590" t="s">
        <v>2783</v>
      </c>
      <c r="S590">
        <v>0</v>
      </c>
      <c r="T590" t="s">
        <v>236</v>
      </c>
      <c r="U590" t="s">
        <v>57</v>
      </c>
      <c r="V590" t="s">
        <v>2784</v>
      </c>
      <c r="W590" t="s">
        <v>222</v>
      </c>
      <c r="Y590">
        <f t="shared" si="90"/>
        <v>0</v>
      </c>
      <c r="Z590">
        <f t="shared" si="91"/>
        <v>0</v>
      </c>
      <c r="AA590">
        <f t="shared" si="92"/>
        <v>0</v>
      </c>
      <c r="AB590">
        <f t="shared" si="93"/>
        <v>0</v>
      </c>
      <c r="AC590">
        <f t="shared" si="94"/>
        <v>0</v>
      </c>
      <c r="AD590">
        <f t="shared" si="95"/>
        <v>0</v>
      </c>
      <c r="AE590">
        <f t="shared" si="96"/>
        <v>0</v>
      </c>
      <c r="AF590">
        <f t="shared" si="97"/>
        <v>0</v>
      </c>
      <c r="AG590">
        <f t="shared" si="98"/>
        <v>4</v>
      </c>
      <c r="AH590" t="s">
        <v>625</v>
      </c>
      <c r="AI590" t="s">
        <v>626</v>
      </c>
      <c r="AJ590" t="s">
        <v>627</v>
      </c>
    </row>
    <row r="591" spans="1:36" x14ac:dyDescent="0.2">
      <c r="A591" t="s">
        <v>231</v>
      </c>
      <c r="B591" t="s">
        <v>465</v>
      </c>
      <c r="C591" t="s">
        <v>39</v>
      </c>
      <c r="D591" t="s">
        <v>926</v>
      </c>
      <c r="E591" s="6" t="s">
        <v>18</v>
      </c>
      <c r="F591" s="6">
        <v>0.4</v>
      </c>
      <c r="G591" s="6" t="s">
        <v>34</v>
      </c>
      <c r="H591" s="6">
        <v>0.6</v>
      </c>
      <c r="I591" t="s">
        <v>929</v>
      </c>
      <c r="J591" t="s">
        <v>930</v>
      </c>
      <c r="L591" t="s">
        <v>44</v>
      </c>
      <c r="M591">
        <v>1</v>
      </c>
      <c r="P591" t="s">
        <v>2785</v>
      </c>
      <c r="Q591">
        <v>2</v>
      </c>
      <c r="R591" t="s">
        <v>2786</v>
      </c>
      <c r="S591">
        <v>1</v>
      </c>
      <c r="T591" t="s">
        <v>255</v>
      </c>
      <c r="U591" t="s">
        <v>60</v>
      </c>
      <c r="V591" t="s">
        <v>2787</v>
      </c>
      <c r="W591" t="s">
        <v>222</v>
      </c>
      <c r="Y591">
        <f t="shared" si="90"/>
        <v>0</v>
      </c>
      <c r="Z591">
        <f t="shared" si="91"/>
        <v>0</v>
      </c>
      <c r="AA591">
        <f t="shared" si="92"/>
        <v>0</v>
      </c>
      <c r="AB591">
        <f t="shared" si="93"/>
        <v>0</v>
      </c>
      <c r="AC591">
        <f t="shared" si="94"/>
        <v>0</v>
      </c>
      <c r="AD591">
        <f t="shared" si="95"/>
        <v>0</v>
      </c>
      <c r="AE591">
        <f t="shared" si="96"/>
        <v>0</v>
      </c>
      <c r="AF591">
        <f t="shared" si="97"/>
        <v>0</v>
      </c>
      <c r="AG591">
        <f t="shared" si="98"/>
        <v>0</v>
      </c>
      <c r="AH591" t="s">
        <v>625</v>
      </c>
      <c r="AI591" t="s">
        <v>626</v>
      </c>
      <c r="AJ591" t="s">
        <v>627</v>
      </c>
    </row>
    <row r="592" spans="1:36" x14ac:dyDescent="0.2">
      <c r="A592" t="s">
        <v>231</v>
      </c>
      <c r="B592" t="s">
        <v>465</v>
      </c>
      <c r="C592" t="s">
        <v>39</v>
      </c>
      <c r="D592" t="s">
        <v>926</v>
      </c>
      <c r="E592" s="6" t="s">
        <v>18</v>
      </c>
      <c r="F592" s="6">
        <v>0.4</v>
      </c>
      <c r="G592" s="6" t="s">
        <v>34</v>
      </c>
      <c r="H592" s="6">
        <v>0.6</v>
      </c>
      <c r="I592" t="s">
        <v>929</v>
      </c>
      <c r="J592" t="s">
        <v>930</v>
      </c>
      <c r="L592" t="s">
        <v>44</v>
      </c>
      <c r="M592">
        <v>1</v>
      </c>
      <c r="P592" t="s">
        <v>2788</v>
      </c>
      <c r="Q592">
        <v>3</v>
      </c>
      <c r="R592" t="s">
        <v>2789</v>
      </c>
      <c r="S592">
        <v>3</v>
      </c>
      <c r="V592" t="s">
        <v>2790</v>
      </c>
      <c r="W592" t="s">
        <v>222</v>
      </c>
      <c r="Y592">
        <f t="shared" si="90"/>
        <v>0.4</v>
      </c>
      <c r="Z592">
        <f t="shared" si="91"/>
        <v>0</v>
      </c>
      <c r="AA592">
        <f t="shared" si="92"/>
        <v>0</v>
      </c>
      <c r="AB592">
        <f t="shared" si="93"/>
        <v>0</v>
      </c>
      <c r="AC592">
        <f t="shared" si="94"/>
        <v>0</v>
      </c>
      <c r="AD592">
        <f t="shared" si="95"/>
        <v>0</v>
      </c>
      <c r="AE592">
        <f t="shared" si="96"/>
        <v>0</v>
      </c>
      <c r="AF592">
        <f t="shared" si="97"/>
        <v>0</v>
      </c>
      <c r="AG592">
        <f t="shared" si="98"/>
        <v>0.6</v>
      </c>
      <c r="AH592" t="s">
        <v>625</v>
      </c>
      <c r="AI592" t="s">
        <v>626</v>
      </c>
      <c r="AJ592" t="s">
        <v>627</v>
      </c>
    </row>
    <row r="593" spans="1:36" x14ac:dyDescent="0.2">
      <c r="A593" t="s">
        <v>231</v>
      </c>
      <c r="B593" t="s">
        <v>465</v>
      </c>
      <c r="C593" t="s">
        <v>39</v>
      </c>
      <c r="D593" t="s">
        <v>926</v>
      </c>
      <c r="E593" s="6" t="s">
        <v>18</v>
      </c>
      <c r="F593" s="6">
        <v>0.4</v>
      </c>
      <c r="G593" s="6" t="s">
        <v>34</v>
      </c>
      <c r="H593" s="6">
        <v>0.6</v>
      </c>
      <c r="I593" t="s">
        <v>929</v>
      </c>
      <c r="J593" t="s">
        <v>930</v>
      </c>
      <c r="L593" t="s">
        <v>44</v>
      </c>
      <c r="M593">
        <v>1</v>
      </c>
      <c r="P593" t="s">
        <v>2791</v>
      </c>
      <c r="Q593">
        <v>4</v>
      </c>
      <c r="R593" t="s">
        <v>2792</v>
      </c>
      <c r="S593">
        <v>4</v>
      </c>
      <c r="V593" t="s">
        <v>2454</v>
      </c>
      <c r="W593" t="s">
        <v>222</v>
      </c>
      <c r="Y593">
        <f t="shared" si="90"/>
        <v>1.2000000000000002</v>
      </c>
      <c r="Z593">
        <f t="shared" si="91"/>
        <v>0</v>
      </c>
      <c r="AA593">
        <f t="shared" si="92"/>
        <v>0</v>
      </c>
      <c r="AB593">
        <f t="shared" si="93"/>
        <v>0</v>
      </c>
      <c r="AC593">
        <f t="shared" si="94"/>
        <v>0</v>
      </c>
      <c r="AD593">
        <f t="shared" si="95"/>
        <v>0</v>
      </c>
      <c r="AE593">
        <f t="shared" si="96"/>
        <v>0</v>
      </c>
      <c r="AF593">
        <f t="shared" si="97"/>
        <v>0</v>
      </c>
      <c r="AG593">
        <f t="shared" si="98"/>
        <v>1.7999999999999998</v>
      </c>
      <c r="AH593" t="s">
        <v>625</v>
      </c>
      <c r="AI593" t="s">
        <v>626</v>
      </c>
      <c r="AJ593" t="s">
        <v>627</v>
      </c>
    </row>
    <row r="594" spans="1:36" x14ac:dyDescent="0.2">
      <c r="A594" t="s">
        <v>231</v>
      </c>
      <c r="B594" t="s">
        <v>466</v>
      </c>
      <c r="C594" t="s">
        <v>39</v>
      </c>
      <c r="D594" t="s">
        <v>931</v>
      </c>
      <c r="E594" s="6" t="s">
        <v>28</v>
      </c>
      <c r="F594" s="6">
        <v>0.6</v>
      </c>
      <c r="G594" s="6" t="s">
        <v>18</v>
      </c>
      <c r="H594" s="6">
        <v>0.4</v>
      </c>
      <c r="I594" t="s">
        <v>932</v>
      </c>
      <c r="J594" t="s">
        <v>933</v>
      </c>
      <c r="L594" t="s">
        <v>46</v>
      </c>
      <c r="M594">
        <v>1</v>
      </c>
      <c r="P594" t="s">
        <v>2793</v>
      </c>
      <c r="Q594">
        <v>1</v>
      </c>
      <c r="R594" t="s">
        <v>2794</v>
      </c>
      <c r="S594">
        <v>0</v>
      </c>
      <c r="T594" t="s">
        <v>276</v>
      </c>
      <c r="U594" t="s">
        <v>66</v>
      </c>
      <c r="V594" t="s">
        <v>2795</v>
      </c>
      <c r="W594" t="s">
        <v>222</v>
      </c>
      <c r="Y594">
        <f t="shared" si="90"/>
        <v>1.6</v>
      </c>
      <c r="Z594">
        <f t="shared" si="91"/>
        <v>0</v>
      </c>
      <c r="AA594">
        <f t="shared" si="92"/>
        <v>0</v>
      </c>
      <c r="AB594">
        <f t="shared" si="93"/>
        <v>0</v>
      </c>
      <c r="AC594">
        <f t="shared" si="94"/>
        <v>0</v>
      </c>
      <c r="AD594">
        <f t="shared" si="95"/>
        <v>0</v>
      </c>
      <c r="AE594">
        <f t="shared" si="96"/>
        <v>0</v>
      </c>
      <c r="AF594">
        <f t="shared" si="97"/>
        <v>0</v>
      </c>
      <c r="AG594">
        <f t="shared" si="98"/>
        <v>2.4</v>
      </c>
      <c r="AH594" t="s">
        <v>550</v>
      </c>
      <c r="AI594" t="s">
        <v>551</v>
      </c>
      <c r="AJ594" t="s">
        <v>721</v>
      </c>
    </row>
    <row r="595" spans="1:36" x14ac:dyDescent="0.2">
      <c r="A595" t="s">
        <v>231</v>
      </c>
      <c r="B595" t="s">
        <v>466</v>
      </c>
      <c r="C595" t="s">
        <v>39</v>
      </c>
      <c r="D595" t="s">
        <v>931</v>
      </c>
      <c r="E595" s="6" t="s">
        <v>28</v>
      </c>
      <c r="F595" s="6">
        <v>0.6</v>
      </c>
      <c r="G595" s="6" t="s">
        <v>18</v>
      </c>
      <c r="H595" s="6">
        <v>0.4</v>
      </c>
      <c r="I595" t="s">
        <v>932</v>
      </c>
      <c r="J595" t="s">
        <v>933</v>
      </c>
      <c r="L595" t="s">
        <v>46</v>
      </c>
      <c r="M595">
        <v>1</v>
      </c>
      <c r="P595" t="s">
        <v>2796</v>
      </c>
      <c r="Q595">
        <v>2</v>
      </c>
      <c r="R595" t="s">
        <v>2797</v>
      </c>
      <c r="S595">
        <v>1</v>
      </c>
      <c r="T595" t="s">
        <v>172</v>
      </c>
      <c r="U595" t="s">
        <v>61</v>
      </c>
      <c r="V595" t="s">
        <v>2798</v>
      </c>
      <c r="W595" t="s">
        <v>222</v>
      </c>
      <c r="Y595">
        <f t="shared" si="90"/>
        <v>0</v>
      </c>
      <c r="Z595">
        <f t="shared" si="91"/>
        <v>0</v>
      </c>
      <c r="AA595">
        <f t="shared" si="92"/>
        <v>0</v>
      </c>
      <c r="AB595">
        <f t="shared" si="93"/>
        <v>0</v>
      </c>
      <c r="AC595">
        <f t="shared" si="94"/>
        <v>0</v>
      </c>
      <c r="AD595">
        <f t="shared" si="95"/>
        <v>0</v>
      </c>
      <c r="AE595">
        <f t="shared" si="96"/>
        <v>0</v>
      </c>
      <c r="AF595">
        <f t="shared" si="97"/>
        <v>0</v>
      </c>
      <c r="AG595">
        <f t="shared" si="98"/>
        <v>0</v>
      </c>
      <c r="AH595" t="s">
        <v>550</v>
      </c>
      <c r="AI595" t="s">
        <v>551</v>
      </c>
      <c r="AJ595" t="s">
        <v>721</v>
      </c>
    </row>
    <row r="596" spans="1:36" x14ac:dyDescent="0.2">
      <c r="A596" t="s">
        <v>231</v>
      </c>
      <c r="B596" t="s">
        <v>466</v>
      </c>
      <c r="C596" t="s">
        <v>39</v>
      </c>
      <c r="D596" t="s">
        <v>931</v>
      </c>
      <c r="E596" s="6" t="s">
        <v>28</v>
      </c>
      <c r="F596" s="6">
        <v>0.6</v>
      </c>
      <c r="G596" s="6" t="s">
        <v>18</v>
      </c>
      <c r="H596" s="6">
        <v>0.4</v>
      </c>
      <c r="I596" t="s">
        <v>932</v>
      </c>
      <c r="J596" t="s">
        <v>933</v>
      </c>
      <c r="L596" t="s">
        <v>46</v>
      </c>
      <c r="M596">
        <v>1</v>
      </c>
      <c r="P596" t="s">
        <v>2799</v>
      </c>
      <c r="Q596">
        <v>3</v>
      </c>
      <c r="R596" t="s">
        <v>2800</v>
      </c>
      <c r="S596">
        <v>3</v>
      </c>
      <c r="V596" t="s">
        <v>2801</v>
      </c>
      <c r="W596" t="s">
        <v>222</v>
      </c>
      <c r="Y596">
        <f t="shared" si="90"/>
        <v>0.4</v>
      </c>
      <c r="Z596">
        <f t="shared" si="91"/>
        <v>0</v>
      </c>
      <c r="AA596">
        <f t="shared" si="92"/>
        <v>0</v>
      </c>
      <c r="AB596">
        <f t="shared" si="93"/>
        <v>0</v>
      </c>
      <c r="AC596">
        <f t="shared" si="94"/>
        <v>0</v>
      </c>
      <c r="AD596">
        <f t="shared" si="95"/>
        <v>0.6</v>
      </c>
      <c r="AE596">
        <f t="shared" si="96"/>
        <v>0</v>
      </c>
      <c r="AF596">
        <f t="shared" si="97"/>
        <v>0</v>
      </c>
      <c r="AG596">
        <f t="shared" si="98"/>
        <v>0</v>
      </c>
      <c r="AH596" t="s">
        <v>550</v>
      </c>
      <c r="AI596" t="s">
        <v>551</v>
      </c>
      <c r="AJ596" t="s">
        <v>721</v>
      </c>
    </row>
    <row r="597" spans="1:36" x14ac:dyDescent="0.2">
      <c r="A597" t="s">
        <v>231</v>
      </c>
      <c r="B597" t="s">
        <v>466</v>
      </c>
      <c r="C597" t="s">
        <v>39</v>
      </c>
      <c r="D597" t="s">
        <v>931</v>
      </c>
      <c r="E597" s="6" t="s">
        <v>28</v>
      </c>
      <c r="F597" s="6">
        <v>0.6</v>
      </c>
      <c r="G597" s="6" t="s">
        <v>18</v>
      </c>
      <c r="H597" s="6">
        <v>0.4</v>
      </c>
      <c r="I597" t="s">
        <v>932</v>
      </c>
      <c r="J597" t="s">
        <v>933</v>
      </c>
      <c r="L597" t="s">
        <v>46</v>
      </c>
      <c r="M597">
        <v>1</v>
      </c>
      <c r="P597" t="s">
        <v>2802</v>
      </c>
      <c r="Q597">
        <v>4</v>
      </c>
      <c r="R597" t="s">
        <v>2803</v>
      </c>
      <c r="S597">
        <v>4</v>
      </c>
      <c r="V597" t="s">
        <v>2454</v>
      </c>
      <c r="W597" t="s">
        <v>222</v>
      </c>
      <c r="Y597">
        <f t="shared" si="90"/>
        <v>1.2000000000000002</v>
      </c>
      <c r="Z597">
        <f t="shared" si="91"/>
        <v>0</v>
      </c>
      <c r="AA597">
        <f t="shared" si="92"/>
        <v>0</v>
      </c>
      <c r="AB597">
        <f t="shared" si="93"/>
        <v>0</v>
      </c>
      <c r="AC597">
        <f t="shared" si="94"/>
        <v>0</v>
      </c>
      <c r="AD597">
        <f t="shared" si="95"/>
        <v>1.7999999999999998</v>
      </c>
      <c r="AE597">
        <f t="shared" si="96"/>
        <v>0</v>
      </c>
      <c r="AF597">
        <f t="shared" si="97"/>
        <v>0</v>
      </c>
      <c r="AG597">
        <f t="shared" si="98"/>
        <v>0</v>
      </c>
      <c r="AH597" t="s">
        <v>550</v>
      </c>
      <c r="AI597" t="s">
        <v>551</v>
      </c>
      <c r="AJ597" t="s">
        <v>721</v>
      </c>
    </row>
    <row r="598" spans="1:36" x14ac:dyDescent="0.2">
      <c r="A598" t="s">
        <v>231</v>
      </c>
      <c r="B598" t="s">
        <v>467</v>
      </c>
      <c r="C598" t="s">
        <v>39</v>
      </c>
      <c r="D598" t="s">
        <v>934</v>
      </c>
      <c r="E598" s="6" t="s">
        <v>18</v>
      </c>
      <c r="F598" s="6">
        <v>0.6</v>
      </c>
      <c r="G598" s="6" t="s">
        <v>26</v>
      </c>
      <c r="H598" s="6">
        <v>0.4</v>
      </c>
      <c r="I598" t="s">
        <v>935</v>
      </c>
      <c r="J598" t="s">
        <v>936</v>
      </c>
      <c r="L598" t="s">
        <v>44</v>
      </c>
      <c r="M598">
        <v>1</v>
      </c>
      <c r="P598" t="s">
        <v>2804</v>
      </c>
      <c r="Q598">
        <v>1</v>
      </c>
      <c r="R598" t="s">
        <v>2805</v>
      </c>
      <c r="S598">
        <v>0</v>
      </c>
      <c r="T598" t="s">
        <v>172</v>
      </c>
      <c r="U598" t="s">
        <v>61</v>
      </c>
      <c r="V598" t="s">
        <v>2806</v>
      </c>
      <c r="W598" t="s">
        <v>222</v>
      </c>
      <c r="Y598">
        <f t="shared" si="90"/>
        <v>1.6</v>
      </c>
      <c r="Z598">
        <f t="shared" si="91"/>
        <v>0</v>
      </c>
      <c r="AA598">
        <f t="shared" si="92"/>
        <v>0</v>
      </c>
      <c r="AB598">
        <f t="shared" si="93"/>
        <v>0</v>
      </c>
      <c r="AC598">
        <f t="shared" si="94"/>
        <v>0</v>
      </c>
      <c r="AD598">
        <f t="shared" si="95"/>
        <v>2.4</v>
      </c>
      <c r="AE598">
        <f t="shared" si="96"/>
        <v>0</v>
      </c>
      <c r="AF598">
        <f t="shared" si="97"/>
        <v>0</v>
      </c>
      <c r="AG598">
        <f t="shared" si="98"/>
        <v>0</v>
      </c>
      <c r="AH598" t="s">
        <v>521</v>
      </c>
      <c r="AI598" t="s">
        <v>566</v>
      </c>
      <c r="AJ598" t="s">
        <v>567</v>
      </c>
    </row>
    <row r="599" spans="1:36" x14ac:dyDescent="0.2">
      <c r="A599" t="s">
        <v>231</v>
      </c>
      <c r="B599" t="s">
        <v>467</v>
      </c>
      <c r="C599" t="s">
        <v>39</v>
      </c>
      <c r="D599" t="s">
        <v>934</v>
      </c>
      <c r="E599" s="6" t="s">
        <v>18</v>
      </c>
      <c r="F599" s="6">
        <v>0.6</v>
      </c>
      <c r="G599" s="6" t="s">
        <v>26</v>
      </c>
      <c r="H599" s="6">
        <v>0.4</v>
      </c>
      <c r="I599" t="s">
        <v>935</v>
      </c>
      <c r="J599" t="s">
        <v>936</v>
      </c>
      <c r="L599" t="s">
        <v>44</v>
      </c>
      <c r="M599">
        <v>1</v>
      </c>
      <c r="P599" t="s">
        <v>2807</v>
      </c>
      <c r="Q599">
        <v>2</v>
      </c>
      <c r="R599" t="s">
        <v>2808</v>
      </c>
      <c r="S599">
        <v>1</v>
      </c>
      <c r="T599" t="s">
        <v>255</v>
      </c>
      <c r="U599" t="s">
        <v>60</v>
      </c>
      <c r="V599" t="s">
        <v>2809</v>
      </c>
      <c r="W599" t="s">
        <v>222</v>
      </c>
      <c r="Y599">
        <f t="shared" si="90"/>
        <v>0</v>
      </c>
      <c r="Z599">
        <f t="shared" si="91"/>
        <v>0</v>
      </c>
      <c r="AA599">
        <f t="shared" si="92"/>
        <v>0</v>
      </c>
      <c r="AB599">
        <f t="shared" si="93"/>
        <v>0</v>
      </c>
      <c r="AC599">
        <f t="shared" si="94"/>
        <v>0</v>
      </c>
      <c r="AD599">
        <f t="shared" si="95"/>
        <v>0</v>
      </c>
      <c r="AE599">
        <f t="shared" si="96"/>
        <v>0</v>
      </c>
      <c r="AF599">
        <f t="shared" si="97"/>
        <v>0</v>
      </c>
      <c r="AG599">
        <f t="shared" si="98"/>
        <v>0</v>
      </c>
      <c r="AH599" t="s">
        <v>521</v>
      </c>
      <c r="AI599" t="s">
        <v>566</v>
      </c>
      <c r="AJ599" t="s">
        <v>567</v>
      </c>
    </row>
    <row r="600" spans="1:36" x14ac:dyDescent="0.2">
      <c r="A600" t="s">
        <v>231</v>
      </c>
      <c r="B600" t="s">
        <v>467</v>
      </c>
      <c r="C600" t="s">
        <v>39</v>
      </c>
      <c r="D600" t="s">
        <v>934</v>
      </c>
      <c r="E600" s="6" t="s">
        <v>18</v>
      </c>
      <c r="F600" s="6">
        <v>0.6</v>
      </c>
      <c r="G600" s="6" t="s">
        <v>26</v>
      </c>
      <c r="H600" s="6">
        <v>0.4</v>
      </c>
      <c r="I600" t="s">
        <v>935</v>
      </c>
      <c r="J600" t="s">
        <v>936</v>
      </c>
      <c r="L600" t="s">
        <v>44</v>
      </c>
      <c r="M600">
        <v>1</v>
      </c>
      <c r="P600" t="s">
        <v>2810</v>
      </c>
      <c r="Q600">
        <v>3</v>
      </c>
      <c r="R600" t="s">
        <v>2811</v>
      </c>
      <c r="S600">
        <v>3</v>
      </c>
      <c r="V600" t="s">
        <v>2812</v>
      </c>
      <c r="W600" t="s">
        <v>222</v>
      </c>
      <c r="Y600">
        <f t="shared" ref="Y600:Y663" si="99">(S599*IF(E599="G",F599,0))+(S599*IF(G599="G",H599,0))</f>
        <v>0.6</v>
      </c>
      <c r="Z600">
        <f t="shared" ref="Z600:Z663" si="100">(S599*IF(E599="E",F599,0))+(S599*IF(G599="E",H599,0))</f>
        <v>0</v>
      </c>
      <c r="AA600">
        <f t="shared" ref="AA600:AA663" si="101">(S599*IF(E599="T",F599,0))+(S599*IF(G599="T",H599,0))</f>
        <v>0</v>
      </c>
      <c r="AB600">
        <f t="shared" ref="AB600:AB663" si="102">(S599*IF(E599="L",F599,0))+(S599*IF(G599="L",H599,0))</f>
        <v>0</v>
      </c>
      <c r="AC600">
        <f t="shared" ref="AC600:AC663" si="103">(S599*IF(E599="H",F599,0))+(S599*IF(G599="H",H599,0))</f>
        <v>0.4</v>
      </c>
      <c r="AD600">
        <f t="shared" ref="AD600:AD663" si="104">(S599*IF(E599="V",F599,0))+(S599*IF(G599="V",H599,0))</f>
        <v>0</v>
      </c>
      <c r="AE600">
        <f t="shared" ref="AE600:AE663" si="105">(S599*IF(E599="R",F599,0))+(S599*IF(G599="R",H599,0))</f>
        <v>0</v>
      </c>
      <c r="AF600">
        <f t="shared" ref="AF600:AF663" si="106">(S599*IF(E599="F",F599,0))+(S599*IF(G599="F",H599,0))</f>
        <v>0</v>
      </c>
      <c r="AG600">
        <f t="shared" ref="AG600:AG663" si="107">(S599*IF(E599="W",F599,0))+(S599*IF(G599="W",H599,0))</f>
        <v>0</v>
      </c>
      <c r="AH600" t="s">
        <v>521</v>
      </c>
      <c r="AI600" t="s">
        <v>566</v>
      </c>
      <c r="AJ600" t="s">
        <v>567</v>
      </c>
    </row>
    <row r="601" spans="1:36" x14ac:dyDescent="0.2">
      <c r="A601" t="s">
        <v>231</v>
      </c>
      <c r="B601" t="s">
        <v>467</v>
      </c>
      <c r="C601" t="s">
        <v>39</v>
      </c>
      <c r="D601" t="s">
        <v>934</v>
      </c>
      <c r="E601" s="6" t="s">
        <v>18</v>
      </c>
      <c r="F601" s="6">
        <v>0.6</v>
      </c>
      <c r="G601" s="6" t="s">
        <v>26</v>
      </c>
      <c r="H601" s="6">
        <v>0.4</v>
      </c>
      <c r="I601" t="s">
        <v>935</v>
      </c>
      <c r="J601" t="s">
        <v>936</v>
      </c>
      <c r="L601" t="s">
        <v>44</v>
      </c>
      <c r="M601">
        <v>1</v>
      </c>
      <c r="P601" t="s">
        <v>2813</v>
      </c>
      <c r="Q601">
        <v>4</v>
      </c>
      <c r="R601" t="s">
        <v>2814</v>
      </c>
      <c r="S601">
        <v>4</v>
      </c>
      <c r="V601" t="s">
        <v>2454</v>
      </c>
      <c r="W601" t="s">
        <v>222</v>
      </c>
      <c r="Y601">
        <f t="shared" si="99"/>
        <v>1.7999999999999998</v>
      </c>
      <c r="Z601">
        <f t="shared" si="100"/>
        <v>0</v>
      </c>
      <c r="AA601">
        <f t="shared" si="101"/>
        <v>0</v>
      </c>
      <c r="AB601">
        <f t="shared" si="102"/>
        <v>0</v>
      </c>
      <c r="AC601">
        <f t="shared" si="103"/>
        <v>1.2000000000000002</v>
      </c>
      <c r="AD601">
        <f t="shared" si="104"/>
        <v>0</v>
      </c>
      <c r="AE601">
        <f t="shared" si="105"/>
        <v>0</v>
      </c>
      <c r="AF601">
        <f t="shared" si="106"/>
        <v>0</v>
      </c>
      <c r="AG601">
        <f t="shared" si="107"/>
        <v>0</v>
      </c>
      <c r="AH601" t="s">
        <v>521</v>
      </c>
      <c r="AI601" t="s">
        <v>566</v>
      </c>
      <c r="AJ601" t="s">
        <v>567</v>
      </c>
    </row>
    <row r="602" spans="1:36" x14ac:dyDescent="0.2">
      <c r="A602" t="s">
        <v>231</v>
      </c>
      <c r="B602" t="s">
        <v>468</v>
      </c>
      <c r="C602" t="s">
        <v>41</v>
      </c>
      <c r="D602" t="s">
        <v>937</v>
      </c>
      <c r="E602" s="6" t="s">
        <v>20</v>
      </c>
      <c r="F602" s="6">
        <v>0.5</v>
      </c>
      <c r="G602" s="6" t="s">
        <v>28</v>
      </c>
      <c r="H602" s="6">
        <v>0.5</v>
      </c>
      <c r="I602" t="s">
        <v>938</v>
      </c>
      <c r="J602" t="s">
        <v>939</v>
      </c>
      <c r="L602" t="s">
        <v>48</v>
      </c>
      <c r="M602">
        <v>1</v>
      </c>
      <c r="P602" t="s">
        <v>2815</v>
      </c>
      <c r="Q602">
        <v>1</v>
      </c>
      <c r="R602" t="s">
        <v>2816</v>
      </c>
      <c r="S602">
        <v>0</v>
      </c>
      <c r="T602" t="s">
        <v>172</v>
      </c>
      <c r="U602" t="s">
        <v>61</v>
      </c>
      <c r="V602" t="s">
        <v>2817</v>
      </c>
      <c r="W602" t="s">
        <v>222</v>
      </c>
      <c r="Y602">
        <f t="shared" si="99"/>
        <v>2.4</v>
      </c>
      <c r="Z602">
        <f t="shared" si="100"/>
        <v>0</v>
      </c>
      <c r="AA602">
        <f t="shared" si="101"/>
        <v>0</v>
      </c>
      <c r="AB602">
        <f t="shared" si="102"/>
        <v>0</v>
      </c>
      <c r="AC602">
        <f t="shared" si="103"/>
        <v>1.6</v>
      </c>
      <c r="AD602">
        <f t="shared" si="104"/>
        <v>0</v>
      </c>
      <c r="AE602">
        <f t="shared" si="105"/>
        <v>0</v>
      </c>
      <c r="AF602">
        <f t="shared" si="106"/>
        <v>0</v>
      </c>
      <c r="AG602">
        <f t="shared" si="107"/>
        <v>0</v>
      </c>
      <c r="AH602" t="s">
        <v>550</v>
      </c>
      <c r="AI602" t="s">
        <v>551</v>
      </c>
      <c r="AJ602" t="s">
        <v>552</v>
      </c>
    </row>
    <row r="603" spans="1:36" x14ac:dyDescent="0.2">
      <c r="A603" t="s">
        <v>231</v>
      </c>
      <c r="B603" t="s">
        <v>468</v>
      </c>
      <c r="C603" t="s">
        <v>41</v>
      </c>
      <c r="D603" t="s">
        <v>937</v>
      </c>
      <c r="E603" s="6" t="s">
        <v>20</v>
      </c>
      <c r="F603" s="6">
        <v>0.5</v>
      </c>
      <c r="G603" s="6" t="s">
        <v>28</v>
      </c>
      <c r="H603" s="6">
        <v>0.5</v>
      </c>
      <c r="I603" t="s">
        <v>938</v>
      </c>
      <c r="J603" t="s">
        <v>939</v>
      </c>
      <c r="L603" t="s">
        <v>48</v>
      </c>
      <c r="M603">
        <v>1</v>
      </c>
      <c r="P603" t="s">
        <v>2818</v>
      </c>
      <c r="Q603">
        <v>2</v>
      </c>
      <c r="R603" t="s">
        <v>2819</v>
      </c>
      <c r="S603">
        <v>1</v>
      </c>
      <c r="T603" t="s">
        <v>255</v>
      </c>
      <c r="U603" t="s">
        <v>60</v>
      </c>
      <c r="V603" t="s">
        <v>2820</v>
      </c>
      <c r="W603" t="s">
        <v>222</v>
      </c>
      <c r="Y603">
        <f t="shared" si="99"/>
        <v>0</v>
      </c>
      <c r="Z603">
        <f t="shared" si="100"/>
        <v>0</v>
      </c>
      <c r="AA603">
        <f t="shared" si="101"/>
        <v>0</v>
      </c>
      <c r="AB603">
        <f t="shared" si="102"/>
        <v>0</v>
      </c>
      <c r="AC603">
        <f t="shared" si="103"/>
        <v>0</v>
      </c>
      <c r="AD603">
        <f t="shared" si="104"/>
        <v>0</v>
      </c>
      <c r="AE603">
        <f t="shared" si="105"/>
        <v>0</v>
      </c>
      <c r="AF603">
        <f t="shared" si="106"/>
        <v>0</v>
      </c>
      <c r="AG603">
        <f t="shared" si="107"/>
        <v>0</v>
      </c>
      <c r="AH603" t="s">
        <v>550</v>
      </c>
      <c r="AI603" t="s">
        <v>551</v>
      </c>
      <c r="AJ603" t="s">
        <v>552</v>
      </c>
    </row>
    <row r="604" spans="1:36" x14ac:dyDescent="0.2">
      <c r="A604" t="s">
        <v>231</v>
      </c>
      <c r="B604" t="s">
        <v>468</v>
      </c>
      <c r="C604" t="s">
        <v>41</v>
      </c>
      <c r="D604" t="s">
        <v>937</v>
      </c>
      <c r="E604" s="6" t="s">
        <v>20</v>
      </c>
      <c r="F604" s="6">
        <v>0.5</v>
      </c>
      <c r="G604" s="6" t="s">
        <v>28</v>
      </c>
      <c r="H604" s="6">
        <v>0.5</v>
      </c>
      <c r="I604" t="s">
        <v>938</v>
      </c>
      <c r="J604" t="s">
        <v>939</v>
      </c>
      <c r="L604" t="s">
        <v>48</v>
      </c>
      <c r="M604">
        <v>1</v>
      </c>
      <c r="P604" t="s">
        <v>2821</v>
      </c>
      <c r="Q604">
        <v>3</v>
      </c>
      <c r="R604" t="s">
        <v>2822</v>
      </c>
      <c r="S604">
        <v>3</v>
      </c>
      <c r="V604" t="s">
        <v>2823</v>
      </c>
      <c r="W604" t="s">
        <v>222</v>
      </c>
      <c r="Y604">
        <f t="shared" si="99"/>
        <v>0</v>
      </c>
      <c r="Z604">
        <f t="shared" si="100"/>
        <v>0.5</v>
      </c>
      <c r="AA604">
        <f t="shared" si="101"/>
        <v>0</v>
      </c>
      <c r="AB604">
        <f t="shared" si="102"/>
        <v>0</v>
      </c>
      <c r="AC604">
        <f t="shared" si="103"/>
        <v>0</v>
      </c>
      <c r="AD604">
        <f t="shared" si="104"/>
        <v>0.5</v>
      </c>
      <c r="AE604">
        <f t="shared" si="105"/>
        <v>0</v>
      </c>
      <c r="AF604">
        <f t="shared" si="106"/>
        <v>0</v>
      </c>
      <c r="AG604">
        <f t="shared" si="107"/>
        <v>0</v>
      </c>
      <c r="AH604" t="s">
        <v>550</v>
      </c>
      <c r="AI604" t="s">
        <v>551</v>
      </c>
      <c r="AJ604" t="s">
        <v>552</v>
      </c>
    </row>
    <row r="605" spans="1:36" x14ac:dyDescent="0.2">
      <c r="A605" t="s">
        <v>231</v>
      </c>
      <c r="B605" t="s">
        <v>468</v>
      </c>
      <c r="C605" t="s">
        <v>41</v>
      </c>
      <c r="D605" t="s">
        <v>937</v>
      </c>
      <c r="E605" s="6" t="s">
        <v>20</v>
      </c>
      <c r="F605" s="6">
        <v>0.5</v>
      </c>
      <c r="G605" s="6" t="s">
        <v>28</v>
      </c>
      <c r="H605" s="6">
        <v>0.5</v>
      </c>
      <c r="I605" t="s">
        <v>938</v>
      </c>
      <c r="J605" t="s">
        <v>939</v>
      </c>
      <c r="L605" t="s">
        <v>48</v>
      </c>
      <c r="M605">
        <v>1</v>
      </c>
      <c r="P605" t="s">
        <v>2824</v>
      </c>
      <c r="Q605">
        <v>4</v>
      </c>
      <c r="R605" t="s">
        <v>2825</v>
      </c>
      <c r="S605">
        <v>4</v>
      </c>
      <c r="V605" t="s">
        <v>2454</v>
      </c>
      <c r="W605" t="s">
        <v>222</v>
      </c>
      <c r="Y605">
        <f t="shared" si="99"/>
        <v>0</v>
      </c>
      <c r="Z605">
        <f t="shared" si="100"/>
        <v>1.5</v>
      </c>
      <c r="AA605">
        <f t="shared" si="101"/>
        <v>0</v>
      </c>
      <c r="AB605">
        <f t="shared" si="102"/>
        <v>0</v>
      </c>
      <c r="AC605">
        <f t="shared" si="103"/>
        <v>0</v>
      </c>
      <c r="AD605">
        <f t="shared" si="104"/>
        <v>1.5</v>
      </c>
      <c r="AE605">
        <f t="shared" si="105"/>
        <v>0</v>
      </c>
      <c r="AF605">
        <f t="shared" si="106"/>
        <v>0</v>
      </c>
      <c r="AG605">
        <f t="shared" si="107"/>
        <v>0</v>
      </c>
      <c r="AH605" t="s">
        <v>550</v>
      </c>
      <c r="AI605" t="s">
        <v>551</v>
      </c>
      <c r="AJ605" t="s">
        <v>552</v>
      </c>
    </row>
    <row r="606" spans="1:36" x14ac:dyDescent="0.2">
      <c r="A606" t="s">
        <v>233</v>
      </c>
      <c r="B606" t="s">
        <v>469</v>
      </c>
      <c r="C606" t="s">
        <v>37</v>
      </c>
      <c r="D606" t="s">
        <v>940</v>
      </c>
      <c r="E606" s="6" t="s">
        <v>20</v>
      </c>
      <c r="F606" s="6">
        <v>0.7</v>
      </c>
      <c r="G606" s="6" t="s">
        <v>22</v>
      </c>
      <c r="H606" s="6">
        <v>0.3</v>
      </c>
      <c r="I606" t="s">
        <v>941</v>
      </c>
      <c r="J606" t="s">
        <v>942</v>
      </c>
      <c r="L606" t="s">
        <v>48</v>
      </c>
      <c r="M606">
        <v>1.5</v>
      </c>
      <c r="N606">
        <v>0.5</v>
      </c>
      <c r="P606" t="s">
        <v>2826</v>
      </c>
      <c r="Q606">
        <v>1</v>
      </c>
      <c r="R606" t="s">
        <v>1017</v>
      </c>
      <c r="S606">
        <v>0</v>
      </c>
      <c r="T606" t="s">
        <v>273</v>
      </c>
      <c r="U606" t="s">
        <v>65</v>
      </c>
      <c r="V606" t="s">
        <v>2827</v>
      </c>
      <c r="W606" t="s">
        <v>222</v>
      </c>
      <c r="Y606">
        <f t="shared" si="99"/>
        <v>0</v>
      </c>
      <c r="Z606">
        <f t="shared" si="100"/>
        <v>2</v>
      </c>
      <c r="AA606">
        <f t="shared" si="101"/>
        <v>0</v>
      </c>
      <c r="AB606">
        <f t="shared" si="102"/>
        <v>0</v>
      </c>
      <c r="AC606">
        <f t="shared" si="103"/>
        <v>0</v>
      </c>
      <c r="AD606">
        <f t="shared" si="104"/>
        <v>2</v>
      </c>
      <c r="AE606">
        <f t="shared" si="105"/>
        <v>0</v>
      </c>
      <c r="AF606">
        <f t="shared" si="106"/>
        <v>0</v>
      </c>
      <c r="AG606">
        <f t="shared" si="107"/>
        <v>0</v>
      </c>
      <c r="AH606" t="s">
        <v>521</v>
      </c>
      <c r="AI606" t="s">
        <v>566</v>
      </c>
      <c r="AJ606" t="s">
        <v>567</v>
      </c>
    </row>
    <row r="607" spans="1:36" x14ac:dyDescent="0.2">
      <c r="A607" t="s">
        <v>233</v>
      </c>
      <c r="B607" t="s">
        <v>469</v>
      </c>
      <c r="C607" t="s">
        <v>37</v>
      </c>
      <c r="D607" t="s">
        <v>940</v>
      </c>
      <c r="E607" s="6" t="s">
        <v>20</v>
      </c>
      <c r="F607" s="6">
        <v>0.7</v>
      </c>
      <c r="G607" s="6" t="s">
        <v>22</v>
      </c>
      <c r="H607" s="6">
        <v>0.3</v>
      </c>
      <c r="I607" t="s">
        <v>941</v>
      </c>
      <c r="J607" t="s">
        <v>942</v>
      </c>
      <c r="L607" t="s">
        <v>48</v>
      </c>
      <c r="M607">
        <v>1.5</v>
      </c>
      <c r="N607">
        <v>0.5</v>
      </c>
      <c r="P607" t="s">
        <v>2828</v>
      </c>
      <c r="Q607">
        <v>2</v>
      </c>
      <c r="R607" t="s">
        <v>2829</v>
      </c>
      <c r="S607">
        <v>0</v>
      </c>
      <c r="T607" t="s">
        <v>236</v>
      </c>
      <c r="U607" t="s">
        <v>57</v>
      </c>
      <c r="V607" t="s">
        <v>2830</v>
      </c>
      <c r="W607" t="s">
        <v>222</v>
      </c>
      <c r="Y607">
        <f t="shared" si="99"/>
        <v>0</v>
      </c>
      <c r="Z607">
        <f t="shared" si="100"/>
        <v>0</v>
      </c>
      <c r="AA607">
        <f t="shared" si="101"/>
        <v>0</v>
      </c>
      <c r="AB607">
        <f t="shared" si="102"/>
        <v>0</v>
      </c>
      <c r="AC607">
        <f t="shared" si="103"/>
        <v>0</v>
      </c>
      <c r="AD607">
        <f t="shared" si="104"/>
        <v>0</v>
      </c>
      <c r="AE607">
        <f t="shared" si="105"/>
        <v>0</v>
      </c>
      <c r="AF607">
        <f t="shared" si="106"/>
        <v>0</v>
      </c>
      <c r="AG607">
        <f t="shared" si="107"/>
        <v>0</v>
      </c>
      <c r="AH607" t="s">
        <v>521</v>
      </c>
      <c r="AI607" t="s">
        <v>566</v>
      </c>
      <c r="AJ607" t="s">
        <v>567</v>
      </c>
    </row>
    <row r="608" spans="1:36" x14ac:dyDescent="0.2">
      <c r="A608" t="s">
        <v>233</v>
      </c>
      <c r="B608" t="s">
        <v>469</v>
      </c>
      <c r="C608" t="s">
        <v>37</v>
      </c>
      <c r="D608" t="s">
        <v>940</v>
      </c>
      <c r="E608" s="6" t="s">
        <v>20</v>
      </c>
      <c r="F608" s="6">
        <v>0.7</v>
      </c>
      <c r="G608" s="6" t="s">
        <v>22</v>
      </c>
      <c r="H608" s="6">
        <v>0.3</v>
      </c>
      <c r="I608" t="s">
        <v>941</v>
      </c>
      <c r="J608" t="s">
        <v>942</v>
      </c>
      <c r="L608" t="s">
        <v>48</v>
      </c>
      <c r="M608">
        <v>1.5</v>
      </c>
      <c r="N608">
        <v>0.5</v>
      </c>
      <c r="P608" t="s">
        <v>2831</v>
      </c>
      <c r="Q608">
        <v>3</v>
      </c>
      <c r="R608" t="s">
        <v>2832</v>
      </c>
      <c r="S608">
        <v>2</v>
      </c>
      <c r="T608" t="s">
        <v>174</v>
      </c>
      <c r="U608" t="s">
        <v>63</v>
      </c>
      <c r="V608" t="s">
        <v>2833</v>
      </c>
      <c r="W608" t="s">
        <v>222</v>
      </c>
      <c r="Y608">
        <f t="shared" si="99"/>
        <v>0</v>
      </c>
      <c r="Z608">
        <f t="shared" si="100"/>
        <v>0</v>
      </c>
      <c r="AA608">
        <f t="shared" si="101"/>
        <v>0</v>
      </c>
      <c r="AB608">
        <f t="shared" si="102"/>
        <v>0</v>
      </c>
      <c r="AC608">
        <f t="shared" si="103"/>
        <v>0</v>
      </c>
      <c r="AD608">
        <f t="shared" si="104"/>
        <v>0</v>
      </c>
      <c r="AE608">
        <f t="shared" si="105"/>
        <v>0</v>
      </c>
      <c r="AF608">
        <f t="shared" si="106"/>
        <v>0</v>
      </c>
      <c r="AG608">
        <f t="shared" si="107"/>
        <v>0</v>
      </c>
      <c r="AH608" t="s">
        <v>521</v>
      </c>
      <c r="AI608" t="s">
        <v>566</v>
      </c>
      <c r="AJ608" t="s">
        <v>567</v>
      </c>
    </row>
    <row r="609" spans="1:36" x14ac:dyDescent="0.2">
      <c r="A609" t="s">
        <v>233</v>
      </c>
      <c r="B609" t="s">
        <v>469</v>
      </c>
      <c r="C609" t="s">
        <v>37</v>
      </c>
      <c r="D609" t="s">
        <v>940</v>
      </c>
      <c r="E609" s="6" t="s">
        <v>20</v>
      </c>
      <c r="F609" s="6">
        <v>0.7</v>
      </c>
      <c r="G609" s="6" t="s">
        <v>22</v>
      </c>
      <c r="H609" s="6">
        <v>0.3</v>
      </c>
      <c r="I609" t="s">
        <v>941</v>
      </c>
      <c r="J609" t="s">
        <v>942</v>
      </c>
      <c r="L609" t="s">
        <v>48</v>
      </c>
      <c r="M609">
        <v>1.5</v>
      </c>
      <c r="N609">
        <v>0.5</v>
      </c>
      <c r="P609" t="s">
        <v>2834</v>
      </c>
      <c r="Q609">
        <v>4</v>
      </c>
      <c r="R609" t="s">
        <v>2835</v>
      </c>
      <c r="S609">
        <v>3</v>
      </c>
      <c r="V609" t="s">
        <v>2836</v>
      </c>
      <c r="W609" t="s">
        <v>222</v>
      </c>
      <c r="Y609">
        <f t="shared" si="99"/>
        <v>0</v>
      </c>
      <c r="Z609">
        <f t="shared" si="100"/>
        <v>1.4</v>
      </c>
      <c r="AA609">
        <f t="shared" si="101"/>
        <v>0.6</v>
      </c>
      <c r="AB609">
        <f t="shared" si="102"/>
        <v>0</v>
      </c>
      <c r="AC609">
        <f t="shared" si="103"/>
        <v>0</v>
      </c>
      <c r="AD609">
        <f t="shared" si="104"/>
        <v>0</v>
      </c>
      <c r="AE609">
        <f t="shared" si="105"/>
        <v>0</v>
      </c>
      <c r="AF609">
        <f t="shared" si="106"/>
        <v>0</v>
      </c>
      <c r="AG609">
        <f t="shared" si="107"/>
        <v>0</v>
      </c>
      <c r="AH609" t="s">
        <v>521</v>
      </c>
      <c r="AI609" t="s">
        <v>566</v>
      </c>
      <c r="AJ609" t="s">
        <v>567</v>
      </c>
    </row>
    <row r="610" spans="1:36" x14ac:dyDescent="0.2">
      <c r="A610" t="s">
        <v>233</v>
      </c>
      <c r="B610" t="s">
        <v>469</v>
      </c>
      <c r="C610" t="s">
        <v>37</v>
      </c>
      <c r="D610" t="s">
        <v>940</v>
      </c>
      <c r="E610" s="6" t="s">
        <v>20</v>
      </c>
      <c r="F610" s="6">
        <v>0.7</v>
      </c>
      <c r="G610" s="6" t="s">
        <v>22</v>
      </c>
      <c r="H610" s="6">
        <v>0.3</v>
      </c>
      <c r="I610" t="s">
        <v>941</v>
      </c>
      <c r="J610" t="s">
        <v>942</v>
      </c>
      <c r="L610" t="s">
        <v>48</v>
      </c>
      <c r="M610">
        <v>1.5</v>
      </c>
      <c r="N610">
        <v>0.5</v>
      </c>
      <c r="P610" t="s">
        <v>2837</v>
      </c>
      <c r="Q610">
        <v>5</v>
      </c>
      <c r="R610" t="s">
        <v>2838</v>
      </c>
      <c r="S610">
        <v>4</v>
      </c>
      <c r="V610" t="s">
        <v>2454</v>
      </c>
      <c r="W610" t="s">
        <v>222</v>
      </c>
      <c r="Y610">
        <f t="shared" si="99"/>
        <v>0</v>
      </c>
      <c r="Z610">
        <f t="shared" si="100"/>
        <v>2.0999999999999996</v>
      </c>
      <c r="AA610">
        <f t="shared" si="101"/>
        <v>0.89999999999999991</v>
      </c>
      <c r="AB610">
        <f t="shared" si="102"/>
        <v>0</v>
      </c>
      <c r="AC610">
        <f t="shared" si="103"/>
        <v>0</v>
      </c>
      <c r="AD610">
        <f t="shared" si="104"/>
        <v>0</v>
      </c>
      <c r="AE610">
        <f t="shared" si="105"/>
        <v>0</v>
      </c>
      <c r="AF610">
        <f t="shared" si="106"/>
        <v>0</v>
      </c>
      <c r="AG610">
        <f t="shared" si="107"/>
        <v>0</v>
      </c>
      <c r="AH610" t="s">
        <v>521</v>
      </c>
      <c r="AI610" t="s">
        <v>566</v>
      </c>
      <c r="AJ610" t="s">
        <v>567</v>
      </c>
    </row>
    <row r="611" spans="1:36" x14ac:dyDescent="0.2">
      <c r="A611" t="s">
        <v>233</v>
      </c>
      <c r="B611" t="s">
        <v>471</v>
      </c>
      <c r="C611" t="s">
        <v>39</v>
      </c>
      <c r="D611" t="s">
        <v>940</v>
      </c>
      <c r="E611" s="6" t="s">
        <v>20</v>
      </c>
      <c r="F611" s="6">
        <v>1</v>
      </c>
      <c r="G611" s="6" t="s">
        <v>522</v>
      </c>
      <c r="I611" t="s">
        <v>943</v>
      </c>
      <c r="J611" t="s">
        <v>944</v>
      </c>
      <c r="L611" t="s">
        <v>48</v>
      </c>
      <c r="M611">
        <v>1</v>
      </c>
      <c r="P611" t="s">
        <v>2839</v>
      </c>
      <c r="Q611">
        <v>1</v>
      </c>
      <c r="R611" t="s">
        <v>2840</v>
      </c>
      <c r="S611">
        <v>0</v>
      </c>
      <c r="T611" t="s">
        <v>255</v>
      </c>
      <c r="U611" t="s">
        <v>60</v>
      </c>
      <c r="V611" t="s">
        <v>2841</v>
      </c>
      <c r="W611" t="s">
        <v>222</v>
      </c>
      <c r="Y611">
        <f t="shared" si="99"/>
        <v>0</v>
      </c>
      <c r="Z611">
        <f t="shared" si="100"/>
        <v>2.8</v>
      </c>
      <c r="AA611">
        <f t="shared" si="101"/>
        <v>1.2</v>
      </c>
      <c r="AB611">
        <f t="shared" si="102"/>
        <v>0</v>
      </c>
      <c r="AC611">
        <f t="shared" si="103"/>
        <v>0</v>
      </c>
      <c r="AD611">
        <f t="shared" si="104"/>
        <v>0</v>
      </c>
      <c r="AE611">
        <f t="shared" si="105"/>
        <v>0</v>
      </c>
      <c r="AF611">
        <f t="shared" si="106"/>
        <v>0</v>
      </c>
      <c r="AG611">
        <f t="shared" si="107"/>
        <v>0</v>
      </c>
      <c r="AH611" t="s">
        <v>614</v>
      </c>
      <c r="AI611" t="s">
        <v>772</v>
      </c>
      <c r="AJ611" t="s">
        <v>798</v>
      </c>
    </row>
    <row r="612" spans="1:36" x14ac:dyDescent="0.2">
      <c r="A612" t="s">
        <v>233</v>
      </c>
      <c r="B612" t="s">
        <v>471</v>
      </c>
      <c r="C612" t="s">
        <v>39</v>
      </c>
      <c r="D612" t="s">
        <v>940</v>
      </c>
      <c r="E612" s="6" t="s">
        <v>20</v>
      </c>
      <c r="F612" s="6">
        <v>1</v>
      </c>
      <c r="G612" s="6" t="s">
        <v>522</v>
      </c>
      <c r="I612" t="s">
        <v>943</v>
      </c>
      <c r="J612" t="s">
        <v>944</v>
      </c>
      <c r="L612" t="s">
        <v>48</v>
      </c>
      <c r="M612">
        <v>1</v>
      </c>
      <c r="P612" t="s">
        <v>2842</v>
      </c>
      <c r="Q612">
        <v>2</v>
      </c>
      <c r="R612" t="s">
        <v>2843</v>
      </c>
      <c r="S612">
        <v>2</v>
      </c>
      <c r="T612" t="s">
        <v>2676</v>
      </c>
      <c r="U612" t="s">
        <v>63</v>
      </c>
      <c r="V612" t="s">
        <v>2844</v>
      </c>
      <c r="W612" t="s">
        <v>222</v>
      </c>
      <c r="Y612">
        <f t="shared" si="99"/>
        <v>0</v>
      </c>
      <c r="Z612">
        <f t="shared" si="100"/>
        <v>0</v>
      </c>
      <c r="AA612">
        <f t="shared" si="101"/>
        <v>0</v>
      </c>
      <c r="AB612">
        <f t="shared" si="102"/>
        <v>0</v>
      </c>
      <c r="AC612">
        <f t="shared" si="103"/>
        <v>0</v>
      </c>
      <c r="AD612">
        <f t="shared" si="104"/>
        <v>0</v>
      </c>
      <c r="AE612">
        <f t="shared" si="105"/>
        <v>0</v>
      </c>
      <c r="AF612">
        <f t="shared" si="106"/>
        <v>0</v>
      </c>
      <c r="AG612">
        <f t="shared" si="107"/>
        <v>0</v>
      </c>
      <c r="AH612" t="s">
        <v>614</v>
      </c>
      <c r="AI612" t="s">
        <v>772</v>
      </c>
      <c r="AJ612" t="s">
        <v>798</v>
      </c>
    </row>
    <row r="613" spans="1:36" x14ac:dyDescent="0.2">
      <c r="A613" t="s">
        <v>233</v>
      </c>
      <c r="B613" t="s">
        <v>471</v>
      </c>
      <c r="C613" t="s">
        <v>39</v>
      </c>
      <c r="D613" t="s">
        <v>940</v>
      </c>
      <c r="E613" s="6" t="s">
        <v>20</v>
      </c>
      <c r="F613" s="6">
        <v>1</v>
      </c>
      <c r="G613" s="6" t="s">
        <v>522</v>
      </c>
      <c r="I613" t="s">
        <v>943</v>
      </c>
      <c r="J613" t="s">
        <v>944</v>
      </c>
      <c r="L613" t="s">
        <v>48</v>
      </c>
      <c r="M613">
        <v>1</v>
      </c>
      <c r="P613" t="s">
        <v>2845</v>
      </c>
      <c r="Q613">
        <v>3</v>
      </c>
      <c r="R613" t="s">
        <v>2846</v>
      </c>
      <c r="S613">
        <v>3</v>
      </c>
      <c r="T613" t="s">
        <v>174</v>
      </c>
      <c r="U613" t="s">
        <v>63</v>
      </c>
      <c r="V613" t="s">
        <v>2833</v>
      </c>
      <c r="W613" t="s">
        <v>222</v>
      </c>
      <c r="Y613">
        <f t="shared" si="99"/>
        <v>0</v>
      </c>
      <c r="Z613">
        <f t="shared" si="100"/>
        <v>2</v>
      </c>
      <c r="AA613">
        <f t="shared" si="101"/>
        <v>0</v>
      </c>
      <c r="AB613">
        <f t="shared" si="102"/>
        <v>0</v>
      </c>
      <c r="AC613">
        <f t="shared" si="103"/>
        <v>0</v>
      </c>
      <c r="AD613">
        <f t="shared" si="104"/>
        <v>0</v>
      </c>
      <c r="AE613">
        <f t="shared" si="105"/>
        <v>0</v>
      </c>
      <c r="AF613">
        <f t="shared" si="106"/>
        <v>0</v>
      </c>
      <c r="AG613">
        <f t="shared" si="107"/>
        <v>0</v>
      </c>
      <c r="AH613" t="s">
        <v>614</v>
      </c>
      <c r="AI613" t="s">
        <v>772</v>
      </c>
      <c r="AJ613" t="s">
        <v>798</v>
      </c>
    </row>
    <row r="614" spans="1:36" x14ac:dyDescent="0.2">
      <c r="A614" t="s">
        <v>233</v>
      </c>
      <c r="B614" t="s">
        <v>472</v>
      </c>
      <c r="C614" t="s">
        <v>39</v>
      </c>
      <c r="D614" t="s">
        <v>940</v>
      </c>
      <c r="E614" s="6" t="s">
        <v>22</v>
      </c>
      <c r="F614" s="6">
        <v>0.6</v>
      </c>
      <c r="G614" s="6" t="s">
        <v>20</v>
      </c>
      <c r="H614" s="6">
        <v>0.4</v>
      </c>
      <c r="I614" t="s">
        <v>945</v>
      </c>
      <c r="J614" t="s">
        <v>946</v>
      </c>
      <c r="L614" t="s">
        <v>48</v>
      </c>
      <c r="M614">
        <v>1.2</v>
      </c>
      <c r="P614" t="s">
        <v>2847</v>
      </c>
      <c r="Q614">
        <v>1</v>
      </c>
      <c r="R614" t="s">
        <v>2848</v>
      </c>
      <c r="S614">
        <v>0</v>
      </c>
      <c r="T614" t="s">
        <v>236</v>
      </c>
      <c r="U614" t="s">
        <v>57</v>
      </c>
      <c r="V614" t="s">
        <v>2849</v>
      </c>
      <c r="W614" t="s">
        <v>222</v>
      </c>
      <c r="Y614">
        <f t="shared" si="99"/>
        <v>0</v>
      </c>
      <c r="Z614">
        <f t="shared" si="100"/>
        <v>3</v>
      </c>
      <c r="AA614">
        <f t="shared" si="101"/>
        <v>0</v>
      </c>
      <c r="AB614">
        <f t="shared" si="102"/>
        <v>0</v>
      </c>
      <c r="AC614">
        <f t="shared" si="103"/>
        <v>0</v>
      </c>
      <c r="AD614">
        <f t="shared" si="104"/>
        <v>0</v>
      </c>
      <c r="AE614">
        <f t="shared" si="105"/>
        <v>0</v>
      </c>
      <c r="AF614">
        <f t="shared" si="106"/>
        <v>0</v>
      </c>
      <c r="AG614">
        <f t="shared" si="107"/>
        <v>0</v>
      </c>
      <c r="AH614" t="s">
        <v>530</v>
      </c>
      <c r="AI614" t="s">
        <v>531</v>
      </c>
      <c r="AJ614" t="s">
        <v>532</v>
      </c>
    </row>
    <row r="615" spans="1:36" x14ac:dyDescent="0.2">
      <c r="A615" t="s">
        <v>233</v>
      </c>
      <c r="B615" t="s">
        <v>472</v>
      </c>
      <c r="C615" t="s">
        <v>39</v>
      </c>
      <c r="D615" t="s">
        <v>940</v>
      </c>
      <c r="E615" s="6" t="s">
        <v>22</v>
      </c>
      <c r="F615" s="6">
        <v>0.6</v>
      </c>
      <c r="G615" s="6" t="s">
        <v>20</v>
      </c>
      <c r="H615" s="6">
        <v>0.4</v>
      </c>
      <c r="I615" t="s">
        <v>945</v>
      </c>
      <c r="J615" t="s">
        <v>946</v>
      </c>
      <c r="L615" t="s">
        <v>48</v>
      </c>
      <c r="M615">
        <v>1.2</v>
      </c>
      <c r="P615" t="s">
        <v>2850</v>
      </c>
      <c r="Q615">
        <v>2</v>
      </c>
      <c r="R615" t="s">
        <v>2851</v>
      </c>
      <c r="S615">
        <v>1</v>
      </c>
      <c r="T615" t="s">
        <v>255</v>
      </c>
      <c r="U615" t="s">
        <v>60</v>
      </c>
      <c r="V615" t="s">
        <v>2852</v>
      </c>
      <c r="W615" t="s">
        <v>222</v>
      </c>
      <c r="Y615">
        <f t="shared" si="99"/>
        <v>0</v>
      </c>
      <c r="Z615">
        <f t="shared" si="100"/>
        <v>0</v>
      </c>
      <c r="AA615">
        <f t="shared" si="101"/>
        <v>0</v>
      </c>
      <c r="AB615">
        <f t="shared" si="102"/>
        <v>0</v>
      </c>
      <c r="AC615">
        <f t="shared" si="103"/>
        <v>0</v>
      </c>
      <c r="AD615">
        <f t="shared" si="104"/>
        <v>0</v>
      </c>
      <c r="AE615">
        <f t="shared" si="105"/>
        <v>0</v>
      </c>
      <c r="AF615">
        <f t="shared" si="106"/>
        <v>0</v>
      </c>
      <c r="AG615">
        <f t="shared" si="107"/>
        <v>0</v>
      </c>
      <c r="AH615" t="s">
        <v>530</v>
      </c>
      <c r="AI615" t="s">
        <v>531</v>
      </c>
      <c r="AJ615" t="s">
        <v>532</v>
      </c>
    </row>
    <row r="616" spans="1:36" x14ac:dyDescent="0.2">
      <c r="A616" t="s">
        <v>233</v>
      </c>
      <c r="B616" t="s">
        <v>472</v>
      </c>
      <c r="C616" t="s">
        <v>39</v>
      </c>
      <c r="D616" t="s">
        <v>940</v>
      </c>
      <c r="E616" s="6" t="s">
        <v>22</v>
      </c>
      <c r="F616" s="6">
        <v>0.6</v>
      </c>
      <c r="G616" s="6" t="s">
        <v>20</v>
      </c>
      <c r="H616" s="6">
        <v>0.4</v>
      </c>
      <c r="I616" t="s">
        <v>945</v>
      </c>
      <c r="J616" t="s">
        <v>946</v>
      </c>
      <c r="L616" t="s">
        <v>48</v>
      </c>
      <c r="M616">
        <v>1.2</v>
      </c>
      <c r="P616" t="s">
        <v>2853</v>
      </c>
      <c r="Q616">
        <v>3</v>
      </c>
      <c r="R616" t="s">
        <v>2854</v>
      </c>
      <c r="S616">
        <v>3</v>
      </c>
      <c r="V616" t="s">
        <v>2855</v>
      </c>
      <c r="W616" t="s">
        <v>222</v>
      </c>
      <c r="Y616">
        <f t="shared" si="99"/>
        <v>0</v>
      </c>
      <c r="Z616">
        <f t="shared" si="100"/>
        <v>0.4</v>
      </c>
      <c r="AA616">
        <f t="shared" si="101"/>
        <v>0.6</v>
      </c>
      <c r="AB616">
        <f t="shared" si="102"/>
        <v>0</v>
      </c>
      <c r="AC616">
        <f t="shared" si="103"/>
        <v>0</v>
      </c>
      <c r="AD616">
        <f t="shared" si="104"/>
        <v>0</v>
      </c>
      <c r="AE616">
        <f t="shared" si="105"/>
        <v>0</v>
      </c>
      <c r="AF616">
        <f t="shared" si="106"/>
        <v>0</v>
      </c>
      <c r="AG616">
        <f t="shared" si="107"/>
        <v>0</v>
      </c>
      <c r="AH616" t="s">
        <v>530</v>
      </c>
      <c r="AI616" t="s">
        <v>531</v>
      </c>
      <c r="AJ616" t="s">
        <v>532</v>
      </c>
    </row>
    <row r="617" spans="1:36" x14ac:dyDescent="0.2">
      <c r="A617" t="s">
        <v>233</v>
      </c>
      <c r="B617" t="s">
        <v>472</v>
      </c>
      <c r="C617" t="s">
        <v>39</v>
      </c>
      <c r="D617" t="s">
        <v>940</v>
      </c>
      <c r="E617" s="6" t="s">
        <v>22</v>
      </c>
      <c r="F617" s="6">
        <v>0.6</v>
      </c>
      <c r="G617" s="6" t="s">
        <v>20</v>
      </c>
      <c r="H617" s="6">
        <v>0.4</v>
      </c>
      <c r="I617" t="s">
        <v>945</v>
      </c>
      <c r="J617" t="s">
        <v>946</v>
      </c>
      <c r="L617" t="s">
        <v>48</v>
      </c>
      <c r="M617">
        <v>1.2</v>
      </c>
      <c r="P617" t="s">
        <v>2856</v>
      </c>
      <c r="Q617">
        <v>4</v>
      </c>
      <c r="R617" t="s">
        <v>2857</v>
      </c>
      <c r="S617">
        <v>4</v>
      </c>
      <c r="V617" t="s">
        <v>2454</v>
      </c>
      <c r="W617" t="s">
        <v>222</v>
      </c>
      <c r="Y617">
        <f t="shared" si="99"/>
        <v>0</v>
      </c>
      <c r="Z617">
        <f t="shared" si="100"/>
        <v>1.2000000000000002</v>
      </c>
      <c r="AA617">
        <f t="shared" si="101"/>
        <v>1.7999999999999998</v>
      </c>
      <c r="AB617">
        <f t="shared" si="102"/>
        <v>0</v>
      </c>
      <c r="AC617">
        <f t="shared" si="103"/>
        <v>0</v>
      </c>
      <c r="AD617">
        <f t="shared" si="104"/>
        <v>0</v>
      </c>
      <c r="AE617">
        <f t="shared" si="105"/>
        <v>0</v>
      </c>
      <c r="AF617">
        <f t="shared" si="106"/>
        <v>0</v>
      </c>
      <c r="AG617">
        <f t="shared" si="107"/>
        <v>0</v>
      </c>
      <c r="AH617" t="s">
        <v>530</v>
      </c>
      <c r="AI617" t="s">
        <v>531</v>
      </c>
      <c r="AJ617" t="s">
        <v>532</v>
      </c>
    </row>
    <row r="618" spans="1:36" x14ac:dyDescent="0.2">
      <c r="A618" t="s">
        <v>233</v>
      </c>
      <c r="B618" t="s">
        <v>473</v>
      </c>
      <c r="C618" t="s">
        <v>37</v>
      </c>
      <c r="D618" t="s">
        <v>947</v>
      </c>
      <c r="E618" s="6" t="s">
        <v>28</v>
      </c>
      <c r="F618" s="6">
        <v>0.7</v>
      </c>
      <c r="G618" s="6" t="s">
        <v>22</v>
      </c>
      <c r="H618" s="6">
        <v>0.3</v>
      </c>
      <c r="I618" t="s">
        <v>948</v>
      </c>
      <c r="J618" t="s">
        <v>949</v>
      </c>
      <c r="L618" t="s">
        <v>46</v>
      </c>
      <c r="M618">
        <v>1.3</v>
      </c>
      <c r="N618">
        <v>0.5</v>
      </c>
      <c r="P618" t="s">
        <v>2858</v>
      </c>
      <c r="Q618">
        <v>1</v>
      </c>
      <c r="R618" t="s">
        <v>2859</v>
      </c>
      <c r="S618">
        <v>0</v>
      </c>
      <c r="T618" t="s">
        <v>276</v>
      </c>
      <c r="U618" t="s">
        <v>66</v>
      </c>
      <c r="V618" t="s">
        <v>2860</v>
      </c>
      <c r="W618" t="s">
        <v>222</v>
      </c>
      <c r="Y618">
        <f t="shared" si="99"/>
        <v>0</v>
      </c>
      <c r="Z618">
        <f t="shared" si="100"/>
        <v>1.6</v>
      </c>
      <c r="AA618">
        <f t="shared" si="101"/>
        <v>2.4</v>
      </c>
      <c r="AB618">
        <f t="shared" si="102"/>
        <v>0</v>
      </c>
      <c r="AC618">
        <f t="shared" si="103"/>
        <v>0</v>
      </c>
      <c r="AD618">
        <f t="shared" si="104"/>
        <v>0</v>
      </c>
      <c r="AE618">
        <f t="shared" si="105"/>
        <v>0</v>
      </c>
      <c r="AF618">
        <f t="shared" si="106"/>
        <v>0</v>
      </c>
      <c r="AG618">
        <f t="shared" si="107"/>
        <v>0</v>
      </c>
      <c r="AH618" t="s">
        <v>614</v>
      </c>
      <c r="AI618" t="s">
        <v>700</v>
      </c>
      <c r="AJ618" t="s">
        <v>925</v>
      </c>
    </row>
    <row r="619" spans="1:36" x14ac:dyDescent="0.2">
      <c r="A619" t="s">
        <v>233</v>
      </c>
      <c r="B619" t="s">
        <v>473</v>
      </c>
      <c r="C619" t="s">
        <v>37</v>
      </c>
      <c r="D619" t="s">
        <v>947</v>
      </c>
      <c r="E619" s="6" t="s">
        <v>28</v>
      </c>
      <c r="F619" s="6">
        <v>0.7</v>
      </c>
      <c r="G619" s="6" t="s">
        <v>22</v>
      </c>
      <c r="H619" s="6">
        <v>0.3</v>
      </c>
      <c r="I619" t="s">
        <v>948</v>
      </c>
      <c r="J619" t="s">
        <v>949</v>
      </c>
      <c r="L619" t="s">
        <v>46</v>
      </c>
      <c r="M619">
        <v>1.3</v>
      </c>
      <c r="N619">
        <v>0.5</v>
      </c>
      <c r="P619" t="s">
        <v>2861</v>
      </c>
      <c r="Q619">
        <v>2</v>
      </c>
      <c r="R619" t="s">
        <v>2862</v>
      </c>
      <c r="S619">
        <v>1</v>
      </c>
      <c r="T619" t="s">
        <v>276</v>
      </c>
      <c r="U619" t="s">
        <v>66</v>
      </c>
      <c r="V619" t="s">
        <v>2863</v>
      </c>
      <c r="W619" t="s">
        <v>222</v>
      </c>
      <c r="Y619">
        <f t="shared" si="99"/>
        <v>0</v>
      </c>
      <c r="Z619">
        <f t="shared" si="100"/>
        <v>0</v>
      </c>
      <c r="AA619">
        <f t="shared" si="101"/>
        <v>0</v>
      </c>
      <c r="AB619">
        <f t="shared" si="102"/>
        <v>0</v>
      </c>
      <c r="AC619">
        <f t="shared" si="103"/>
        <v>0</v>
      </c>
      <c r="AD619">
        <f t="shared" si="104"/>
        <v>0</v>
      </c>
      <c r="AE619">
        <f t="shared" si="105"/>
        <v>0</v>
      </c>
      <c r="AF619">
        <f t="shared" si="106"/>
        <v>0</v>
      </c>
      <c r="AG619">
        <f t="shared" si="107"/>
        <v>0</v>
      </c>
      <c r="AH619" t="s">
        <v>614</v>
      </c>
      <c r="AI619" t="s">
        <v>700</v>
      </c>
      <c r="AJ619" t="s">
        <v>925</v>
      </c>
    </row>
    <row r="620" spans="1:36" x14ac:dyDescent="0.2">
      <c r="A620" t="s">
        <v>233</v>
      </c>
      <c r="B620" t="s">
        <v>473</v>
      </c>
      <c r="C620" t="s">
        <v>37</v>
      </c>
      <c r="D620" t="s">
        <v>947</v>
      </c>
      <c r="E620" s="6" t="s">
        <v>28</v>
      </c>
      <c r="F620" s="6">
        <v>0.7</v>
      </c>
      <c r="G620" s="6" t="s">
        <v>22</v>
      </c>
      <c r="H620" s="6">
        <v>0.3</v>
      </c>
      <c r="I620" t="s">
        <v>948</v>
      </c>
      <c r="J620" t="s">
        <v>949</v>
      </c>
      <c r="L620" t="s">
        <v>46</v>
      </c>
      <c r="M620">
        <v>1.3</v>
      </c>
      <c r="N620">
        <v>0.5</v>
      </c>
      <c r="P620" t="s">
        <v>2864</v>
      </c>
      <c r="Q620">
        <v>3</v>
      </c>
      <c r="R620" t="s">
        <v>2865</v>
      </c>
      <c r="S620">
        <v>3</v>
      </c>
      <c r="V620" t="s">
        <v>2866</v>
      </c>
      <c r="W620" t="s">
        <v>222</v>
      </c>
      <c r="Y620">
        <f t="shared" si="99"/>
        <v>0</v>
      </c>
      <c r="Z620">
        <f t="shared" si="100"/>
        <v>0</v>
      </c>
      <c r="AA620">
        <f t="shared" si="101"/>
        <v>0.3</v>
      </c>
      <c r="AB620">
        <f t="shared" si="102"/>
        <v>0</v>
      </c>
      <c r="AC620">
        <f t="shared" si="103"/>
        <v>0</v>
      </c>
      <c r="AD620">
        <f t="shared" si="104"/>
        <v>0.7</v>
      </c>
      <c r="AE620">
        <f t="shared" si="105"/>
        <v>0</v>
      </c>
      <c r="AF620">
        <f t="shared" si="106"/>
        <v>0</v>
      </c>
      <c r="AG620">
        <f t="shared" si="107"/>
        <v>0</v>
      </c>
      <c r="AH620" t="s">
        <v>614</v>
      </c>
      <c r="AI620" t="s">
        <v>700</v>
      </c>
      <c r="AJ620" t="s">
        <v>925</v>
      </c>
    </row>
    <row r="621" spans="1:36" x14ac:dyDescent="0.2">
      <c r="A621" t="s">
        <v>233</v>
      </c>
      <c r="B621" t="s">
        <v>473</v>
      </c>
      <c r="C621" t="s">
        <v>37</v>
      </c>
      <c r="D621" t="s">
        <v>947</v>
      </c>
      <c r="E621" s="6" t="s">
        <v>28</v>
      </c>
      <c r="F621" s="6">
        <v>0.7</v>
      </c>
      <c r="G621" s="6" t="s">
        <v>22</v>
      </c>
      <c r="H621" s="6">
        <v>0.3</v>
      </c>
      <c r="I621" t="s">
        <v>948</v>
      </c>
      <c r="J621" t="s">
        <v>949</v>
      </c>
      <c r="L621" t="s">
        <v>46</v>
      </c>
      <c r="M621">
        <v>1.3</v>
      </c>
      <c r="N621">
        <v>0.5</v>
      </c>
      <c r="P621" t="s">
        <v>2867</v>
      </c>
      <c r="Q621">
        <v>4</v>
      </c>
      <c r="R621" t="s">
        <v>2868</v>
      </c>
      <c r="S621">
        <v>4</v>
      </c>
      <c r="V621" t="s">
        <v>2454</v>
      </c>
      <c r="W621" t="s">
        <v>222</v>
      </c>
      <c r="Y621">
        <f t="shared" si="99"/>
        <v>0</v>
      </c>
      <c r="Z621">
        <f t="shared" si="100"/>
        <v>0</v>
      </c>
      <c r="AA621">
        <f t="shared" si="101"/>
        <v>0.89999999999999991</v>
      </c>
      <c r="AB621">
        <f t="shared" si="102"/>
        <v>0</v>
      </c>
      <c r="AC621">
        <f t="shared" si="103"/>
        <v>0</v>
      </c>
      <c r="AD621">
        <f t="shared" si="104"/>
        <v>2.0999999999999996</v>
      </c>
      <c r="AE621">
        <f t="shared" si="105"/>
        <v>0</v>
      </c>
      <c r="AF621">
        <f t="shared" si="106"/>
        <v>0</v>
      </c>
      <c r="AG621">
        <f t="shared" si="107"/>
        <v>0</v>
      </c>
      <c r="AH621" t="s">
        <v>614</v>
      </c>
      <c r="AI621" t="s">
        <v>700</v>
      </c>
      <c r="AJ621" t="s">
        <v>925</v>
      </c>
    </row>
    <row r="622" spans="1:36" x14ac:dyDescent="0.2">
      <c r="A622" t="s">
        <v>233</v>
      </c>
      <c r="B622" t="s">
        <v>474</v>
      </c>
      <c r="C622" t="s">
        <v>39</v>
      </c>
      <c r="D622" t="s">
        <v>947</v>
      </c>
      <c r="E622" s="6" t="s">
        <v>20</v>
      </c>
      <c r="F622" s="6">
        <v>0.5</v>
      </c>
      <c r="G622" s="6" t="s">
        <v>28</v>
      </c>
      <c r="H622" s="6">
        <v>0.5</v>
      </c>
      <c r="I622" t="s">
        <v>950</v>
      </c>
      <c r="J622" t="s">
        <v>951</v>
      </c>
      <c r="L622" t="s">
        <v>46</v>
      </c>
      <c r="M622">
        <v>1.1000000000000001</v>
      </c>
      <c r="P622" t="s">
        <v>2869</v>
      </c>
      <c r="Q622">
        <v>1</v>
      </c>
      <c r="R622" t="s">
        <v>2870</v>
      </c>
      <c r="S622">
        <v>0</v>
      </c>
      <c r="T622" t="s">
        <v>276</v>
      </c>
      <c r="U622" t="s">
        <v>66</v>
      </c>
      <c r="V622" t="s">
        <v>2871</v>
      </c>
      <c r="W622" t="s">
        <v>222</v>
      </c>
      <c r="Y622">
        <f t="shared" si="99"/>
        <v>0</v>
      </c>
      <c r="Z622">
        <f t="shared" si="100"/>
        <v>0</v>
      </c>
      <c r="AA622">
        <f t="shared" si="101"/>
        <v>1.2</v>
      </c>
      <c r="AB622">
        <f t="shared" si="102"/>
        <v>0</v>
      </c>
      <c r="AC622">
        <f t="shared" si="103"/>
        <v>0</v>
      </c>
      <c r="AD622">
        <f t="shared" si="104"/>
        <v>2.8</v>
      </c>
      <c r="AE622">
        <f t="shared" si="105"/>
        <v>0</v>
      </c>
      <c r="AF622">
        <f t="shared" si="106"/>
        <v>0</v>
      </c>
      <c r="AG622">
        <f t="shared" si="107"/>
        <v>0</v>
      </c>
      <c r="AH622" t="s">
        <v>550</v>
      </c>
      <c r="AI622" t="s">
        <v>551</v>
      </c>
      <c r="AJ622" t="s">
        <v>552</v>
      </c>
    </row>
    <row r="623" spans="1:36" x14ac:dyDescent="0.2">
      <c r="A623" t="s">
        <v>233</v>
      </c>
      <c r="B623" t="s">
        <v>474</v>
      </c>
      <c r="C623" t="s">
        <v>39</v>
      </c>
      <c r="D623" t="s">
        <v>947</v>
      </c>
      <c r="E623" s="6" t="s">
        <v>20</v>
      </c>
      <c r="F623" s="6">
        <v>0.5</v>
      </c>
      <c r="G623" s="6" t="s">
        <v>28</v>
      </c>
      <c r="H623" s="6">
        <v>0.5</v>
      </c>
      <c r="I623" t="s">
        <v>950</v>
      </c>
      <c r="J623" t="s">
        <v>951</v>
      </c>
      <c r="L623" t="s">
        <v>46</v>
      </c>
      <c r="M623">
        <v>1.1000000000000001</v>
      </c>
      <c r="P623" t="s">
        <v>2872</v>
      </c>
      <c r="Q623">
        <v>2</v>
      </c>
      <c r="R623" t="s">
        <v>2873</v>
      </c>
      <c r="S623">
        <v>1</v>
      </c>
      <c r="T623" t="s">
        <v>255</v>
      </c>
      <c r="U623" t="s">
        <v>60</v>
      </c>
      <c r="V623" t="s">
        <v>2874</v>
      </c>
      <c r="W623" t="s">
        <v>222</v>
      </c>
      <c r="Y623">
        <f t="shared" si="99"/>
        <v>0</v>
      </c>
      <c r="Z623">
        <f t="shared" si="100"/>
        <v>0</v>
      </c>
      <c r="AA623">
        <f t="shared" si="101"/>
        <v>0</v>
      </c>
      <c r="AB623">
        <f t="shared" si="102"/>
        <v>0</v>
      </c>
      <c r="AC623">
        <f t="shared" si="103"/>
        <v>0</v>
      </c>
      <c r="AD623">
        <f t="shared" si="104"/>
        <v>0</v>
      </c>
      <c r="AE623">
        <f t="shared" si="105"/>
        <v>0</v>
      </c>
      <c r="AF623">
        <f t="shared" si="106"/>
        <v>0</v>
      </c>
      <c r="AG623">
        <f t="shared" si="107"/>
        <v>0</v>
      </c>
      <c r="AH623" t="s">
        <v>550</v>
      </c>
      <c r="AI623" t="s">
        <v>551</v>
      </c>
      <c r="AJ623" t="s">
        <v>552</v>
      </c>
    </row>
    <row r="624" spans="1:36" x14ac:dyDescent="0.2">
      <c r="A624" t="s">
        <v>233</v>
      </c>
      <c r="B624" t="s">
        <v>474</v>
      </c>
      <c r="C624" t="s">
        <v>39</v>
      </c>
      <c r="D624" t="s">
        <v>947</v>
      </c>
      <c r="E624" s="6" t="s">
        <v>20</v>
      </c>
      <c r="F624" s="6">
        <v>0.5</v>
      </c>
      <c r="G624" s="6" t="s">
        <v>28</v>
      </c>
      <c r="H624" s="6">
        <v>0.5</v>
      </c>
      <c r="I624" t="s">
        <v>950</v>
      </c>
      <c r="J624" t="s">
        <v>951</v>
      </c>
      <c r="L624" t="s">
        <v>46</v>
      </c>
      <c r="M624">
        <v>1.1000000000000001</v>
      </c>
      <c r="P624" t="s">
        <v>2875</v>
      </c>
      <c r="Q624">
        <v>3</v>
      </c>
      <c r="R624" t="s">
        <v>2876</v>
      </c>
      <c r="S624">
        <v>3</v>
      </c>
      <c r="V624" t="s">
        <v>2877</v>
      </c>
      <c r="W624" t="s">
        <v>222</v>
      </c>
      <c r="Y624">
        <f t="shared" si="99"/>
        <v>0</v>
      </c>
      <c r="Z624">
        <f t="shared" si="100"/>
        <v>0.5</v>
      </c>
      <c r="AA624">
        <f t="shared" si="101"/>
        <v>0</v>
      </c>
      <c r="AB624">
        <f t="shared" si="102"/>
        <v>0</v>
      </c>
      <c r="AC624">
        <f t="shared" si="103"/>
        <v>0</v>
      </c>
      <c r="AD624">
        <f t="shared" si="104"/>
        <v>0.5</v>
      </c>
      <c r="AE624">
        <f t="shared" si="105"/>
        <v>0</v>
      </c>
      <c r="AF624">
        <f t="shared" si="106"/>
        <v>0</v>
      </c>
      <c r="AG624">
        <f t="shared" si="107"/>
        <v>0</v>
      </c>
      <c r="AH624" t="s">
        <v>550</v>
      </c>
      <c r="AI624" t="s">
        <v>551</v>
      </c>
      <c r="AJ624" t="s">
        <v>552</v>
      </c>
    </row>
    <row r="625" spans="1:36" x14ac:dyDescent="0.2">
      <c r="A625" t="s">
        <v>233</v>
      </c>
      <c r="B625" t="s">
        <v>474</v>
      </c>
      <c r="C625" t="s">
        <v>39</v>
      </c>
      <c r="D625" t="s">
        <v>947</v>
      </c>
      <c r="E625" s="6" t="s">
        <v>20</v>
      </c>
      <c r="F625" s="6">
        <v>0.5</v>
      </c>
      <c r="G625" s="6" t="s">
        <v>28</v>
      </c>
      <c r="H625" s="6">
        <v>0.5</v>
      </c>
      <c r="I625" t="s">
        <v>950</v>
      </c>
      <c r="J625" t="s">
        <v>951</v>
      </c>
      <c r="L625" t="s">
        <v>46</v>
      </c>
      <c r="M625">
        <v>1.1000000000000001</v>
      </c>
      <c r="P625" t="s">
        <v>2878</v>
      </c>
      <c r="Q625">
        <v>4</v>
      </c>
      <c r="R625" t="s">
        <v>2879</v>
      </c>
      <c r="S625">
        <v>4</v>
      </c>
      <c r="V625" t="s">
        <v>2454</v>
      </c>
      <c r="W625" t="s">
        <v>222</v>
      </c>
      <c r="Y625">
        <f t="shared" si="99"/>
        <v>0</v>
      </c>
      <c r="Z625">
        <f t="shared" si="100"/>
        <v>1.5</v>
      </c>
      <c r="AA625">
        <f t="shared" si="101"/>
        <v>0</v>
      </c>
      <c r="AB625">
        <f t="shared" si="102"/>
        <v>0</v>
      </c>
      <c r="AC625">
        <f t="shared" si="103"/>
        <v>0</v>
      </c>
      <c r="AD625">
        <f t="shared" si="104"/>
        <v>1.5</v>
      </c>
      <c r="AE625">
        <f t="shared" si="105"/>
        <v>0</v>
      </c>
      <c r="AF625">
        <f t="shared" si="106"/>
        <v>0</v>
      </c>
      <c r="AG625">
        <f t="shared" si="107"/>
        <v>0</v>
      </c>
      <c r="AH625" t="s">
        <v>550</v>
      </c>
      <c r="AI625" t="s">
        <v>551</v>
      </c>
      <c r="AJ625" t="s">
        <v>552</v>
      </c>
    </row>
    <row r="626" spans="1:36" x14ac:dyDescent="0.2">
      <c r="A626" t="s">
        <v>233</v>
      </c>
      <c r="B626" t="s">
        <v>475</v>
      </c>
      <c r="C626" t="s">
        <v>37</v>
      </c>
      <c r="D626" t="s">
        <v>952</v>
      </c>
      <c r="E626" s="6" t="s">
        <v>22</v>
      </c>
      <c r="F626" s="6">
        <v>0.7</v>
      </c>
      <c r="G626" s="6" t="s">
        <v>20</v>
      </c>
      <c r="H626" s="6">
        <v>0.3</v>
      </c>
      <c r="I626" t="s">
        <v>953</v>
      </c>
      <c r="J626" t="s">
        <v>954</v>
      </c>
      <c r="L626" t="s">
        <v>48</v>
      </c>
      <c r="M626">
        <v>1.5</v>
      </c>
      <c r="N626">
        <v>0.5</v>
      </c>
      <c r="P626" t="s">
        <v>2880</v>
      </c>
      <c r="Q626">
        <v>1</v>
      </c>
      <c r="R626" t="s">
        <v>1017</v>
      </c>
      <c r="S626">
        <v>0</v>
      </c>
      <c r="T626" t="s">
        <v>273</v>
      </c>
      <c r="U626" t="s">
        <v>65</v>
      </c>
      <c r="V626" t="s">
        <v>2881</v>
      </c>
      <c r="W626" t="s">
        <v>222</v>
      </c>
      <c r="Y626">
        <f t="shared" si="99"/>
        <v>0</v>
      </c>
      <c r="Z626">
        <f t="shared" si="100"/>
        <v>2</v>
      </c>
      <c r="AA626">
        <f t="shared" si="101"/>
        <v>0</v>
      </c>
      <c r="AB626">
        <f t="shared" si="102"/>
        <v>0</v>
      </c>
      <c r="AC626">
        <f t="shared" si="103"/>
        <v>0</v>
      </c>
      <c r="AD626">
        <f t="shared" si="104"/>
        <v>2</v>
      </c>
      <c r="AE626">
        <f t="shared" si="105"/>
        <v>0</v>
      </c>
      <c r="AF626">
        <f t="shared" si="106"/>
        <v>0</v>
      </c>
      <c r="AG626">
        <f t="shared" si="107"/>
        <v>0</v>
      </c>
      <c r="AH626" t="s">
        <v>614</v>
      </c>
      <c r="AI626" t="s">
        <v>700</v>
      </c>
      <c r="AJ626" t="s">
        <v>701</v>
      </c>
    </row>
    <row r="627" spans="1:36" x14ac:dyDescent="0.2">
      <c r="A627" t="s">
        <v>233</v>
      </c>
      <c r="B627" t="s">
        <v>475</v>
      </c>
      <c r="C627" t="s">
        <v>37</v>
      </c>
      <c r="D627" t="s">
        <v>952</v>
      </c>
      <c r="E627" s="6" t="s">
        <v>22</v>
      </c>
      <c r="F627" s="6">
        <v>0.7</v>
      </c>
      <c r="G627" s="6" t="s">
        <v>20</v>
      </c>
      <c r="H627" s="6">
        <v>0.3</v>
      </c>
      <c r="I627" t="s">
        <v>953</v>
      </c>
      <c r="J627" t="s">
        <v>954</v>
      </c>
      <c r="L627" t="s">
        <v>48</v>
      </c>
      <c r="M627">
        <v>1.5</v>
      </c>
      <c r="N627">
        <v>0.5</v>
      </c>
      <c r="P627" t="s">
        <v>2882</v>
      </c>
      <c r="Q627">
        <v>2</v>
      </c>
      <c r="R627" t="s">
        <v>2883</v>
      </c>
      <c r="S627">
        <v>0</v>
      </c>
      <c r="T627" t="s">
        <v>2884</v>
      </c>
      <c r="U627" t="s">
        <v>66</v>
      </c>
      <c r="V627" t="s">
        <v>2885</v>
      </c>
      <c r="W627" t="s">
        <v>222</v>
      </c>
      <c r="Y627">
        <f t="shared" si="99"/>
        <v>0</v>
      </c>
      <c r="Z627">
        <f t="shared" si="100"/>
        <v>0</v>
      </c>
      <c r="AA627">
        <f t="shared" si="101"/>
        <v>0</v>
      </c>
      <c r="AB627">
        <f t="shared" si="102"/>
        <v>0</v>
      </c>
      <c r="AC627">
        <f t="shared" si="103"/>
        <v>0</v>
      </c>
      <c r="AD627">
        <f t="shared" si="104"/>
        <v>0</v>
      </c>
      <c r="AE627">
        <f t="shared" si="105"/>
        <v>0</v>
      </c>
      <c r="AF627">
        <f t="shared" si="106"/>
        <v>0</v>
      </c>
      <c r="AG627">
        <f t="shared" si="107"/>
        <v>0</v>
      </c>
      <c r="AH627" t="s">
        <v>614</v>
      </c>
      <c r="AI627" t="s">
        <v>700</v>
      </c>
      <c r="AJ627" t="s">
        <v>701</v>
      </c>
    </row>
    <row r="628" spans="1:36" x14ac:dyDescent="0.2">
      <c r="A628" t="s">
        <v>233</v>
      </c>
      <c r="B628" t="s">
        <v>475</v>
      </c>
      <c r="C628" t="s">
        <v>37</v>
      </c>
      <c r="D628" t="s">
        <v>952</v>
      </c>
      <c r="E628" s="6" t="s">
        <v>22</v>
      </c>
      <c r="F628" s="6">
        <v>0.7</v>
      </c>
      <c r="G628" s="6" t="s">
        <v>20</v>
      </c>
      <c r="H628" s="6">
        <v>0.3</v>
      </c>
      <c r="I628" t="s">
        <v>953</v>
      </c>
      <c r="J628" t="s">
        <v>954</v>
      </c>
      <c r="L628" t="s">
        <v>48</v>
      </c>
      <c r="M628">
        <v>1.5</v>
      </c>
      <c r="N628">
        <v>0.5</v>
      </c>
      <c r="P628" t="s">
        <v>2886</v>
      </c>
      <c r="Q628">
        <v>3</v>
      </c>
      <c r="R628" t="s">
        <v>2887</v>
      </c>
      <c r="S628">
        <v>1</v>
      </c>
      <c r="T628" t="s">
        <v>255</v>
      </c>
      <c r="U628" t="s">
        <v>60</v>
      </c>
      <c r="V628" t="s">
        <v>2888</v>
      </c>
      <c r="W628" t="s">
        <v>222</v>
      </c>
      <c r="Y628">
        <f t="shared" si="99"/>
        <v>0</v>
      </c>
      <c r="Z628">
        <f t="shared" si="100"/>
        <v>0</v>
      </c>
      <c r="AA628">
        <f t="shared" si="101"/>
        <v>0</v>
      </c>
      <c r="AB628">
        <f t="shared" si="102"/>
        <v>0</v>
      </c>
      <c r="AC628">
        <f t="shared" si="103"/>
        <v>0</v>
      </c>
      <c r="AD628">
        <f t="shared" si="104"/>
        <v>0</v>
      </c>
      <c r="AE628">
        <f t="shared" si="105"/>
        <v>0</v>
      </c>
      <c r="AF628">
        <f t="shared" si="106"/>
        <v>0</v>
      </c>
      <c r="AG628">
        <f t="shared" si="107"/>
        <v>0</v>
      </c>
      <c r="AH628" t="s">
        <v>614</v>
      </c>
      <c r="AI628" t="s">
        <v>700</v>
      </c>
      <c r="AJ628" t="s">
        <v>701</v>
      </c>
    </row>
    <row r="629" spans="1:36" x14ac:dyDescent="0.2">
      <c r="A629" t="s">
        <v>233</v>
      </c>
      <c r="B629" t="s">
        <v>475</v>
      </c>
      <c r="C629" t="s">
        <v>37</v>
      </c>
      <c r="D629" t="s">
        <v>952</v>
      </c>
      <c r="E629" s="6" t="s">
        <v>22</v>
      </c>
      <c r="F629" s="6">
        <v>0.7</v>
      </c>
      <c r="G629" s="6" t="s">
        <v>20</v>
      </c>
      <c r="H629" s="6">
        <v>0.3</v>
      </c>
      <c r="I629" t="s">
        <v>953</v>
      </c>
      <c r="J629" t="s">
        <v>954</v>
      </c>
      <c r="L629" t="s">
        <v>48</v>
      </c>
      <c r="M629">
        <v>1.5</v>
      </c>
      <c r="N629">
        <v>0.5</v>
      </c>
      <c r="P629" t="s">
        <v>2889</v>
      </c>
      <c r="Q629">
        <v>4</v>
      </c>
      <c r="R629" t="s">
        <v>2890</v>
      </c>
      <c r="S629">
        <v>3</v>
      </c>
      <c r="V629" t="s">
        <v>2891</v>
      </c>
      <c r="W629" t="s">
        <v>222</v>
      </c>
      <c r="Y629">
        <f t="shared" si="99"/>
        <v>0</v>
      </c>
      <c r="Z629">
        <f t="shared" si="100"/>
        <v>0.3</v>
      </c>
      <c r="AA629">
        <f t="shared" si="101"/>
        <v>0.7</v>
      </c>
      <c r="AB629">
        <f t="shared" si="102"/>
        <v>0</v>
      </c>
      <c r="AC629">
        <f t="shared" si="103"/>
        <v>0</v>
      </c>
      <c r="AD629">
        <f t="shared" si="104"/>
        <v>0</v>
      </c>
      <c r="AE629">
        <f t="shared" si="105"/>
        <v>0</v>
      </c>
      <c r="AF629">
        <f t="shared" si="106"/>
        <v>0</v>
      </c>
      <c r="AG629">
        <f t="shared" si="107"/>
        <v>0</v>
      </c>
      <c r="AH629" t="s">
        <v>614</v>
      </c>
      <c r="AI629" t="s">
        <v>700</v>
      </c>
      <c r="AJ629" t="s">
        <v>701</v>
      </c>
    </row>
    <row r="630" spans="1:36" x14ac:dyDescent="0.2">
      <c r="A630" t="s">
        <v>233</v>
      </c>
      <c r="B630" t="s">
        <v>475</v>
      </c>
      <c r="C630" t="s">
        <v>37</v>
      </c>
      <c r="D630" t="s">
        <v>952</v>
      </c>
      <c r="E630" s="6" t="s">
        <v>22</v>
      </c>
      <c r="F630" s="6">
        <v>0.7</v>
      </c>
      <c r="G630" s="6" t="s">
        <v>20</v>
      </c>
      <c r="H630" s="6">
        <v>0.3</v>
      </c>
      <c r="I630" t="s">
        <v>953</v>
      </c>
      <c r="J630" t="s">
        <v>954</v>
      </c>
      <c r="L630" t="s">
        <v>48</v>
      </c>
      <c r="M630">
        <v>1.5</v>
      </c>
      <c r="N630">
        <v>0.5</v>
      </c>
      <c r="P630" t="s">
        <v>2892</v>
      </c>
      <c r="Q630">
        <v>5</v>
      </c>
      <c r="R630" t="s">
        <v>2893</v>
      </c>
      <c r="S630">
        <v>4</v>
      </c>
      <c r="V630" t="s">
        <v>2454</v>
      </c>
      <c r="W630" t="s">
        <v>222</v>
      </c>
      <c r="Y630">
        <f t="shared" si="99"/>
        <v>0</v>
      </c>
      <c r="Z630">
        <f t="shared" si="100"/>
        <v>0.89999999999999991</v>
      </c>
      <c r="AA630">
        <f t="shared" si="101"/>
        <v>2.0999999999999996</v>
      </c>
      <c r="AB630">
        <f t="shared" si="102"/>
        <v>0</v>
      </c>
      <c r="AC630">
        <f t="shared" si="103"/>
        <v>0</v>
      </c>
      <c r="AD630">
        <f t="shared" si="104"/>
        <v>0</v>
      </c>
      <c r="AE630">
        <f t="shared" si="105"/>
        <v>0</v>
      </c>
      <c r="AF630">
        <f t="shared" si="106"/>
        <v>0</v>
      </c>
      <c r="AG630">
        <f t="shared" si="107"/>
        <v>0</v>
      </c>
      <c r="AH630" t="s">
        <v>614</v>
      </c>
      <c r="AI630" t="s">
        <v>700</v>
      </c>
      <c r="AJ630" t="s">
        <v>701</v>
      </c>
    </row>
    <row r="631" spans="1:36" x14ac:dyDescent="0.2">
      <c r="A631" t="s">
        <v>233</v>
      </c>
      <c r="B631" t="s">
        <v>476</v>
      </c>
      <c r="C631" t="s">
        <v>39</v>
      </c>
      <c r="D631" t="s">
        <v>952</v>
      </c>
      <c r="E631" s="6" t="s">
        <v>30</v>
      </c>
      <c r="F631" s="6">
        <v>0.4</v>
      </c>
      <c r="G631" s="6" t="s">
        <v>22</v>
      </c>
      <c r="H631" s="6">
        <v>0.6</v>
      </c>
      <c r="I631" t="s">
        <v>955</v>
      </c>
      <c r="J631" t="s">
        <v>956</v>
      </c>
      <c r="L631" t="s">
        <v>48</v>
      </c>
      <c r="M631">
        <v>1.2</v>
      </c>
      <c r="P631" t="s">
        <v>2894</v>
      </c>
      <c r="Q631">
        <v>1</v>
      </c>
      <c r="R631" t="s">
        <v>2895</v>
      </c>
      <c r="S631">
        <v>0</v>
      </c>
      <c r="T631" t="s">
        <v>276</v>
      </c>
      <c r="U631" t="s">
        <v>66</v>
      </c>
      <c r="V631" t="s">
        <v>2896</v>
      </c>
      <c r="W631" t="s">
        <v>222</v>
      </c>
      <c r="Y631">
        <f t="shared" si="99"/>
        <v>0</v>
      </c>
      <c r="Z631">
        <f t="shared" si="100"/>
        <v>1.2</v>
      </c>
      <c r="AA631">
        <f t="shared" si="101"/>
        <v>2.8</v>
      </c>
      <c r="AB631">
        <f t="shared" si="102"/>
        <v>0</v>
      </c>
      <c r="AC631">
        <f t="shared" si="103"/>
        <v>0</v>
      </c>
      <c r="AD631">
        <f t="shared" si="104"/>
        <v>0</v>
      </c>
      <c r="AE631">
        <f t="shared" si="105"/>
        <v>0</v>
      </c>
      <c r="AF631">
        <f t="shared" si="106"/>
        <v>0</v>
      </c>
      <c r="AG631">
        <f t="shared" si="107"/>
        <v>0</v>
      </c>
      <c r="AH631" t="s">
        <v>614</v>
      </c>
      <c r="AI631" t="s">
        <v>615</v>
      </c>
      <c r="AJ631" t="s">
        <v>635</v>
      </c>
    </row>
    <row r="632" spans="1:36" x14ac:dyDescent="0.2">
      <c r="A632" t="s">
        <v>233</v>
      </c>
      <c r="B632" t="s">
        <v>476</v>
      </c>
      <c r="C632" t="s">
        <v>39</v>
      </c>
      <c r="D632" t="s">
        <v>952</v>
      </c>
      <c r="E632" s="6" t="s">
        <v>30</v>
      </c>
      <c r="F632" s="6">
        <v>0.4</v>
      </c>
      <c r="G632" s="6" t="s">
        <v>22</v>
      </c>
      <c r="H632" s="6">
        <v>0.6</v>
      </c>
      <c r="I632" t="s">
        <v>955</v>
      </c>
      <c r="J632" t="s">
        <v>956</v>
      </c>
      <c r="L632" t="s">
        <v>48</v>
      </c>
      <c r="M632">
        <v>1.2</v>
      </c>
      <c r="P632" t="s">
        <v>2897</v>
      </c>
      <c r="Q632">
        <v>2</v>
      </c>
      <c r="R632" t="s">
        <v>2898</v>
      </c>
      <c r="S632">
        <v>1</v>
      </c>
      <c r="T632" t="s">
        <v>255</v>
      </c>
      <c r="U632" t="s">
        <v>60</v>
      </c>
      <c r="V632" t="s">
        <v>2899</v>
      </c>
      <c r="W632" t="s">
        <v>222</v>
      </c>
      <c r="Y632">
        <f t="shared" si="99"/>
        <v>0</v>
      </c>
      <c r="Z632">
        <f t="shared" si="100"/>
        <v>0</v>
      </c>
      <c r="AA632">
        <f t="shared" si="101"/>
        <v>0</v>
      </c>
      <c r="AB632">
        <f t="shared" si="102"/>
        <v>0</v>
      </c>
      <c r="AC632">
        <f t="shared" si="103"/>
        <v>0</v>
      </c>
      <c r="AD632">
        <f t="shared" si="104"/>
        <v>0</v>
      </c>
      <c r="AE632">
        <f t="shared" si="105"/>
        <v>0</v>
      </c>
      <c r="AF632">
        <f t="shared" si="106"/>
        <v>0</v>
      </c>
      <c r="AG632">
        <f t="shared" si="107"/>
        <v>0</v>
      </c>
      <c r="AH632" t="s">
        <v>614</v>
      </c>
      <c r="AI632" t="s">
        <v>615</v>
      </c>
      <c r="AJ632" t="s">
        <v>635</v>
      </c>
    </row>
    <row r="633" spans="1:36" x14ac:dyDescent="0.2">
      <c r="A633" t="s">
        <v>233</v>
      </c>
      <c r="B633" t="s">
        <v>476</v>
      </c>
      <c r="C633" t="s">
        <v>39</v>
      </c>
      <c r="D633" t="s">
        <v>952</v>
      </c>
      <c r="E633" s="6" t="s">
        <v>30</v>
      </c>
      <c r="F633" s="6">
        <v>0.4</v>
      </c>
      <c r="G633" s="6" t="s">
        <v>22</v>
      </c>
      <c r="H633" s="6">
        <v>0.6</v>
      </c>
      <c r="I633" t="s">
        <v>955</v>
      </c>
      <c r="J633" t="s">
        <v>956</v>
      </c>
      <c r="L633" t="s">
        <v>48</v>
      </c>
      <c r="M633">
        <v>1.2</v>
      </c>
      <c r="P633" t="s">
        <v>2900</v>
      </c>
      <c r="Q633">
        <v>3</v>
      </c>
      <c r="R633" t="s">
        <v>2901</v>
      </c>
      <c r="S633">
        <v>3</v>
      </c>
      <c r="V633" t="s">
        <v>2902</v>
      </c>
      <c r="W633" t="s">
        <v>222</v>
      </c>
      <c r="Y633">
        <f t="shared" si="99"/>
        <v>0</v>
      </c>
      <c r="Z633">
        <f t="shared" si="100"/>
        <v>0</v>
      </c>
      <c r="AA633">
        <f t="shared" si="101"/>
        <v>0.6</v>
      </c>
      <c r="AB633">
        <f t="shared" si="102"/>
        <v>0</v>
      </c>
      <c r="AC633">
        <f t="shared" si="103"/>
        <v>0</v>
      </c>
      <c r="AD633">
        <f t="shared" si="104"/>
        <v>0</v>
      </c>
      <c r="AE633">
        <f t="shared" si="105"/>
        <v>0.4</v>
      </c>
      <c r="AF633">
        <f t="shared" si="106"/>
        <v>0</v>
      </c>
      <c r="AG633">
        <f t="shared" si="107"/>
        <v>0</v>
      </c>
      <c r="AH633" t="s">
        <v>614</v>
      </c>
      <c r="AI633" t="s">
        <v>615</v>
      </c>
      <c r="AJ633" t="s">
        <v>635</v>
      </c>
    </row>
    <row r="634" spans="1:36" x14ac:dyDescent="0.2">
      <c r="A634" t="s">
        <v>233</v>
      </c>
      <c r="B634" t="s">
        <v>476</v>
      </c>
      <c r="C634" t="s">
        <v>39</v>
      </c>
      <c r="D634" t="s">
        <v>952</v>
      </c>
      <c r="E634" s="6" t="s">
        <v>30</v>
      </c>
      <c r="F634" s="6">
        <v>0.4</v>
      </c>
      <c r="G634" s="6" t="s">
        <v>22</v>
      </c>
      <c r="H634" s="6">
        <v>0.6</v>
      </c>
      <c r="I634" t="s">
        <v>955</v>
      </c>
      <c r="J634" t="s">
        <v>956</v>
      </c>
      <c r="L634" t="s">
        <v>48</v>
      </c>
      <c r="M634">
        <v>1.2</v>
      </c>
      <c r="P634" t="s">
        <v>2903</v>
      </c>
      <c r="Q634">
        <v>4</v>
      </c>
      <c r="R634" t="s">
        <v>2904</v>
      </c>
      <c r="S634">
        <v>4</v>
      </c>
      <c r="V634" t="s">
        <v>2454</v>
      </c>
      <c r="W634" t="s">
        <v>222</v>
      </c>
      <c r="Y634">
        <f t="shared" si="99"/>
        <v>0</v>
      </c>
      <c r="Z634">
        <f t="shared" si="100"/>
        <v>0</v>
      </c>
      <c r="AA634">
        <f t="shared" si="101"/>
        <v>1.7999999999999998</v>
      </c>
      <c r="AB634">
        <f t="shared" si="102"/>
        <v>0</v>
      </c>
      <c r="AC634">
        <f t="shared" si="103"/>
        <v>0</v>
      </c>
      <c r="AD634">
        <f t="shared" si="104"/>
        <v>0</v>
      </c>
      <c r="AE634">
        <f t="shared" si="105"/>
        <v>1.2000000000000002</v>
      </c>
      <c r="AF634">
        <f t="shared" si="106"/>
        <v>0</v>
      </c>
      <c r="AG634">
        <f t="shared" si="107"/>
        <v>0</v>
      </c>
      <c r="AH634" t="s">
        <v>614</v>
      </c>
      <c r="AI634" t="s">
        <v>615</v>
      </c>
      <c r="AJ634" t="s">
        <v>635</v>
      </c>
    </row>
    <row r="635" spans="1:36" x14ac:dyDescent="0.2">
      <c r="A635" t="s">
        <v>233</v>
      </c>
      <c r="B635" t="s">
        <v>477</v>
      </c>
      <c r="C635" t="s">
        <v>39</v>
      </c>
      <c r="D635" t="s">
        <v>952</v>
      </c>
      <c r="E635" s="6" t="s">
        <v>22</v>
      </c>
      <c r="F635" s="6">
        <v>0.7</v>
      </c>
      <c r="G635" s="6" t="s">
        <v>30</v>
      </c>
      <c r="H635" s="6">
        <v>0.3</v>
      </c>
      <c r="I635" t="s">
        <v>957</v>
      </c>
      <c r="J635" t="s">
        <v>958</v>
      </c>
      <c r="L635" t="s">
        <v>48</v>
      </c>
      <c r="M635">
        <v>1.2</v>
      </c>
      <c r="P635" t="s">
        <v>2905</v>
      </c>
      <c r="Q635">
        <v>1</v>
      </c>
      <c r="R635" t="s">
        <v>2906</v>
      </c>
      <c r="S635">
        <v>0</v>
      </c>
      <c r="T635" t="s">
        <v>276</v>
      </c>
      <c r="U635" t="s">
        <v>66</v>
      </c>
      <c r="V635" t="s">
        <v>2907</v>
      </c>
      <c r="W635" t="s">
        <v>222</v>
      </c>
      <c r="Y635">
        <f t="shared" si="99"/>
        <v>0</v>
      </c>
      <c r="Z635">
        <f t="shared" si="100"/>
        <v>0</v>
      </c>
      <c r="AA635">
        <f t="shared" si="101"/>
        <v>2.4</v>
      </c>
      <c r="AB635">
        <f t="shared" si="102"/>
        <v>0</v>
      </c>
      <c r="AC635">
        <f t="shared" si="103"/>
        <v>0</v>
      </c>
      <c r="AD635">
        <f t="shared" si="104"/>
        <v>0</v>
      </c>
      <c r="AE635">
        <f t="shared" si="105"/>
        <v>1.6</v>
      </c>
      <c r="AF635">
        <f t="shared" si="106"/>
        <v>0</v>
      </c>
      <c r="AG635">
        <f t="shared" si="107"/>
        <v>0</v>
      </c>
      <c r="AH635" t="s">
        <v>614</v>
      </c>
      <c r="AI635" t="s">
        <v>700</v>
      </c>
      <c r="AJ635" t="s">
        <v>701</v>
      </c>
    </row>
    <row r="636" spans="1:36" x14ac:dyDescent="0.2">
      <c r="A636" t="s">
        <v>233</v>
      </c>
      <c r="B636" t="s">
        <v>477</v>
      </c>
      <c r="C636" t="s">
        <v>39</v>
      </c>
      <c r="D636" t="s">
        <v>952</v>
      </c>
      <c r="E636" s="6" t="s">
        <v>22</v>
      </c>
      <c r="F636" s="6">
        <v>0.7</v>
      </c>
      <c r="G636" s="6" t="s">
        <v>30</v>
      </c>
      <c r="H636" s="6">
        <v>0.3</v>
      </c>
      <c r="I636" t="s">
        <v>957</v>
      </c>
      <c r="J636" t="s">
        <v>958</v>
      </c>
      <c r="L636" t="s">
        <v>48</v>
      </c>
      <c r="M636">
        <v>1.2</v>
      </c>
      <c r="P636" t="s">
        <v>2908</v>
      </c>
      <c r="Q636">
        <v>2</v>
      </c>
      <c r="R636" t="s">
        <v>2909</v>
      </c>
      <c r="S636">
        <v>1</v>
      </c>
      <c r="T636" t="s">
        <v>276</v>
      </c>
      <c r="U636" t="s">
        <v>66</v>
      </c>
      <c r="V636" t="s">
        <v>2910</v>
      </c>
      <c r="W636" t="s">
        <v>222</v>
      </c>
      <c r="Y636">
        <f t="shared" si="99"/>
        <v>0</v>
      </c>
      <c r="Z636">
        <f t="shared" si="100"/>
        <v>0</v>
      </c>
      <c r="AA636">
        <f t="shared" si="101"/>
        <v>0</v>
      </c>
      <c r="AB636">
        <f t="shared" si="102"/>
        <v>0</v>
      </c>
      <c r="AC636">
        <f t="shared" si="103"/>
        <v>0</v>
      </c>
      <c r="AD636">
        <f t="shared" si="104"/>
        <v>0</v>
      </c>
      <c r="AE636">
        <f t="shared" si="105"/>
        <v>0</v>
      </c>
      <c r="AF636">
        <f t="shared" si="106"/>
        <v>0</v>
      </c>
      <c r="AG636">
        <f t="shared" si="107"/>
        <v>0</v>
      </c>
      <c r="AH636" t="s">
        <v>614</v>
      </c>
      <c r="AI636" t="s">
        <v>700</v>
      </c>
      <c r="AJ636" t="s">
        <v>701</v>
      </c>
    </row>
    <row r="637" spans="1:36" x14ac:dyDescent="0.2">
      <c r="A637" t="s">
        <v>233</v>
      </c>
      <c r="B637" t="s">
        <v>477</v>
      </c>
      <c r="C637" t="s">
        <v>39</v>
      </c>
      <c r="D637" t="s">
        <v>952</v>
      </c>
      <c r="E637" s="6" t="s">
        <v>22</v>
      </c>
      <c r="F637" s="6">
        <v>0.7</v>
      </c>
      <c r="G637" s="6" t="s">
        <v>30</v>
      </c>
      <c r="H637" s="6">
        <v>0.3</v>
      </c>
      <c r="I637" t="s">
        <v>957</v>
      </c>
      <c r="J637" t="s">
        <v>958</v>
      </c>
      <c r="L637" t="s">
        <v>48</v>
      </c>
      <c r="M637">
        <v>1.2</v>
      </c>
      <c r="P637" t="s">
        <v>2911</v>
      </c>
      <c r="Q637">
        <v>3</v>
      </c>
      <c r="R637" t="s">
        <v>2912</v>
      </c>
      <c r="S637">
        <v>3</v>
      </c>
      <c r="V637" t="s">
        <v>2913</v>
      </c>
      <c r="W637" t="s">
        <v>222</v>
      </c>
      <c r="Y637">
        <f t="shared" si="99"/>
        <v>0</v>
      </c>
      <c r="Z637">
        <f t="shared" si="100"/>
        <v>0</v>
      </c>
      <c r="AA637">
        <f t="shared" si="101"/>
        <v>0.7</v>
      </c>
      <c r="AB637">
        <f t="shared" si="102"/>
        <v>0</v>
      </c>
      <c r="AC637">
        <f t="shared" si="103"/>
        <v>0</v>
      </c>
      <c r="AD637">
        <f t="shared" si="104"/>
        <v>0</v>
      </c>
      <c r="AE637">
        <f t="shared" si="105"/>
        <v>0.3</v>
      </c>
      <c r="AF637">
        <f t="shared" si="106"/>
        <v>0</v>
      </c>
      <c r="AG637">
        <f t="shared" si="107"/>
        <v>0</v>
      </c>
      <c r="AH637" t="s">
        <v>614</v>
      </c>
      <c r="AI637" t="s">
        <v>700</v>
      </c>
      <c r="AJ637" t="s">
        <v>701</v>
      </c>
    </row>
    <row r="638" spans="1:36" x14ac:dyDescent="0.2">
      <c r="A638" t="s">
        <v>233</v>
      </c>
      <c r="B638" t="s">
        <v>477</v>
      </c>
      <c r="C638" t="s">
        <v>39</v>
      </c>
      <c r="D638" t="s">
        <v>952</v>
      </c>
      <c r="E638" s="6" t="s">
        <v>22</v>
      </c>
      <c r="F638" s="6">
        <v>0.7</v>
      </c>
      <c r="G638" s="6" t="s">
        <v>30</v>
      </c>
      <c r="H638" s="6">
        <v>0.3</v>
      </c>
      <c r="I638" t="s">
        <v>957</v>
      </c>
      <c r="J638" t="s">
        <v>958</v>
      </c>
      <c r="L638" t="s">
        <v>48</v>
      </c>
      <c r="M638">
        <v>1.2</v>
      </c>
      <c r="P638" t="s">
        <v>2914</v>
      </c>
      <c r="Q638">
        <v>4</v>
      </c>
      <c r="R638" t="s">
        <v>2915</v>
      </c>
      <c r="S638">
        <v>4</v>
      </c>
      <c r="V638" t="s">
        <v>2454</v>
      </c>
      <c r="W638" t="s">
        <v>222</v>
      </c>
      <c r="Y638">
        <f t="shared" si="99"/>
        <v>0</v>
      </c>
      <c r="Z638">
        <f t="shared" si="100"/>
        <v>0</v>
      </c>
      <c r="AA638">
        <f t="shared" si="101"/>
        <v>2.0999999999999996</v>
      </c>
      <c r="AB638">
        <f t="shared" si="102"/>
        <v>0</v>
      </c>
      <c r="AC638">
        <f t="shared" si="103"/>
        <v>0</v>
      </c>
      <c r="AD638">
        <f t="shared" si="104"/>
        <v>0</v>
      </c>
      <c r="AE638">
        <f t="shared" si="105"/>
        <v>0.89999999999999991</v>
      </c>
      <c r="AF638">
        <f t="shared" si="106"/>
        <v>0</v>
      </c>
      <c r="AG638">
        <f t="shared" si="107"/>
        <v>0</v>
      </c>
      <c r="AH638" t="s">
        <v>614</v>
      </c>
      <c r="AI638" t="s">
        <v>700</v>
      </c>
      <c r="AJ638" t="s">
        <v>701</v>
      </c>
    </row>
    <row r="639" spans="1:36" x14ac:dyDescent="0.2">
      <c r="A639" t="s">
        <v>233</v>
      </c>
      <c r="B639" t="s">
        <v>478</v>
      </c>
      <c r="C639" t="s">
        <v>37</v>
      </c>
      <c r="D639" t="s">
        <v>959</v>
      </c>
      <c r="E639" s="6" t="s">
        <v>20</v>
      </c>
      <c r="F639" s="6">
        <v>0.7</v>
      </c>
      <c r="G639" s="6" t="s">
        <v>28</v>
      </c>
      <c r="H639" s="6">
        <v>0.3</v>
      </c>
      <c r="I639" t="s">
        <v>960</v>
      </c>
      <c r="J639" t="s">
        <v>961</v>
      </c>
      <c r="L639" t="s">
        <v>48</v>
      </c>
      <c r="M639">
        <v>1.3</v>
      </c>
      <c r="P639" t="s">
        <v>2916</v>
      </c>
      <c r="Q639">
        <v>1</v>
      </c>
      <c r="R639" t="s">
        <v>2917</v>
      </c>
      <c r="S639">
        <v>0</v>
      </c>
      <c r="T639" t="s">
        <v>276</v>
      </c>
      <c r="U639" t="s">
        <v>66</v>
      </c>
      <c r="V639" t="s">
        <v>2918</v>
      </c>
      <c r="W639" t="s">
        <v>222</v>
      </c>
      <c r="Y639">
        <f t="shared" si="99"/>
        <v>0</v>
      </c>
      <c r="Z639">
        <f t="shared" si="100"/>
        <v>0</v>
      </c>
      <c r="AA639">
        <f t="shared" si="101"/>
        <v>2.8</v>
      </c>
      <c r="AB639">
        <f t="shared" si="102"/>
        <v>0</v>
      </c>
      <c r="AC639">
        <f t="shared" si="103"/>
        <v>0</v>
      </c>
      <c r="AD639">
        <f t="shared" si="104"/>
        <v>0</v>
      </c>
      <c r="AE639">
        <f t="shared" si="105"/>
        <v>1.2</v>
      </c>
      <c r="AF639">
        <f t="shared" si="106"/>
        <v>0</v>
      </c>
      <c r="AG639">
        <f t="shared" si="107"/>
        <v>0</v>
      </c>
      <c r="AH639" t="s">
        <v>614</v>
      </c>
      <c r="AI639" t="s">
        <v>700</v>
      </c>
      <c r="AJ639" t="s">
        <v>925</v>
      </c>
    </row>
    <row r="640" spans="1:36" x14ac:dyDescent="0.2">
      <c r="A640" t="s">
        <v>233</v>
      </c>
      <c r="B640" t="s">
        <v>478</v>
      </c>
      <c r="C640" t="s">
        <v>37</v>
      </c>
      <c r="D640" t="s">
        <v>959</v>
      </c>
      <c r="E640" s="6" t="s">
        <v>20</v>
      </c>
      <c r="F640" s="6">
        <v>0.7</v>
      </c>
      <c r="G640" s="6" t="s">
        <v>28</v>
      </c>
      <c r="H640" s="6">
        <v>0.3</v>
      </c>
      <c r="I640" t="s">
        <v>960</v>
      </c>
      <c r="J640" t="s">
        <v>961</v>
      </c>
      <c r="L640" t="s">
        <v>48</v>
      </c>
      <c r="M640">
        <v>1.3</v>
      </c>
      <c r="P640" t="s">
        <v>2919</v>
      </c>
      <c r="Q640">
        <v>2</v>
      </c>
      <c r="R640" t="s">
        <v>2920</v>
      </c>
      <c r="S640">
        <v>1</v>
      </c>
      <c r="T640" t="s">
        <v>255</v>
      </c>
      <c r="U640" t="s">
        <v>60</v>
      </c>
      <c r="V640" t="s">
        <v>2921</v>
      </c>
      <c r="W640" t="s">
        <v>222</v>
      </c>
      <c r="Y640">
        <f t="shared" si="99"/>
        <v>0</v>
      </c>
      <c r="Z640">
        <f t="shared" si="100"/>
        <v>0</v>
      </c>
      <c r="AA640">
        <f t="shared" si="101"/>
        <v>0</v>
      </c>
      <c r="AB640">
        <f t="shared" si="102"/>
        <v>0</v>
      </c>
      <c r="AC640">
        <f t="shared" si="103"/>
        <v>0</v>
      </c>
      <c r="AD640">
        <f t="shared" si="104"/>
        <v>0</v>
      </c>
      <c r="AE640">
        <f t="shared" si="105"/>
        <v>0</v>
      </c>
      <c r="AF640">
        <f t="shared" si="106"/>
        <v>0</v>
      </c>
      <c r="AG640">
        <f t="shared" si="107"/>
        <v>0</v>
      </c>
      <c r="AH640" t="s">
        <v>614</v>
      </c>
      <c r="AI640" t="s">
        <v>700</v>
      </c>
      <c r="AJ640" t="s">
        <v>925</v>
      </c>
    </row>
    <row r="641" spans="1:36" x14ac:dyDescent="0.2">
      <c r="A641" t="s">
        <v>233</v>
      </c>
      <c r="B641" t="s">
        <v>478</v>
      </c>
      <c r="C641" t="s">
        <v>37</v>
      </c>
      <c r="D641" t="s">
        <v>959</v>
      </c>
      <c r="E641" s="6" t="s">
        <v>20</v>
      </c>
      <c r="F641" s="6">
        <v>0.7</v>
      </c>
      <c r="G641" s="6" t="s">
        <v>28</v>
      </c>
      <c r="H641" s="6">
        <v>0.3</v>
      </c>
      <c r="I641" t="s">
        <v>960</v>
      </c>
      <c r="J641" t="s">
        <v>961</v>
      </c>
      <c r="L641" t="s">
        <v>48</v>
      </c>
      <c r="M641">
        <v>1.3</v>
      </c>
      <c r="P641" t="s">
        <v>2922</v>
      </c>
      <c r="Q641">
        <v>3</v>
      </c>
      <c r="R641" t="s">
        <v>2923</v>
      </c>
      <c r="S641">
        <v>3</v>
      </c>
      <c r="V641" t="s">
        <v>2924</v>
      </c>
      <c r="W641" t="s">
        <v>222</v>
      </c>
      <c r="Y641">
        <f t="shared" si="99"/>
        <v>0</v>
      </c>
      <c r="Z641">
        <f t="shared" si="100"/>
        <v>0.7</v>
      </c>
      <c r="AA641">
        <f t="shared" si="101"/>
        <v>0</v>
      </c>
      <c r="AB641">
        <f t="shared" si="102"/>
        <v>0</v>
      </c>
      <c r="AC641">
        <f t="shared" si="103"/>
        <v>0</v>
      </c>
      <c r="AD641">
        <f t="shared" si="104"/>
        <v>0.3</v>
      </c>
      <c r="AE641">
        <f t="shared" si="105"/>
        <v>0</v>
      </c>
      <c r="AF641">
        <f t="shared" si="106"/>
        <v>0</v>
      </c>
      <c r="AG641">
        <f t="shared" si="107"/>
        <v>0</v>
      </c>
      <c r="AH641" t="s">
        <v>614</v>
      </c>
      <c r="AI641" t="s">
        <v>700</v>
      </c>
      <c r="AJ641" t="s">
        <v>925</v>
      </c>
    </row>
    <row r="642" spans="1:36" x14ac:dyDescent="0.2">
      <c r="A642" t="s">
        <v>233</v>
      </c>
      <c r="B642" t="s">
        <v>478</v>
      </c>
      <c r="C642" t="s">
        <v>37</v>
      </c>
      <c r="D642" t="s">
        <v>959</v>
      </c>
      <c r="E642" s="6" t="s">
        <v>20</v>
      </c>
      <c r="F642" s="6">
        <v>0.7</v>
      </c>
      <c r="G642" s="6" t="s">
        <v>28</v>
      </c>
      <c r="H642" s="6">
        <v>0.3</v>
      </c>
      <c r="I642" t="s">
        <v>960</v>
      </c>
      <c r="J642" t="s">
        <v>961</v>
      </c>
      <c r="L642" t="s">
        <v>48</v>
      </c>
      <c r="M642">
        <v>1.3</v>
      </c>
      <c r="P642" t="s">
        <v>2925</v>
      </c>
      <c r="Q642">
        <v>4</v>
      </c>
      <c r="R642" t="s">
        <v>2926</v>
      </c>
      <c r="S642">
        <v>4</v>
      </c>
      <c r="V642" t="s">
        <v>2454</v>
      </c>
      <c r="W642" t="s">
        <v>222</v>
      </c>
      <c r="Y642">
        <f t="shared" si="99"/>
        <v>0</v>
      </c>
      <c r="Z642">
        <f t="shared" si="100"/>
        <v>2.0999999999999996</v>
      </c>
      <c r="AA642">
        <f t="shared" si="101"/>
        <v>0</v>
      </c>
      <c r="AB642">
        <f t="shared" si="102"/>
        <v>0</v>
      </c>
      <c r="AC642">
        <f t="shared" si="103"/>
        <v>0</v>
      </c>
      <c r="AD642">
        <f t="shared" si="104"/>
        <v>0.89999999999999991</v>
      </c>
      <c r="AE642">
        <f t="shared" si="105"/>
        <v>0</v>
      </c>
      <c r="AF642">
        <f t="shared" si="106"/>
        <v>0</v>
      </c>
      <c r="AG642">
        <f t="shared" si="107"/>
        <v>0</v>
      </c>
      <c r="AH642" t="s">
        <v>614</v>
      </c>
      <c r="AI642" t="s">
        <v>700</v>
      </c>
      <c r="AJ642" t="s">
        <v>925</v>
      </c>
    </row>
    <row r="643" spans="1:36" x14ac:dyDescent="0.2">
      <c r="A643" t="s">
        <v>233</v>
      </c>
      <c r="B643" t="s">
        <v>479</v>
      </c>
      <c r="C643" t="s">
        <v>39</v>
      </c>
      <c r="D643" t="s">
        <v>959</v>
      </c>
      <c r="E643" s="6" t="s">
        <v>22</v>
      </c>
      <c r="F643" s="6">
        <v>1</v>
      </c>
      <c r="G643" s="6" t="s">
        <v>522</v>
      </c>
      <c r="I643" t="s">
        <v>962</v>
      </c>
      <c r="J643" t="s">
        <v>963</v>
      </c>
      <c r="L643" t="s">
        <v>48</v>
      </c>
      <c r="M643">
        <v>1</v>
      </c>
      <c r="P643" t="s">
        <v>2927</v>
      </c>
      <c r="Q643">
        <v>1</v>
      </c>
      <c r="R643" t="s">
        <v>2928</v>
      </c>
      <c r="S643">
        <v>0</v>
      </c>
      <c r="T643" t="s">
        <v>276</v>
      </c>
      <c r="U643" t="s">
        <v>66</v>
      </c>
      <c r="V643" t="s">
        <v>2929</v>
      </c>
      <c r="W643" t="s">
        <v>222</v>
      </c>
      <c r="Y643">
        <f t="shared" si="99"/>
        <v>0</v>
      </c>
      <c r="Z643">
        <f t="shared" si="100"/>
        <v>2.8</v>
      </c>
      <c r="AA643">
        <f t="shared" si="101"/>
        <v>0</v>
      </c>
      <c r="AB643">
        <f t="shared" si="102"/>
        <v>0</v>
      </c>
      <c r="AC643">
        <f t="shared" si="103"/>
        <v>0</v>
      </c>
      <c r="AD643">
        <f t="shared" si="104"/>
        <v>1.2</v>
      </c>
      <c r="AE643">
        <f t="shared" si="105"/>
        <v>0</v>
      </c>
      <c r="AF643">
        <f t="shared" si="106"/>
        <v>0</v>
      </c>
      <c r="AG643">
        <f t="shared" si="107"/>
        <v>0</v>
      </c>
      <c r="AH643" t="s">
        <v>614</v>
      </c>
      <c r="AI643" t="s">
        <v>615</v>
      </c>
      <c r="AJ643" t="s">
        <v>635</v>
      </c>
    </row>
    <row r="644" spans="1:36" x14ac:dyDescent="0.2">
      <c r="A644" t="s">
        <v>233</v>
      </c>
      <c r="B644" t="s">
        <v>479</v>
      </c>
      <c r="C644" t="s">
        <v>39</v>
      </c>
      <c r="D644" t="s">
        <v>959</v>
      </c>
      <c r="E644" s="6" t="s">
        <v>22</v>
      </c>
      <c r="F644" s="6">
        <v>1</v>
      </c>
      <c r="G644" s="6" t="s">
        <v>522</v>
      </c>
      <c r="I644" t="s">
        <v>962</v>
      </c>
      <c r="J644" t="s">
        <v>963</v>
      </c>
      <c r="L644" t="s">
        <v>48</v>
      </c>
      <c r="M644">
        <v>1</v>
      </c>
      <c r="P644" t="s">
        <v>2930</v>
      </c>
      <c r="Q644">
        <v>2</v>
      </c>
      <c r="R644" t="s">
        <v>2931</v>
      </c>
      <c r="S644">
        <v>1</v>
      </c>
      <c r="T644" t="s">
        <v>276</v>
      </c>
      <c r="U644" t="s">
        <v>66</v>
      </c>
      <c r="V644" t="s">
        <v>2932</v>
      </c>
      <c r="W644" t="s">
        <v>222</v>
      </c>
      <c r="Y644">
        <f t="shared" si="99"/>
        <v>0</v>
      </c>
      <c r="Z644">
        <f t="shared" si="100"/>
        <v>0</v>
      </c>
      <c r="AA644">
        <f t="shared" si="101"/>
        <v>0</v>
      </c>
      <c r="AB644">
        <f t="shared" si="102"/>
        <v>0</v>
      </c>
      <c r="AC644">
        <f t="shared" si="103"/>
        <v>0</v>
      </c>
      <c r="AD644">
        <f t="shared" si="104"/>
        <v>0</v>
      </c>
      <c r="AE644">
        <f t="shared" si="105"/>
        <v>0</v>
      </c>
      <c r="AF644">
        <f t="shared" si="106"/>
        <v>0</v>
      </c>
      <c r="AG644">
        <f t="shared" si="107"/>
        <v>0</v>
      </c>
      <c r="AH644" t="s">
        <v>614</v>
      </c>
      <c r="AI644" t="s">
        <v>615</v>
      </c>
      <c r="AJ644" t="s">
        <v>635</v>
      </c>
    </row>
    <row r="645" spans="1:36" x14ac:dyDescent="0.2">
      <c r="A645" t="s">
        <v>233</v>
      </c>
      <c r="B645" t="s">
        <v>479</v>
      </c>
      <c r="C645" t="s">
        <v>39</v>
      </c>
      <c r="D645" t="s">
        <v>959</v>
      </c>
      <c r="E645" s="6" t="s">
        <v>22</v>
      </c>
      <c r="F645" s="6">
        <v>1</v>
      </c>
      <c r="G645" s="6" t="s">
        <v>522</v>
      </c>
      <c r="I645" t="s">
        <v>962</v>
      </c>
      <c r="J645" t="s">
        <v>963</v>
      </c>
      <c r="L645" t="s">
        <v>48</v>
      </c>
      <c r="M645">
        <v>1</v>
      </c>
      <c r="P645" t="s">
        <v>2933</v>
      </c>
      <c r="Q645">
        <v>3</v>
      </c>
      <c r="R645" t="s">
        <v>2934</v>
      </c>
      <c r="S645">
        <v>3</v>
      </c>
      <c r="V645" t="s">
        <v>2935</v>
      </c>
      <c r="W645" t="s">
        <v>222</v>
      </c>
      <c r="Y645">
        <f t="shared" si="99"/>
        <v>0</v>
      </c>
      <c r="Z645">
        <f t="shared" si="100"/>
        <v>0</v>
      </c>
      <c r="AA645">
        <f t="shared" si="101"/>
        <v>1</v>
      </c>
      <c r="AB645">
        <f t="shared" si="102"/>
        <v>0</v>
      </c>
      <c r="AC645">
        <f t="shared" si="103"/>
        <v>0</v>
      </c>
      <c r="AD645">
        <f t="shared" si="104"/>
        <v>0</v>
      </c>
      <c r="AE645">
        <f t="shared" si="105"/>
        <v>0</v>
      </c>
      <c r="AF645">
        <f t="shared" si="106"/>
        <v>0</v>
      </c>
      <c r="AG645">
        <f t="shared" si="107"/>
        <v>0</v>
      </c>
      <c r="AH645" t="s">
        <v>614</v>
      </c>
      <c r="AI645" t="s">
        <v>615</v>
      </c>
      <c r="AJ645" t="s">
        <v>635</v>
      </c>
    </row>
    <row r="646" spans="1:36" x14ac:dyDescent="0.2">
      <c r="A646" t="s">
        <v>233</v>
      </c>
      <c r="B646" t="s">
        <v>479</v>
      </c>
      <c r="C646" t="s">
        <v>39</v>
      </c>
      <c r="D646" t="s">
        <v>959</v>
      </c>
      <c r="E646" s="6" t="s">
        <v>22</v>
      </c>
      <c r="F646" s="6">
        <v>1</v>
      </c>
      <c r="G646" s="6" t="s">
        <v>522</v>
      </c>
      <c r="I646" t="s">
        <v>962</v>
      </c>
      <c r="J646" t="s">
        <v>963</v>
      </c>
      <c r="L646" t="s">
        <v>48</v>
      </c>
      <c r="M646">
        <v>1</v>
      </c>
      <c r="P646" t="s">
        <v>2936</v>
      </c>
      <c r="Q646">
        <v>4</v>
      </c>
      <c r="R646" t="s">
        <v>2937</v>
      </c>
      <c r="S646">
        <v>4</v>
      </c>
      <c r="V646" t="s">
        <v>2454</v>
      </c>
      <c r="W646" t="s">
        <v>222</v>
      </c>
      <c r="Y646">
        <f t="shared" si="99"/>
        <v>0</v>
      </c>
      <c r="Z646">
        <f t="shared" si="100"/>
        <v>0</v>
      </c>
      <c r="AA646">
        <f t="shared" si="101"/>
        <v>3</v>
      </c>
      <c r="AB646">
        <f t="shared" si="102"/>
        <v>0</v>
      </c>
      <c r="AC646">
        <f t="shared" si="103"/>
        <v>0</v>
      </c>
      <c r="AD646">
        <f t="shared" si="104"/>
        <v>0</v>
      </c>
      <c r="AE646">
        <f t="shared" si="105"/>
        <v>0</v>
      </c>
      <c r="AF646">
        <f t="shared" si="106"/>
        <v>0</v>
      </c>
      <c r="AG646">
        <f t="shared" si="107"/>
        <v>0</v>
      </c>
      <c r="AH646" t="s">
        <v>614</v>
      </c>
      <c r="AI646" t="s">
        <v>615</v>
      </c>
      <c r="AJ646" t="s">
        <v>635</v>
      </c>
    </row>
    <row r="647" spans="1:36" x14ac:dyDescent="0.2">
      <c r="A647" t="s">
        <v>233</v>
      </c>
      <c r="B647" t="s">
        <v>480</v>
      </c>
      <c r="C647" t="s">
        <v>37</v>
      </c>
      <c r="D647" t="s">
        <v>912</v>
      </c>
      <c r="E647" s="6" t="s">
        <v>32</v>
      </c>
      <c r="F647" s="6">
        <v>0.6</v>
      </c>
      <c r="G647" s="6" t="s">
        <v>20</v>
      </c>
      <c r="H647" s="6">
        <v>0.4</v>
      </c>
      <c r="I647" t="s">
        <v>964</v>
      </c>
      <c r="J647" t="s">
        <v>965</v>
      </c>
      <c r="L647" t="s">
        <v>48</v>
      </c>
      <c r="M647">
        <v>1.1000000000000001</v>
      </c>
      <c r="P647" t="s">
        <v>2938</v>
      </c>
      <c r="Q647">
        <v>1</v>
      </c>
      <c r="R647" t="s">
        <v>1017</v>
      </c>
      <c r="S647">
        <v>0</v>
      </c>
      <c r="T647" t="s">
        <v>273</v>
      </c>
      <c r="U647" t="s">
        <v>65</v>
      </c>
      <c r="V647" t="s">
        <v>2939</v>
      </c>
      <c r="W647" t="s">
        <v>222</v>
      </c>
      <c r="Y647">
        <f t="shared" si="99"/>
        <v>0</v>
      </c>
      <c r="Z647">
        <f t="shared" si="100"/>
        <v>0</v>
      </c>
      <c r="AA647">
        <f t="shared" si="101"/>
        <v>4</v>
      </c>
      <c r="AB647">
        <f t="shared" si="102"/>
        <v>0</v>
      </c>
      <c r="AC647">
        <f t="shared" si="103"/>
        <v>0</v>
      </c>
      <c r="AD647">
        <f t="shared" si="104"/>
        <v>0</v>
      </c>
      <c r="AE647">
        <f t="shared" si="105"/>
        <v>0</v>
      </c>
      <c r="AF647">
        <f t="shared" si="106"/>
        <v>0</v>
      </c>
      <c r="AG647">
        <f t="shared" si="107"/>
        <v>0</v>
      </c>
      <c r="AH647" t="s">
        <v>614</v>
      </c>
      <c r="AI647" t="s">
        <v>615</v>
      </c>
      <c r="AJ647" t="s">
        <v>616</v>
      </c>
    </row>
    <row r="648" spans="1:36" x14ac:dyDescent="0.2">
      <c r="A648" t="s">
        <v>233</v>
      </c>
      <c r="B648" t="s">
        <v>480</v>
      </c>
      <c r="C648" t="s">
        <v>37</v>
      </c>
      <c r="D648" t="s">
        <v>912</v>
      </c>
      <c r="E648" s="6" t="s">
        <v>32</v>
      </c>
      <c r="F648" s="6">
        <v>0.6</v>
      </c>
      <c r="G648" s="6" t="s">
        <v>20</v>
      </c>
      <c r="H648" s="6">
        <v>0.4</v>
      </c>
      <c r="I648" t="s">
        <v>964</v>
      </c>
      <c r="J648" t="s">
        <v>965</v>
      </c>
      <c r="L648" t="s">
        <v>48</v>
      </c>
      <c r="M648">
        <v>1.1000000000000001</v>
      </c>
      <c r="P648" t="s">
        <v>2940</v>
      </c>
      <c r="Q648">
        <v>2</v>
      </c>
      <c r="R648" t="s">
        <v>2941</v>
      </c>
      <c r="S648">
        <v>0</v>
      </c>
      <c r="T648" t="s">
        <v>178</v>
      </c>
      <c r="U648" t="s">
        <v>55</v>
      </c>
      <c r="V648" t="s">
        <v>2942</v>
      </c>
      <c r="W648" t="s">
        <v>222</v>
      </c>
      <c r="Y648">
        <f t="shared" si="99"/>
        <v>0</v>
      </c>
      <c r="Z648">
        <f t="shared" si="100"/>
        <v>0</v>
      </c>
      <c r="AA648">
        <f t="shared" si="101"/>
        <v>0</v>
      </c>
      <c r="AB648">
        <f t="shared" si="102"/>
        <v>0</v>
      </c>
      <c r="AC648">
        <f t="shared" si="103"/>
        <v>0</v>
      </c>
      <c r="AD648">
        <f t="shared" si="104"/>
        <v>0</v>
      </c>
      <c r="AE648">
        <f t="shared" si="105"/>
        <v>0</v>
      </c>
      <c r="AF648">
        <f t="shared" si="106"/>
        <v>0</v>
      </c>
      <c r="AG648">
        <f t="shared" si="107"/>
        <v>0</v>
      </c>
      <c r="AH648" t="s">
        <v>614</v>
      </c>
      <c r="AI648" t="s">
        <v>615</v>
      </c>
      <c r="AJ648" t="s">
        <v>616</v>
      </c>
    </row>
    <row r="649" spans="1:36" x14ac:dyDescent="0.2">
      <c r="A649" t="s">
        <v>233</v>
      </c>
      <c r="B649" t="s">
        <v>480</v>
      </c>
      <c r="C649" t="s">
        <v>37</v>
      </c>
      <c r="D649" t="s">
        <v>912</v>
      </c>
      <c r="E649" s="6" t="s">
        <v>32</v>
      </c>
      <c r="F649" s="6">
        <v>0.6</v>
      </c>
      <c r="G649" s="6" t="s">
        <v>20</v>
      </c>
      <c r="H649" s="6">
        <v>0.4</v>
      </c>
      <c r="I649" t="s">
        <v>964</v>
      </c>
      <c r="J649" t="s">
        <v>965</v>
      </c>
      <c r="L649" t="s">
        <v>48</v>
      </c>
      <c r="M649">
        <v>1.1000000000000001</v>
      </c>
      <c r="P649" t="s">
        <v>2943</v>
      </c>
      <c r="Q649">
        <v>3</v>
      </c>
      <c r="R649" t="s">
        <v>2944</v>
      </c>
      <c r="S649">
        <v>1</v>
      </c>
      <c r="T649" t="s">
        <v>255</v>
      </c>
      <c r="U649" t="s">
        <v>60</v>
      </c>
      <c r="V649" t="s">
        <v>2945</v>
      </c>
      <c r="W649" t="s">
        <v>222</v>
      </c>
      <c r="Y649">
        <f t="shared" si="99"/>
        <v>0</v>
      </c>
      <c r="Z649">
        <f t="shared" si="100"/>
        <v>0</v>
      </c>
      <c r="AA649">
        <f t="shared" si="101"/>
        <v>0</v>
      </c>
      <c r="AB649">
        <f t="shared" si="102"/>
        <v>0</v>
      </c>
      <c r="AC649">
        <f t="shared" si="103"/>
        <v>0</v>
      </c>
      <c r="AD649">
        <f t="shared" si="104"/>
        <v>0</v>
      </c>
      <c r="AE649">
        <f t="shared" si="105"/>
        <v>0</v>
      </c>
      <c r="AF649">
        <f t="shared" si="106"/>
        <v>0</v>
      </c>
      <c r="AG649">
        <f t="shared" si="107"/>
        <v>0</v>
      </c>
      <c r="AH649" t="s">
        <v>614</v>
      </c>
      <c r="AI649" t="s">
        <v>615</v>
      </c>
      <c r="AJ649" t="s">
        <v>616</v>
      </c>
    </row>
    <row r="650" spans="1:36" x14ac:dyDescent="0.2">
      <c r="A650" t="s">
        <v>233</v>
      </c>
      <c r="B650" t="s">
        <v>480</v>
      </c>
      <c r="C650" t="s">
        <v>37</v>
      </c>
      <c r="D650" t="s">
        <v>912</v>
      </c>
      <c r="E650" s="6" t="s">
        <v>32</v>
      </c>
      <c r="F650" s="6">
        <v>0.6</v>
      </c>
      <c r="G650" s="6" t="s">
        <v>20</v>
      </c>
      <c r="H650" s="6">
        <v>0.4</v>
      </c>
      <c r="I650" t="s">
        <v>964</v>
      </c>
      <c r="J650" t="s">
        <v>965</v>
      </c>
      <c r="L650" t="s">
        <v>48</v>
      </c>
      <c r="M650">
        <v>1.1000000000000001</v>
      </c>
      <c r="P650" t="s">
        <v>2946</v>
      </c>
      <c r="Q650">
        <v>4</v>
      </c>
      <c r="R650" t="s">
        <v>2947</v>
      </c>
      <c r="S650">
        <v>3</v>
      </c>
      <c r="V650" t="s">
        <v>2948</v>
      </c>
      <c r="W650" t="s">
        <v>222</v>
      </c>
      <c r="Y650">
        <f t="shared" si="99"/>
        <v>0</v>
      </c>
      <c r="Z650">
        <f t="shared" si="100"/>
        <v>0.4</v>
      </c>
      <c r="AA650">
        <f t="shared" si="101"/>
        <v>0</v>
      </c>
      <c r="AB650">
        <f t="shared" si="102"/>
        <v>0</v>
      </c>
      <c r="AC650">
        <f t="shared" si="103"/>
        <v>0</v>
      </c>
      <c r="AD650">
        <f t="shared" si="104"/>
        <v>0</v>
      </c>
      <c r="AE650">
        <f t="shared" si="105"/>
        <v>0</v>
      </c>
      <c r="AF650">
        <f t="shared" si="106"/>
        <v>0.6</v>
      </c>
      <c r="AG650">
        <f t="shared" si="107"/>
        <v>0</v>
      </c>
      <c r="AH650" t="s">
        <v>614</v>
      </c>
      <c r="AI650" t="s">
        <v>615</v>
      </c>
      <c r="AJ650" t="s">
        <v>616</v>
      </c>
    </row>
    <row r="651" spans="1:36" x14ac:dyDescent="0.2">
      <c r="A651" t="s">
        <v>233</v>
      </c>
      <c r="B651" t="s">
        <v>480</v>
      </c>
      <c r="C651" t="s">
        <v>37</v>
      </c>
      <c r="D651" t="s">
        <v>912</v>
      </c>
      <c r="E651" s="6" t="s">
        <v>32</v>
      </c>
      <c r="F651" s="6">
        <v>0.6</v>
      </c>
      <c r="G651" s="6" t="s">
        <v>20</v>
      </c>
      <c r="H651" s="6">
        <v>0.4</v>
      </c>
      <c r="I651" t="s">
        <v>964</v>
      </c>
      <c r="J651" t="s">
        <v>965</v>
      </c>
      <c r="L651" t="s">
        <v>48</v>
      </c>
      <c r="M651">
        <v>1.1000000000000001</v>
      </c>
      <c r="P651" t="s">
        <v>2949</v>
      </c>
      <c r="Q651">
        <v>5</v>
      </c>
      <c r="R651" t="s">
        <v>2950</v>
      </c>
      <c r="S651">
        <v>4</v>
      </c>
      <c r="V651" t="s">
        <v>2454</v>
      </c>
      <c r="W651" t="s">
        <v>222</v>
      </c>
      <c r="Y651">
        <f t="shared" si="99"/>
        <v>0</v>
      </c>
      <c r="Z651">
        <f t="shared" si="100"/>
        <v>1.2000000000000002</v>
      </c>
      <c r="AA651">
        <f t="shared" si="101"/>
        <v>0</v>
      </c>
      <c r="AB651">
        <f t="shared" si="102"/>
        <v>0</v>
      </c>
      <c r="AC651">
        <f t="shared" si="103"/>
        <v>0</v>
      </c>
      <c r="AD651">
        <f t="shared" si="104"/>
        <v>0</v>
      </c>
      <c r="AE651">
        <f t="shared" si="105"/>
        <v>0</v>
      </c>
      <c r="AF651">
        <f t="shared" si="106"/>
        <v>1.7999999999999998</v>
      </c>
      <c r="AG651">
        <f t="shared" si="107"/>
        <v>0</v>
      </c>
      <c r="AH651" t="s">
        <v>614</v>
      </c>
      <c r="AI651" t="s">
        <v>615</v>
      </c>
      <c r="AJ651" t="s">
        <v>616</v>
      </c>
    </row>
    <row r="652" spans="1:36" x14ac:dyDescent="0.2">
      <c r="A652" t="s">
        <v>233</v>
      </c>
      <c r="B652" t="s">
        <v>481</v>
      </c>
      <c r="C652" t="s">
        <v>39</v>
      </c>
      <c r="D652" t="s">
        <v>912</v>
      </c>
      <c r="E652" s="6" t="s">
        <v>32</v>
      </c>
      <c r="F652" s="6">
        <v>0.7</v>
      </c>
      <c r="G652" s="6" t="s">
        <v>18</v>
      </c>
      <c r="H652" s="6">
        <v>0.3</v>
      </c>
      <c r="I652" t="s">
        <v>966</v>
      </c>
      <c r="J652" t="s">
        <v>967</v>
      </c>
      <c r="L652" t="s">
        <v>48</v>
      </c>
      <c r="M652">
        <v>1</v>
      </c>
      <c r="P652" t="s">
        <v>2951</v>
      </c>
      <c r="Q652">
        <v>1</v>
      </c>
      <c r="R652" t="s">
        <v>2952</v>
      </c>
      <c r="S652">
        <v>0</v>
      </c>
      <c r="T652" t="s">
        <v>178</v>
      </c>
      <c r="U652" t="s">
        <v>55</v>
      </c>
      <c r="V652" t="s">
        <v>2953</v>
      </c>
      <c r="W652" t="s">
        <v>222</v>
      </c>
      <c r="Y652">
        <f t="shared" si="99"/>
        <v>0</v>
      </c>
      <c r="Z652">
        <f t="shared" si="100"/>
        <v>1.6</v>
      </c>
      <c r="AA652">
        <f t="shared" si="101"/>
        <v>0</v>
      </c>
      <c r="AB652">
        <f t="shared" si="102"/>
        <v>0</v>
      </c>
      <c r="AC652">
        <f t="shared" si="103"/>
        <v>0</v>
      </c>
      <c r="AD652">
        <f t="shared" si="104"/>
        <v>0</v>
      </c>
      <c r="AE652">
        <f t="shared" si="105"/>
        <v>0</v>
      </c>
      <c r="AF652">
        <f t="shared" si="106"/>
        <v>2.4</v>
      </c>
      <c r="AG652">
        <f t="shared" si="107"/>
        <v>0</v>
      </c>
      <c r="AH652" t="s">
        <v>614</v>
      </c>
      <c r="AI652" t="s">
        <v>615</v>
      </c>
      <c r="AJ652" t="s">
        <v>616</v>
      </c>
    </row>
    <row r="653" spans="1:36" x14ac:dyDescent="0.2">
      <c r="A653" t="s">
        <v>233</v>
      </c>
      <c r="B653" t="s">
        <v>481</v>
      </c>
      <c r="C653" t="s">
        <v>39</v>
      </c>
      <c r="D653" t="s">
        <v>912</v>
      </c>
      <c r="E653" s="6" t="s">
        <v>32</v>
      </c>
      <c r="F653" s="6">
        <v>0.7</v>
      </c>
      <c r="G653" s="6" t="s">
        <v>18</v>
      </c>
      <c r="H653" s="6">
        <v>0.3</v>
      </c>
      <c r="I653" t="s">
        <v>966</v>
      </c>
      <c r="J653" t="s">
        <v>967</v>
      </c>
      <c r="L653" t="s">
        <v>48</v>
      </c>
      <c r="M653">
        <v>1</v>
      </c>
      <c r="P653" t="s">
        <v>2954</v>
      </c>
      <c r="Q653">
        <v>2</v>
      </c>
      <c r="R653" t="s">
        <v>2955</v>
      </c>
      <c r="S653">
        <v>1</v>
      </c>
      <c r="T653" t="s">
        <v>255</v>
      </c>
      <c r="U653" t="s">
        <v>60</v>
      </c>
      <c r="V653" t="s">
        <v>2956</v>
      </c>
      <c r="W653" t="s">
        <v>222</v>
      </c>
      <c r="Y653">
        <f t="shared" si="99"/>
        <v>0</v>
      </c>
      <c r="Z653">
        <f t="shared" si="100"/>
        <v>0</v>
      </c>
      <c r="AA653">
        <f t="shared" si="101"/>
        <v>0</v>
      </c>
      <c r="AB653">
        <f t="shared" si="102"/>
        <v>0</v>
      </c>
      <c r="AC653">
        <f t="shared" si="103"/>
        <v>0</v>
      </c>
      <c r="AD653">
        <f t="shared" si="104"/>
        <v>0</v>
      </c>
      <c r="AE653">
        <f t="shared" si="105"/>
        <v>0</v>
      </c>
      <c r="AF653">
        <f t="shared" si="106"/>
        <v>0</v>
      </c>
      <c r="AG653">
        <f t="shared" si="107"/>
        <v>0</v>
      </c>
      <c r="AH653" t="s">
        <v>614</v>
      </c>
      <c r="AI653" t="s">
        <v>615</v>
      </c>
      <c r="AJ653" t="s">
        <v>616</v>
      </c>
    </row>
    <row r="654" spans="1:36" x14ac:dyDescent="0.2">
      <c r="A654" t="s">
        <v>233</v>
      </c>
      <c r="B654" t="s">
        <v>481</v>
      </c>
      <c r="C654" t="s">
        <v>39</v>
      </c>
      <c r="D654" t="s">
        <v>912</v>
      </c>
      <c r="E654" s="6" t="s">
        <v>32</v>
      </c>
      <c r="F654" s="6">
        <v>0.7</v>
      </c>
      <c r="G654" s="6" t="s">
        <v>18</v>
      </c>
      <c r="H654" s="6">
        <v>0.3</v>
      </c>
      <c r="I654" t="s">
        <v>966</v>
      </c>
      <c r="J654" t="s">
        <v>967</v>
      </c>
      <c r="L654" t="s">
        <v>48</v>
      </c>
      <c r="M654">
        <v>1</v>
      </c>
      <c r="P654" t="s">
        <v>2957</v>
      </c>
      <c r="Q654">
        <v>3</v>
      </c>
      <c r="R654" t="s">
        <v>2958</v>
      </c>
      <c r="S654">
        <v>3</v>
      </c>
      <c r="V654" t="s">
        <v>2959</v>
      </c>
      <c r="W654" t="s">
        <v>222</v>
      </c>
      <c r="Y654">
        <f t="shared" si="99"/>
        <v>0.3</v>
      </c>
      <c r="Z654">
        <f t="shared" si="100"/>
        <v>0</v>
      </c>
      <c r="AA654">
        <f t="shared" si="101"/>
        <v>0</v>
      </c>
      <c r="AB654">
        <f t="shared" si="102"/>
        <v>0</v>
      </c>
      <c r="AC654">
        <f t="shared" si="103"/>
        <v>0</v>
      </c>
      <c r="AD654">
        <f t="shared" si="104"/>
        <v>0</v>
      </c>
      <c r="AE654">
        <f t="shared" si="105"/>
        <v>0</v>
      </c>
      <c r="AF654">
        <f t="shared" si="106"/>
        <v>0.7</v>
      </c>
      <c r="AG654">
        <f t="shared" si="107"/>
        <v>0</v>
      </c>
      <c r="AH654" t="s">
        <v>614</v>
      </c>
      <c r="AI654" t="s">
        <v>615</v>
      </c>
      <c r="AJ654" t="s">
        <v>616</v>
      </c>
    </row>
    <row r="655" spans="1:36" x14ac:dyDescent="0.2">
      <c r="A655" t="s">
        <v>233</v>
      </c>
      <c r="B655" t="s">
        <v>481</v>
      </c>
      <c r="C655" t="s">
        <v>39</v>
      </c>
      <c r="D655" t="s">
        <v>912</v>
      </c>
      <c r="E655" s="6" t="s">
        <v>32</v>
      </c>
      <c r="F655" s="6">
        <v>0.7</v>
      </c>
      <c r="G655" s="6" t="s">
        <v>18</v>
      </c>
      <c r="H655" s="6">
        <v>0.3</v>
      </c>
      <c r="I655" t="s">
        <v>966</v>
      </c>
      <c r="J655" t="s">
        <v>967</v>
      </c>
      <c r="L655" t="s">
        <v>48</v>
      </c>
      <c r="M655">
        <v>1</v>
      </c>
      <c r="P655" t="s">
        <v>2960</v>
      </c>
      <c r="Q655">
        <v>4</v>
      </c>
      <c r="R655" t="s">
        <v>2961</v>
      </c>
      <c r="S655">
        <v>4</v>
      </c>
      <c r="V655" t="s">
        <v>2454</v>
      </c>
      <c r="W655" t="s">
        <v>222</v>
      </c>
      <c r="Y655">
        <f t="shared" si="99"/>
        <v>0.89999999999999991</v>
      </c>
      <c r="Z655">
        <f t="shared" si="100"/>
        <v>0</v>
      </c>
      <c r="AA655">
        <f t="shared" si="101"/>
        <v>0</v>
      </c>
      <c r="AB655">
        <f t="shared" si="102"/>
        <v>0</v>
      </c>
      <c r="AC655">
        <f t="shared" si="103"/>
        <v>0</v>
      </c>
      <c r="AD655">
        <f t="shared" si="104"/>
        <v>0</v>
      </c>
      <c r="AE655">
        <f t="shared" si="105"/>
        <v>0</v>
      </c>
      <c r="AF655">
        <f t="shared" si="106"/>
        <v>2.0999999999999996</v>
      </c>
      <c r="AG655">
        <f t="shared" si="107"/>
        <v>0</v>
      </c>
      <c r="AH655" t="s">
        <v>614</v>
      </c>
      <c r="AI655" t="s">
        <v>615</v>
      </c>
      <c r="AJ655" t="s">
        <v>616</v>
      </c>
    </row>
    <row r="656" spans="1:36" x14ac:dyDescent="0.2">
      <c r="A656" t="s">
        <v>233</v>
      </c>
      <c r="B656" t="s">
        <v>482</v>
      </c>
      <c r="C656" t="s">
        <v>37</v>
      </c>
      <c r="D656" t="s">
        <v>968</v>
      </c>
      <c r="E656" s="6" t="s">
        <v>30</v>
      </c>
      <c r="F656" s="6">
        <v>0.6</v>
      </c>
      <c r="G656" s="6" t="s">
        <v>22</v>
      </c>
      <c r="H656" s="6">
        <v>0.4</v>
      </c>
      <c r="I656" t="s">
        <v>969</v>
      </c>
      <c r="J656" t="s">
        <v>970</v>
      </c>
      <c r="L656" t="s">
        <v>48</v>
      </c>
      <c r="M656">
        <v>1.4</v>
      </c>
      <c r="N656">
        <v>0.5</v>
      </c>
      <c r="P656" t="s">
        <v>2962</v>
      </c>
      <c r="Q656">
        <v>1</v>
      </c>
      <c r="R656" t="s">
        <v>2963</v>
      </c>
      <c r="S656">
        <v>0</v>
      </c>
      <c r="T656" t="s">
        <v>265</v>
      </c>
      <c r="U656" t="s">
        <v>62</v>
      </c>
      <c r="V656" t="s">
        <v>2964</v>
      </c>
      <c r="W656" t="s">
        <v>222</v>
      </c>
      <c r="Y656">
        <f t="shared" si="99"/>
        <v>1.2</v>
      </c>
      <c r="Z656">
        <f t="shared" si="100"/>
        <v>0</v>
      </c>
      <c r="AA656">
        <f t="shared" si="101"/>
        <v>0</v>
      </c>
      <c r="AB656">
        <f t="shared" si="102"/>
        <v>0</v>
      </c>
      <c r="AC656">
        <f t="shared" si="103"/>
        <v>0</v>
      </c>
      <c r="AD656">
        <f t="shared" si="104"/>
        <v>0</v>
      </c>
      <c r="AE656">
        <f t="shared" si="105"/>
        <v>0</v>
      </c>
      <c r="AF656">
        <f t="shared" si="106"/>
        <v>2.8</v>
      </c>
      <c r="AG656">
        <f t="shared" si="107"/>
        <v>0</v>
      </c>
      <c r="AH656" t="s">
        <v>550</v>
      </c>
      <c r="AI656" t="s">
        <v>551</v>
      </c>
      <c r="AJ656" t="s">
        <v>552</v>
      </c>
    </row>
    <row r="657" spans="1:36" x14ac:dyDescent="0.2">
      <c r="A657" t="s">
        <v>233</v>
      </c>
      <c r="B657" t="s">
        <v>482</v>
      </c>
      <c r="C657" t="s">
        <v>37</v>
      </c>
      <c r="D657" t="s">
        <v>968</v>
      </c>
      <c r="E657" s="6" t="s">
        <v>30</v>
      </c>
      <c r="F657" s="6">
        <v>0.6</v>
      </c>
      <c r="G657" s="6" t="s">
        <v>22</v>
      </c>
      <c r="H657" s="6">
        <v>0.4</v>
      </c>
      <c r="I657" t="s">
        <v>969</v>
      </c>
      <c r="J657" t="s">
        <v>970</v>
      </c>
      <c r="L657" t="s">
        <v>48</v>
      </c>
      <c r="M657">
        <v>1.4</v>
      </c>
      <c r="N657">
        <v>0.5</v>
      </c>
      <c r="P657" t="s">
        <v>2965</v>
      </c>
      <c r="Q657">
        <v>2</v>
      </c>
      <c r="R657" t="s">
        <v>2966</v>
      </c>
      <c r="S657">
        <v>1</v>
      </c>
      <c r="T657" t="s">
        <v>265</v>
      </c>
      <c r="U657" t="s">
        <v>62</v>
      </c>
      <c r="V657" t="s">
        <v>2967</v>
      </c>
      <c r="W657" t="s">
        <v>222</v>
      </c>
      <c r="Y657">
        <f t="shared" si="99"/>
        <v>0</v>
      </c>
      <c r="Z657">
        <f t="shared" si="100"/>
        <v>0</v>
      </c>
      <c r="AA657">
        <f t="shared" si="101"/>
        <v>0</v>
      </c>
      <c r="AB657">
        <f t="shared" si="102"/>
        <v>0</v>
      </c>
      <c r="AC657">
        <f t="shared" si="103"/>
        <v>0</v>
      </c>
      <c r="AD657">
        <f t="shared" si="104"/>
        <v>0</v>
      </c>
      <c r="AE657">
        <f t="shared" si="105"/>
        <v>0</v>
      </c>
      <c r="AF657">
        <f t="shared" si="106"/>
        <v>0</v>
      </c>
      <c r="AG657">
        <f t="shared" si="107"/>
        <v>0</v>
      </c>
      <c r="AH657" t="s">
        <v>550</v>
      </c>
      <c r="AI657" t="s">
        <v>551</v>
      </c>
      <c r="AJ657" t="s">
        <v>552</v>
      </c>
    </row>
    <row r="658" spans="1:36" x14ac:dyDescent="0.2">
      <c r="A658" t="s">
        <v>233</v>
      </c>
      <c r="B658" t="s">
        <v>482</v>
      </c>
      <c r="C658" t="s">
        <v>37</v>
      </c>
      <c r="D658" t="s">
        <v>968</v>
      </c>
      <c r="E658" s="6" t="s">
        <v>30</v>
      </c>
      <c r="F658" s="6">
        <v>0.6</v>
      </c>
      <c r="G658" s="6" t="s">
        <v>22</v>
      </c>
      <c r="H658" s="6">
        <v>0.4</v>
      </c>
      <c r="I658" t="s">
        <v>969</v>
      </c>
      <c r="J658" t="s">
        <v>970</v>
      </c>
      <c r="L658" t="s">
        <v>48</v>
      </c>
      <c r="M658">
        <v>1.4</v>
      </c>
      <c r="N658">
        <v>0.5</v>
      </c>
      <c r="P658" t="s">
        <v>2968</v>
      </c>
      <c r="Q658">
        <v>3</v>
      </c>
      <c r="R658" t="s">
        <v>2969</v>
      </c>
      <c r="S658">
        <v>3</v>
      </c>
      <c r="V658" t="s">
        <v>2970</v>
      </c>
      <c r="W658" t="s">
        <v>222</v>
      </c>
      <c r="Y658">
        <f t="shared" si="99"/>
        <v>0</v>
      </c>
      <c r="Z658">
        <f t="shared" si="100"/>
        <v>0</v>
      </c>
      <c r="AA658">
        <f t="shared" si="101"/>
        <v>0.4</v>
      </c>
      <c r="AB658">
        <f t="shared" si="102"/>
        <v>0</v>
      </c>
      <c r="AC658">
        <f t="shared" si="103"/>
        <v>0</v>
      </c>
      <c r="AD658">
        <f t="shared" si="104"/>
        <v>0</v>
      </c>
      <c r="AE658">
        <f t="shared" si="105"/>
        <v>0.6</v>
      </c>
      <c r="AF658">
        <f t="shared" si="106"/>
        <v>0</v>
      </c>
      <c r="AG658">
        <f t="shared" si="107"/>
        <v>0</v>
      </c>
      <c r="AH658" t="s">
        <v>550</v>
      </c>
      <c r="AI658" t="s">
        <v>551</v>
      </c>
      <c r="AJ658" t="s">
        <v>552</v>
      </c>
    </row>
    <row r="659" spans="1:36" x14ac:dyDescent="0.2">
      <c r="A659" t="s">
        <v>233</v>
      </c>
      <c r="B659" t="s">
        <v>482</v>
      </c>
      <c r="C659" t="s">
        <v>37</v>
      </c>
      <c r="D659" t="s">
        <v>968</v>
      </c>
      <c r="E659" s="6" t="s">
        <v>30</v>
      </c>
      <c r="F659" s="6">
        <v>0.6</v>
      </c>
      <c r="G659" s="6" t="s">
        <v>22</v>
      </c>
      <c r="H659" s="6">
        <v>0.4</v>
      </c>
      <c r="I659" t="s">
        <v>969</v>
      </c>
      <c r="J659" t="s">
        <v>970</v>
      </c>
      <c r="L659" t="s">
        <v>48</v>
      </c>
      <c r="M659">
        <v>1.4</v>
      </c>
      <c r="N659">
        <v>0.5</v>
      </c>
      <c r="P659" t="s">
        <v>2971</v>
      </c>
      <c r="Q659">
        <v>4</v>
      </c>
      <c r="R659" t="s">
        <v>2972</v>
      </c>
      <c r="S659">
        <v>4</v>
      </c>
      <c r="V659" t="s">
        <v>2454</v>
      </c>
      <c r="W659" t="s">
        <v>222</v>
      </c>
      <c r="Y659">
        <f t="shared" si="99"/>
        <v>0</v>
      </c>
      <c r="Z659">
        <f t="shared" si="100"/>
        <v>0</v>
      </c>
      <c r="AA659">
        <f t="shared" si="101"/>
        <v>1.2000000000000002</v>
      </c>
      <c r="AB659">
        <f t="shared" si="102"/>
        <v>0</v>
      </c>
      <c r="AC659">
        <f t="shared" si="103"/>
        <v>0</v>
      </c>
      <c r="AD659">
        <f t="shared" si="104"/>
        <v>0</v>
      </c>
      <c r="AE659">
        <f t="shared" si="105"/>
        <v>1.7999999999999998</v>
      </c>
      <c r="AF659">
        <f t="shared" si="106"/>
        <v>0</v>
      </c>
      <c r="AG659">
        <f t="shared" si="107"/>
        <v>0</v>
      </c>
      <c r="AH659" t="s">
        <v>550</v>
      </c>
      <c r="AI659" t="s">
        <v>551</v>
      </c>
      <c r="AJ659" t="s">
        <v>552</v>
      </c>
    </row>
    <row r="660" spans="1:36" x14ac:dyDescent="0.2">
      <c r="A660" t="s">
        <v>233</v>
      </c>
      <c r="B660" t="s">
        <v>483</v>
      </c>
      <c r="C660" t="s">
        <v>39</v>
      </c>
      <c r="D660" t="s">
        <v>968</v>
      </c>
      <c r="E660" s="6" t="s">
        <v>22</v>
      </c>
      <c r="F660" s="6">
        <v>0.6</v>
      </c>
      <c r="G660" s="6" t="s">
        <v>30</v>
      </c>
      <c r="H660" s="6">
        <v>0.4</v>
      </c>
      <c r="I660" t="s">
        <v>971</v>
      </c>
      <c r="J660" t="s">
        <v>972</v>
      </c>
      <c r="L660" t="s">
        <v>48</v>
      </c>
      <c r="M660">
        <v>1.1000000000000001</v>
      </c>
      <c r="P660" t="s">
        <v>2973</v>
      </c>
      <c r="Q660">
        <v>1</v>
      </c>
      <c r="R660" t="s">
        <v>2974</v>
      </c>
      <c r="S660">
        <v>0</v>
      </c>
      <c r="T660" t="s">
        <v>265</v>
      </c>
      <c r="U660" t="s">
        <v>62</v>
      </c>
      <c r="V660" t="s">
        <v>2975</v>
      </c>
      <c r="W660" t="s">
        <v>222</v>
      </c>
      <c r="Y660">
        <f t="shared" si="99"/>
        <v>0</v>
      </c>
      <c r="Z660">
        <f t="shared" si="100"/>
        <v>0</v>
      </c>
      <c r="AA660">
        <f t="shared" si="101"/>
        <v>1.6</v>
      </c>
      <c r="AB660">
        <f t="shared" si="102"/>
        <v>0</v>
      </c>
      <c r="AC660">
        <f t="shared" si="103"/>
        <v>0</v>
      </c>
      <c r="AD660">
        <f t="shared" si="104"/>
        <v>0</v>
      </c>
      <c r="AE660">
        <f t="shared" si="105"/>
        <v>2.4</v>
      </c>
      <c r="AF660">
        <f t="shared" si="106"/>
        <v>0</v>
      </c>
      <c r="AG660">
        <f t="shared" si="107"/>
        <v>0</v>
      </c>
      <c r="AH660" t="s">
        <v>561</v>
      </c>
      <c r="AI660" t="s">
        <v>562</v>
      </c>
      <c r="AJ660" t="s">
        <v>762</v>
      </c>
    </row>
    <row r="661" spans="1:36" x14ac:dyDescent="0.2">
      <c r="A661" t="s">
        <v>233</v>
      </c>
      <c r="B661" t="s">
        <v>483</v>
      </c>
      <c r="C661" t="s">
        <v>39</v>
      </c>
      <c r="D661" t="s">
        <v>968</v>
      </c>
      <c r="E661" s="6" t="s">
        <v>22</v>
      </c>
      <c r="F661" s="6">
        <v>0.6</v>
      </c>
      <c r="G661" s="6" t="s">
        <v>30</v>
      </c>
      <c r="H661" s="6">
        <v>0.4</v>
      </c>
      <c r="I661" t="s">
        <v>971</v>
      </c>
      <c r="J661" t="s">
        <v>972</v>
      </c>
      <c r="L661" t="s">
        <v>48</v>
      </c>
      <c r="M661">
        <v>1.1000000000000001</v>
      </c>
      <c r="P661" t="s">
        <v>2976</v>
      </c>
      <c r="Q661">
        <v>2</v>
      </c>
      <c r="R661" t="s">
        <v>2977</v>
      </c>
      <c r="S661">
        <v>1</v>
      </c>
      <c r="T661" t="s">
        <v>255</v>
      </c>
      <c r="U661" t="s">
        <v>60</v>
      </c>
      <c r="V661" t="s">
        <v>2978</v>
      </c>
      <c r="W661" t="s">
        <v>222</v>
      </c>
      <c r="Y661">
        <f t="shared" si="99"/>
        <v>0</v>
      </c>
      <c r="Z661">
        <f t="shared" si="100"/>
        <v>0</v>
      </c>
      <c r="AA661">
        <f t="shared" si="101"/>
        <v>0</v>
      </c>
      <c r="AB661">
        <f t="shared" si="102"/>
        <v>0</v>
      </c>
      <c r="AC661">
        <f t="shared" si="103"/>
        <v>0</v>
      </c>
      <c r="AD661">
        <f t="shared" si="104"/>
        <v>0</v>
      </c>
      <c r="AE661">
        <f t="shared" si="105"/>
        <v>0</v>
      </c>
      <c r="AF661">
        <f t="shared" si="106"/>
        <v>0</v>
      </c>
      <c r="AG661">
        <f t="shared" si="107"/>
        <v>0</v>
      </c>
      <c r="AH661" t="s">
        <v>561</v>
      </c>
      <c r="AI661" t="s">
        <v>562</v>
      </c>
      <c r="AJ661" t="s">
        <v>762</v>
      </c>
    </row>
    <row r="662" spans="1:36" x14ac:dyDescent="0.2">
      <c r="A662" t="s">
        <v>233</v>
      </c>
      <c r="B662" t="s">
        <v>483</v>
      </c>
      <c r="C662" t="s">
        <v>39</v>
      </c>
      <c r="D662" t="s">
        <v>968</v>
      </c>
      <c r="E662" s="6" t="s">
        <v>22</v>
      </c>
      <c r="F662" s="6">
        <v>0.6</v>
      </c>
      <c r="G662" s="6" t="s">
        <v>30</v>
      </c>
      <c r="H662" s="6">
        <v>0.4</v>
      </c>
      <c r="I662" t="s">
        <v>971</v>
      </c>
      <c r="J662" t="s">
        <v>972</v>
      </c>
      <c r="L662" t="s">
        <v>48</v>
      </c>
      <c r="M662">
        <v>1.1000000000000001</v>
      </c>
      <c r="P662" t="s">
        <v>2979</v>
      </c>
      <c r="Q662">
        <v>3</v>
      </c>
      <c r="R662" t="s">
        <v>2980</v>
      </c>
      <c r="S662">
        <v>3</v>
      </c>
      <c r="V662" t="s">
        <v>2981</v>
      </c>
      <c r="W662" t="s">
        <v>222</v>
      </c>
      <c r="Y662">
        <f t="shared" si="99"/>
        <v>0</v>
      </c>
      <c r="Z662">
        <f t="shared" si="100"/>
        <v>0</v>
      </c>
      <c r="AA662">
        <f t="shared" si="101"/>
        <v>0.6</v>
      </c>
      <c r="AB662">
        <f t="shared" si="102"/>
        <v>0</v>
      </c>
      <c r="AC662">
        <f t="shared" si="103"/>
        <v>0</v>
      </c>
      <c r="AD662">
        <f t="shared" si="104"/>
        <v>0</v>
      </c>
      <c r="AE662">
        <f t="shared" si="105"/>
        <v>0.4</v>
      </c>
      <c r="AF662">
        <f t="shared" si="106"/>
        <v>0</v>
      </c>
      <c r="AG662">
        <f t="shared" si="107"/>
        <v>0</v>
      </c>
      <c r="AH662" t="s">
        <v>561</v>
      </c>
      <c r="AI662" t="s">
        <v>562</v>
      </c>
      <c r="AJ662" t="s">
        <v>762</v>
      </c>
    </row>
    <row r="663" spans="1:36" x14ac:dyDescent="0.2">
      <c r="A663" t="s">
        <v>233</v>
      </c>
      <c r="B663" t="s">
        <v>483</v>
      </c>
      <c r="C663" t="s">
        <v>39</v>
      </c>
      <c r="D663" t="s">
        <v>968</v>
      </c>
      <c r="E663" s="6" t="s">
        <v>22</v>
      </c>
      <c r="F663" s="6">
        <v>0.6</v>
      </c>
      <c r="G663" s="6" t="s">
        <v>30</v>
      </c>
      <c r="H663" s="6">
        <v>0.4</v>
      </c>
      <c r="I663" t="s">
        <v>971</v>
      </c>
      <c r="J663" t="s">
        <v>972</v>
      </c>
      <c r="L663" t="s">
        <v>48</v>
      </c>
      <c r="M663">
        <v>1.1000000000000001</v>
      </c>
      <c r="P663" t="s">
        <v>2982</v>
      </c>
      <c r="Q663">
        <v>4</v>
      </c>
      <c r="R663" t="s">
        <v>2983</v>
      </c>
      <c r="S663">
        <v>4</v>
      </c>
      <c r="V663" t="s">
        <v>2454</v>
      </c>
      <c r="W663" t="s">
        <v>222</v>
      </c>
      <c r="Y663">
        <f t="shared" si="99"/>
        <v>0</v>
      </c>
      <c r="Z663">
        <f t="shared" si="100"/>
        <v>0</v>
      </c>
      <c r="AA663">
        <f t="shared" si="101"/>
        <v>1.7999999999999998</v>
      </c>
      <c r="AB663">
        <f t="shared" si="102"/>
        <v>0</v>
      </c>
      <c r="AC663">
        <f t="shared" si="103"/>
        <v>0</v>
      </c>
      <c r="AD663">
        <f t="shared" si="104"/>
        <v>0</v>
      </c>
      <c r="AE663">
        <f t="shared" si="105"/>
        <v>1.2000000000000002</v>
      </c>
      <c r="AF663">
        <f t="shared" si="106"/>
        <v>0</v>
      </c>
      <c r="AG663">
        <f t="shared" si="107"/>
        <v>0</v>
      </c>
      <c r="AH663" t="s">
        <v>561</v>
      </c>
      <c r="AI663" t="s">
        <v>562</v>
      </c>
      <c r="AJ663" t="s">
        <v>762</v>
      </c>
    </row>
    <row r="664" spans="1:36" x14ac:dyDescent="0.2">
      <c r="A664" t="s">
        <v>233</v>
      </c>
      <c r="B664" t="s">
        <v>484</v>
      </c>
      <c r="C664" t="s">
        <v>39</v>
      </c>
      <c r="D664" t="s">
        <v>973</v>
      </c>
      <c r="E664" s="6" t="s">
        <v>22</v>
      </c>
      <c r="F664" s="6">
        <v>0.6</v>
      </c>
      <c r="G664" s="6" t="s">
        <v>30</v>
      </c>
      <c r="H664" s="6">
        <v>0.4</v>
      </c>
      <c r="I664" t="s">
        <v>974</v>
      </c>
      <c r="J664" t="s">
        <v>975</v>
      </c>
      <c r="L664" t="s">
        <v>48</v>
      </c>
      <c r="M664">
        <v>1.2</v>
      </c>
      <c r="P664" t="s">
        <v>2984</v>
      </c>
      <c r="Q664">
        <v>1</v>
      </c>
      <c r="R664" t="s">
        <v>2985</v>
      </c>
      <c r="S664">
        <v>0</v>
      </c>
      <c r="T664" t="s">
        <v>276</v>
      </c>
      <c r="U664" t="s">
        <v>66</v>
      </c>
      <c r="V664" t="s">
        <v>2986</v>
      </c>
      <c r="W664" t="s">
        <v>222</v>
      </c>
      <c r="Y664">
        <f t="shared" ref="Y664:Y720" si="108">(S663*IF(E663="G",F663,0))+(S663*IF(G663="G",H663,0))</f>
        <v>0</v>
      </c>
      <c r="Z664">
        <f t="shared" ref="Z664:Z720" si="109">(S663*IF(E663="E",F663,0))+(S663*IF(G663="E",H663,0))</f>
        <v>0</v>
      </c>
      <c r="AA664">
        <f t="shared" ref="AA664:AA720" si="110">(S663*IF(E663="T",F663,0))+(S663*IF(G663="T",H663,0))</f>
        <v>2.4</v>
      </c>
      <c r="AB664">
        <f t="shared" ref="AB664:AB720" si="111">(S663*IF(E663="L",F663,0))+(S663*IF(G663="L",H663,0))</f>
        <v>0</v>
      </c>
      <c r="AC664">
        <f t="shared" ref="AC664:AC720" si="112">(S663*IF(E663="H",F663,0))+(S663*IF(G663="H",H663,0))</f>
        <v>0</v>
      </c>
      <c r="AD664">
        <f t="shared" ref="AD664:AD720" si="113">(S663*IF(E663="V",F663,0))+(S663*IF(G663="V",H663,0))</f>
        <v>0</v>
      </c>
      <c r="AE664">
        <f t="shared" ref="AE664:AE720" si="114">(S663*IF(E663="R",F663,0))+(S663*IF(G663="R",H663,0))</f>
        <v>1.6</v>
      </c>
      <c r="AF664">
        <f t="shared" ref="AF664:AF720" si="115">(S663*IF(E663="F",F663,0))+(S663*IF(G663="F",H663,0))</f>
        <v>0</v>
      </c>
      <c r="AG664">
        <f t="shared" ref="AG664:AG720" si="116">(S663*IF(E663="W",F663,0))+(S663*IF(G663="W",H663,0))</f>
        <v>0</v>
      </c>
      <c r="AH664" t="s">
        <v>561</v>
      </c>
      <c r="AI664" t="s">
        <v>562</v>
      </c>
      <c r="AJ664" t="s">
        <v>762</v>
      </c>
    </row>
    <row r="665" spans="1:36" x14ac:dyDescent="0.2">
      <c r="A665" t="s">
        <v>233</v>
      </c>
      <c r="B665" t="s">
        <v>484</v>
      </c>
      <c r="C665" t="s">
        <v>39</v>
      </c>
      <c r="D665" t="s">
        <v>973</v>
      </c>
      <c r="E665" s="6" t="s">
        <v>22</v>
      </c>
      <c r="F665" s="6">
        <v>0.6</v>
      </c>
      <c r="G665" s="6" t="s">
        <v>30</v>
      </c>
      <c r="H665" s="6">
        <v>0.4</v>
      </c>
      <c r="I665" t="s">
        <v>974</v>
      </c>
      <c r="J665" t="s">
        <v>975</v>
      </c>
      <c r="L665" t="s">
        <v>48</v>
      </c>
      <c r="M665">
        <v>1.2</v>
      </c>
      <c r="P665" t="s">
        <v>2987</v>
      </c>
      <c r="Q665">
        <v>2</v>
      </c>
      <c r="R665" t="s">
        <v>2988</v>
      </c>
      <c r="S665">
        <v>1</v>
      </c>
      <c r="T665" t="s">
        <v>276</v>
      </c>
      <c r="U665" t="s">
        <v>66</v>
      </c>
      <c r="V665" t="s">
        <v>2989</v>
      </c>
      <c r="W665" t="s">
        <v>222</v>
      </c>
      <c r="Y665">
        <f t="shared" si="108"/>
        <v>0</v>
      </c>
      <c r="Z665">
        <f t="shared" si="109"/>
        <v>0</v>
      </c>
      <c r="AA665">
        <f t="shared" si="110"/>
        <v>0</v>
      </c>
      <c r="AB665">
        <f t="shared" si="111"/>
        <v>0</v>
      </c>
      <c r="AC665">
        <f t="shared" si="112"/>
        <v>0</v>
      </c>
      <c r="AD665">
        <f t="shared" si="113"/>
        <v>0</v>
      </c>
      <c r="AE665">
        <f t="shared" si="114"/>
        <v>0</v>
      </c>
      <c r="AF665">
        <f t="shared" si="115"/>
        <v>0</v>
      </c>
      <c r="AG665">
        <f t="shared" si="116"/>
        <v>0</v>
      </c>
      <c r="AH665" t="s">
        <v>561</v>
      </c>
      <c r="AI665" t="s">
        <v>562</v>
      </c>
      <c r="AJ665" t="s">
        <v>762</v>
      </c>
    </row>
    <row r="666" spans="1:36" x14ac:dyDescent="0.2">
      <c r="A666" t="s">
        <v>233</v>
      </c>
      <c r="B666" t="s">
        <v>484</v>
      </c>
      <c r="C666" t="s">
        <v>39</v>
      </c>
      <c r="D666" t="s">
        <v>973</v>
      </c>
      <c r="E666" s="6" t="s">
        <v>22</v>
      </c>
      <c r="F666" s="6">
        <v>0.6</v>
      </c>
      <c r="G666" s="6" t="s">
        <v>30</v>
      </c>
      <c r="H666" s="6">
        <v>0.4</v>
      </c>
      <c r="I666" t="s">
        <v>974</v>
      </c>
      <c r="J666" t="s">
        <v>975</v>
      </c>
      <c r="L666" t="s">
        <v>48</v>
      </c>
      <c r="M666">
        <v>1.2</v>
      </c>
      <c r="P666" t="s">
        <v>2990</v>
      </c>
      <c r="Q666">
        <v>3</v>
      </c>
      <c r="R666" t="s">
        <v>2991</v>
      </c>
      <c r="S666">
        <v>3</v>
      </c>
      <c r="V666" t="s">
        <v>2992</v>
      </c>
      <c r="W666" t="s">
        <v>222</v>
      </c>
      <c r="Y666">
        <f t="shared" si="108"/>
        <v>0</v>
      </c>
      <c r="Z666">
        <f t="shared" si="109"/>
        <v>0</v>
      </c>
      <c r="AA666">
        <f t="shared" si="110"/>
        <v>0.6</v>
      </c>
      <c r="AB666">
        <f t="shared" si="111"/>
        <v>0</v>
      </c>
      <c r="AC666">
        <f t="shared" si="112"/>
        <v>0</v>
      </c>
      <c r="AD666">
        <f t="shared" si="113"/>
        <v>0</v>
      </c>
      <c r="AE666">
        <f t="shared" si="114"/>
        <v>0.4</v>
      </c>
      <c r="AF666">
        <f t="shared" si="115"/>
        <v>0</v>
      </c>
      <c r="AG666">
        <f t="shared" si="116"/>
        <v>0</v>
      </c>
      <c r="AH666" t="s">
        <v>561</v>
      </c>
      <c r="AI666" t="s">
        <v>562</v>
      </c>
      <c r="AJ666" t="s">
        <v>762</v>
      </c>
    </row>
    <row r="667" spans="1:36" x14ac:dyDescent="0.2">
      <c r="A667" t="s">
        <v>233</v>
      </c>
      <c r="B667" t="s">
        <v>484</v>
      </c>
      <c r="C667" t="s">
        <v>39</v>
      </c>
      <c r="D667" t="s">
        <v>973</v>
      </c>
      <c r="E667" s="6" t="s">
        <v>22</v>
      </c>
      <c r="F667" s="6">
        <v>0.6</v>
      </c>
      <c r="G667" s="6" t="s">
        <v>30</v>
      </c>
      <c r="H667" s="6">
        <v>0.4</v>
      </c>
      <c r="I667" t="s">
        <v>974</v>
      </c>
      <c r="J667" t="s">
        <v>975</v>
      </c>
      <c r="L667" t="s">
        <v>48</v>
      </c>
      <c r="M667">
        <v>1.2</v>
      </c>
      <c r="P667" t="s">
        <v>2993</v>
      </c>
      <c r="Q667">
        <v>4</v>
      </c>
      <c r="R667" t="s">
        <v>2994</v>
      </c>
      <c r="S667">
        <v>4</v>
      </c>
      <c r="V667" t="s">
        <v>2454</v>
      </c>
      <c r="W667" t="s">
        <v>222</v>
      </c>
      <c r="Y667">
        <f t="shared" si="108"/>
        <v>0</v>
      </c>
      <c r="Z667">
        <f t="shared" si="109"/>
        <v>0</v>
      </c>
      <c r="AA667">
        <f t="shared" si="110"/>
        <v>1.7999999999999998</v>
      </c>
      <c r="AB667">
        <f t="shared" si="111"/>
        <v>0</v>
      </c>
      <c r="AC667">
        <f t="shared" si="112"/>
        <v>0</v>
      </c>
      <c r="AD667">
        <f t="shared" si="113"/>
        <v>0</v>
      </c>
      <c r="AE667">
        <f t="shared" si="114"/>
        <v>1.2000000000000002</v>
      </c>
      <c r="AF667">
        <f t="shared" si="115"/>
        <v>0</v>
      </c>
      <c r="AG667">
        <f t="shared" si="116"/>
        <v>0</v>
      </c>
      <c r="AH667" t="s">
        <v>561</v>
      </c>
      <c r="AI667" t="s">
        <v>562</v>
      </c>
      <c r="AJ667" t="s">
        <v>762</v>
      </c>
    </row>
    <row r="668" spans="1:36" x14ac:dyDescent="0.2">
      <c r="A668" t="s">
        <v>233</v>
      </c>
      <c r="B668" t="s">
        <v>485</v>
      </c>
      <c r="C668" t="s">
        <v>39</v>
      </c>
      <c r="D668" t="s">
        <v>926</v>
      </c>
      <c r="E668" s="6" t="s">
        <v>34</v>
      </c>
      <c r="F668" s="6">
        <v>1</v>
      </c>
      <c r="G668" s="6" t="s">
        <v>522</v>
      </c>
      <c r="I668" t="s">
        <v>976</v>
      </c>
      <c r="J668" t="s">
        <v>977</v>
      </c>
      <c r="L668" t="s">
        <v>46</v>
      </c>
      <c r="M668">
        <v>1</v>
      </c>
      <c r="P668" t="s">
        <v>2995</v>
      </c>
      <c r="Q668">
        <v>1</v>
      </c>
      <c r="R668" t="s">
        <v>2996</v>
      </c>
      <c r="S668">
        <v>0</v>
      </c>
      <c r="T668" t="s">
        <v>236</v>
      </c>
      <c r="U668" t="s">
        <v>57</v>
      </c>
      <c r="V668" t="s">
        <v>2997</v>
      </c>
      <c r="W668" t="s">
        <v>222</v>
      </c>
      <c r="Y668">
        <f t="shared" si="108"/>
        <v>0</v>
      </c>
      <c r="Z668">
        <f t="shared" si="109"/>
        <v>0</v>
      </c>
      <c r="AA668">
        <f t="shared" si="110"/>
        <v>2.4</v>
      </c>
      <c r="AB668">
        <f t="shared" si="111"/>
        <v>0</v>
      </c>
      <c r="AC668">
        <f t="shared" si="112"/>
        <v>0</v>
      </c>
      <c r="AD668">
        <f t="shared" si="113"/>
        <v>0</v>
      </c>
      <c r="AE668">
        <f t="shared" si="114"/>
        <v>1.6</v>
      </c>
      <c r="AF668">
        <f t="shared" si="115"/>
        <v>0</v>
      </c>
      <c r="AG668">
        <f t="shared" si="116"/>
        <v>0</v>
      </c>
      <c r="AH668" t="s">
        <v>521</v>
      </c>
      <c r="AI668" t="s">
        <v>566</v>
      </c>
      <c r="AJ668" t="s">
        <v>978</v>
      </c>
    </row>
    <row r="669" spans="1:36" x14ac:dyDescent="0.2">
      <c r="A669" t="s">
        <v>233</v>
      </c>
      <c r="B669" t="s">
        <v>485</v>
      </c>
      <c r="C669" t="s">
        <v>39</v>
      </c>
      <c r="D669" t="s">
        <v>926</v>
      </c>
      <c r="E669" s="6" t="s">
        <v>34</v>
      </c>
      <c r="F669" s="6">
        <v>1</v>
      </c>
      <c r="G669" s="6" t="s">
        <v>522</v>
      </c>
      <c r="I669" t="s">
        <v>976</v>
      </c>
      <c r="J669" t="s">
        <v>977</v>
      </c>
      <c r="L669" t="s">
        <v>46</v>
      </c>
      <c r="M669">
        <v>1</v>
      </c>
      <c r="P669" t="s">
        <v>2998</v>
      </c>
      <c r="Q669">
        <v>2</v>
      </c>
      <c r="R669" t="s">
        <v>2999</v>
      </c>
      <c r="S669">
        <v>1</v>
      </c>
      <c r="T669" t="s">
        <v>255</v>
      </c>
      <c r="U669" t="s">
        <v>60</v>
      </c>
      <c r="V669" t="s">
        <v>3000</v>
      </c>
      <c r="W669" t="s">
        <v>222</v>
      </c>
      <c r="Y669">
        <f t="shared" si="108"/>
        <v>0</v>
      </c>
      <c r="Z669">
        <f t="shared" si="109"/>
        <v>0</v>
      </c>
      <c r="AA669">
        <f t="shared" si="110"/>
        <v>0</v>
      </c>
      <c r="AB669">
        <f t="shared" si="111"/>
        <v>0</v>
      </c>
      <c r="AC669">
        <f t="shared" si="112"/>
        <v>0</v>
      </c>
      <c r="AD669">
        <f t="shared" si="113"/>
        <v>0</v>
      </c>
      <c r="AE669">
        <f t="shared" si="114"/>
        <v>0</v>
      </c>
      <c r="AF669">
        <f t="shared" si="115"/>
        <v>0</v>
      </c>
      <c r="AG669">
        <f t="shared" si="116"/>
        <v>0</v>
      </c>
      <c r="AH669" t="s">
        <v>521</v>
      </c>
      <c r="AI669" t="s">
        <v>566</v>
      </c>
      <c r="AJ669" t="s">
        <v>978</v>
      </c>
    </row>
    <row r="670" spans="1:36" x14ac:dyDescent="0.2">
      <c r="A670" t="s">
        <v>233</v>
      </c>
      <c r="B670" t="s">
        <v>485</v>
      </c>
      <c r="C670" t="s">
        <v>39</v>
      </c>
      <c r="D670" t="s">
        <v>926</v>
      </c>
      <c r="E670" s="6" t="s">
        <v>34</v>
      </c>
      <c r="F670" s="6">
        <v>1</v>
      </c>
      <c r="G670" s="6" t="s">
        <v>522</v>
      </c>
      <c r="I670" t="s">
        <v>976</v>
      </c>
      <c r="J670" t="s">
        <v>977</v>
      </c>
      <c r="L670" t="s">
        <v>46</v>
      </c>
      <c r="M670">
        <v>1</v>
      </c>
      <c r="P670" t="s">
        <v>3001</v>
      </c>
      <c r="Q670">
        <v>3</v>
      </c>
      <c r="R670" t="s">
        <v>3002</v>
      </c>
      <c r="S670">
        <v>3</v>
      </c>
      <c r="V670" t="s">
        <v>3003</v>
      </c>
      <c r="W670" t="s">
        <v>222</v>
      </c>
      <c r="Y670">
        <f t="shared" si="108"/>
        <v>0</v>
      </c>
      <c r="Z670">
        <f t="shared" si="109"/>
        <v>0</v>
      </c>
      <c r="AA670">
        <f t="shared" si="110"/>
        <v>0</v>
      </c>
      <c r="AB670">
        <f t="shared" si="111"/>
        <v>0</v>
      </c>
      <c r="AC670">
        <f t="shared" si="112"/>
        <v>0</v>
      </c>
      <c r="AD670">
        <f t="shared" si="113"/>
        <v>0</v>
      </c>
      <c r="AE670">
        <f t="shared" si="114"/>
        <v>0</v>
      </c>
      <c r="AF670">
        <f t="shared" si="115"/>
        <v>0</v>
      </c>
      <c r="AG670">
        <f t="shared" si="116"/>
        <v>1</v>
      </c>
      <c r="AH670" t="s">
        <v>521</v>
      </c>
      <c r="AI670" t="s">
        <v>566</v>
      </c>
      <c r="AJ670" t="s">
        <v>978</v>
      </c>
    </row>
    <row r="671" spans="1:36" x14ac:dyDescent="0.2">
      <c r="A671" t="s">
        <v>233</v>
      </c>
      <c r="B671" t="s">
        <v>485</v>
      </c>
      <c r="C671" t="s">
        <v>39</v>
      </c>
      <c r="D671" t="s">
        <v>926</v>
      </c>
      <c r="E671" s="6" t="s">
        <v>34</v>
      </c>
      <c r="F671" s="6">
        <v>1</v>
      </c>
      <c r="G671" s="6" t="s">
        <v>522</v>
      </c>
      <c r="I671" t="s">
        <v>976</v>
      </c>
      <c r="J671" t="s">
        <v>977</v>
      </c>
      <c r="L671" t="s">
        <v>46</v>
      </c>
      <c r="M671">
        <v>1</v>
      </c>
      <c r="P671" t="s">
        <v>3004</v>
      </c>
      <c r="Q671">
        <v>4</v>
      </c>
      <c r="R671" t="s">
        <v>3005</v>
      </c>
      <c r="S671">
        <v>4</v>
      </c>
      <c r="V671" t="s">
        <v>2454</v>
      </c>
      <c r="W671" t="s">
        <v>222</v>
      </c>
      <c r="Y671">
        <f t="shared" si="108"/>
        <v>0</v>
      </c>
      <c r="Z671">
        <f t="shared" si="109"/>
        <v>0</v>
      </c>
      <c r="AA671">
        <f t="shared" si="110"/>
        <v>0</v>
      </c>
      <c r="AB671">
        <f t="shared" si="111"/>
        <v>0</v>
      </c>
      <c r="AC671">
        <f t="shared" si="112"/>
        <v>0</v>
      </c>
      <c r="AD671">
        <f t="shared" si="113"/>
        <v>0</v>
      </c>
      <c r="AE671">
        <f t="shared" si="114"/>
        <v>0</v>
      </c>
      <c r="AF671">
        <f t="shared" si="115"/>
        <v>0</v>
      </c>
      <c r="AG671">
        <f t="shared" si="116"/>
        <v>3</v>
      </c>
      <c r="AH671" t="s">
        <v>521</v>
      </c>
      <c r="AI671" t="s">
        <v>566</v>
      </c>
      <c r="AJ671" t="s">
        <v>978</v>
      </c>
    </row>
    <row r="672" spans="1:36" x14ac:dyDescent="0.2">
      <c r="A672" t="s">
        <v>233</v>
      </c>
      <c r="B672" t="s">
        <v>486</v>
      </c>
      <c r="C672" t="s">
        <v>41</v>
      </c>
      <c r="D672" t="s">
        <v>979</v>
      </c>
      <c r="E672" s="6" t="s">
        <v>22</v>
      </c>
      <c r="F672" s="6">
        <v>0.5</v>
      </c>
      <c r="G672" s="6" t="s">
        <v>28</v>
      </c>
      <c r="H672" s="6">
        <v>0.5</v>
      </c>
      <c r="I672" t="s">
        <v>980</v>
      </c>
      <c r="J672" t="s">
        <v>981</v>
      </c>
      <c r="L672" t="s">
        <v>48</v>
      </c>
      <c r="M672">
        <v>1</v>
      </c>
      <c r="P672" t="s">
        <v>3006</v>
      </c>
      <c r="Q672">
        <v>1</v>
      </c>
      <c r="R672" t="s">
        <v>3007</v>
      </c>
      <c r="S672">
        <v>0</v>
      </c>
      <c r="T672" t="s">
        <v>276</v>
      </c>
      <c r="U672" t="s">
        <v>66</v>
      </c>
      <c r="V672" t="s">
        <v>3008</v>
      </c>
      <c r="W672" t="s">
        <v>222</v>
      </c>
      <c r="Y672">
        <f t="shared" si="108"/>
        <v>0</v>
      </c>
      <c r="Z672">
        <f t="shared" si="109"/>
        <v>0</v>
      </c>
      <c r="AA672">
        <f t="shared" si="110"/>
        <v>0</v>
      </c>
      <c r="AB672">
        <f t="shared" si="111"/>
        <v>0</v>
      </c>
      <c r="AC672">
        <f t="shared" si="112"/>
        <v>0</v>
      </c>
      <c r="AD672">
        <f t="shared" si="113"/>
        <v>0</v>
      </c>
      <c r="AE672">
        <f t="shared" si="114"/>
        <v>0</v>
      </c>
      <c r="AF672">
        <f t="shared" si="115"/>
        <v>0</v>
      </c>
      <c r="AG672">
        <f t="shared" si="116"/>
        <v>4</v>
      </c>
      <c r="AH672" t="s">
        <v>561</v>
      </c>
      <c r="AI672" t="s">
        <v>587</v>
      </c>
      <c r="AJ672" t="s">
        <v>588</v>
      </c>
    </row>
    <row r="673" spans="1:36" x14ac:dyDescent="0.2">
      <c r="A673" t="s">
        <v>233</v>
      </c>
      <c r="B673" t="s">
        <v>486</v>
      </c>
      <c r="C673" t="s">
        <v>41</v>
      </c>
      <c r="D673" t="s">
        <v>979</v>
      </c>
      <c r="E673" s="6" t="s">
        <v>22</v>
      </c>
      <c r="F673" s="6">
        <v>0.5</v>
      </c>
      <c r="G673" s="6" t="s">
        <v>28</v>
      </c>
      <c r="H673" s="6">
        <v>0.5</v>
      </c>
      <c r="I673" t="s">
        <v>980</v>
      </c>
      <c r="J673" t="s">
        <v>981</v>
      </c>
      <c r="L673" t="s">
        <v>48</v>
      </c>
      <c r="M673">
        <v>1</v>
      </c>
      <c r="P673" t="s">
        <v>3009</v>
      </c>
      <c r="Q673">
        <v>2</v>
      </c>
      <c r="R673" t="s">
        <v>3010</v>
      </c>
      <c r="S673">
        <v>1</v>
      </c>
      <c r="T673" t="s">
        <v>276</v>
      </c>
      <c r="U673" t="s">
        <v>66</v>
      </c>
      <c r="V673" t="s">
        <v>3011</v>
      </c>
      <c r="W673" t="s">
        <v>222</v>
      </c>
      <c r="Y673">
        <f t="shared" si="108"/>
        <v>0</v>
      </c>
      <c r="Z673">
        <f t="shared" si="109"/>
        <v>0</v>
      </c>
      <c r="AA673">
        <f t="shared" si="110"/>
        <v>0</v>
      </c>
      <c r="AB673">
        <f t="shared" si="111"/>
        <v>0</v>
      </c>
      <c r="AC673">
        <f t="shared" si="112"/>
        <v>0</v>
      </c>
      <c r="AD673">
        <f t="shared" si="113"/>
        <v>0</v>
      </c>
      <c r="AE673">
        <f t="shared" si="114"/>
        <v>0</v>
      </c>
      <c r="AF673">
        <f t="shared" si="115"/>
        <v>0</v>
      </c>
      <c r="AG673">
        <f t="shared" si="116"/>
        <v>0</v>
      </c>
      <c r="AH673" t="s">
        <v>561</v>
      </c>
      <c r="AI673" t="s">
        <v>587</v>
      </c>
      <c r="AJ673" t="s">
        <v>588</v>
      </c>
    </row>
    <row r="674" spans="1:36" x14ac:dyDescent="0.2">
      <c r="A674" t="s">
        <v>233</v>
      </c>
      <c r="B674" t="s">
        <v>486</v>
      </c>
      <c r="C674" t="s">
        <v>41</v>
      </c>
      <c r="D674" t="s">
        <v>979</v>
      </c>
      <c r="E674" s="6" t="s">
        <v>22</v>
      </c>
      <c r="F674" s="6">
        <v>0.5</v>
      </c>
      <c r="G674" s="6" t="s">
        <v>28</v>
      </c>
      <c r="H674" s="6">
        <v>0.5</v>
      </c>
      <c r="I674" t="s">
        <v>980</v>
      </c>
      <c r="J674" t="s">
        <v>981</v>
      </c>
      <c r="L674" t="s">
        <v>48</v>
      </c>
      <c r="M674">
        <v>1</v>
      </c>
      <c r="P674" t="s">
        <v>3012</v>
      </c>
      <c r="Q674">
        <v>3</v>
      </c>
      <c r="R674" t="s">
        <v>3013</v>
      </c>
      <c r="S674">
        <v>3</v>
      </c>
      <c r="V674" t="s">
        <v>3014</v>
      </c>
      <c r="W674" t="s">
        <v>222</v>
      </c>
      <c r="Y674">
        <f t="shared" si="108"/>
        <v>0</v>
      </c>
      <c r="Z674">
        <f t="shared" si="109"/>
        <v>0</v>
      </c>
      <c r="AA674">
        <f t="shared" si="110"/>
        <v>0.5</v>
      </c>
      <c r="AB674">
        <f t="shared" si="111"/>
        <v>0</v>
      </c>
      <c r="AC674">
        <f t="shared" si="112"/>
        <v>0</v>
      </c>
      <c r="AD674">
        <f t="shared" si="113"/>
        <v>0.5</v>
      </c>
      <c r="AE674">
        <f t="shared" si="114"/>
        <v>0</v>
      </c>
      <c r="AF674">
        <f t="shared" si="115"/>
        <v>0</v>
      </c>
      <c r="AG674">
        <f t="shared" si="116"/>
        <v>0</v>
      </c>
      <c r="AH674" t="s">
        <v>561</v>
      </c>
      <c r="AI674" t="s">
        <v>587</v>
      </c>
      <c r="AJ674" t="s">
        <v>588</v>
      </c>
    </row>
    <row r="675" spans="1:36" x14ac:dyDescent="0.2">
      <c r="A675" t="s">
        <v>233</v>
      </c>
      <c r="B675" t="s">
        <v>486</v>
      </c>
      <c r="C675" t="s">
        <v>41</v>
      </c>
      <c r="D675" t="s">
        <v>979</v>
      </c>
      <c r="E675" s="6" t="s">
        <v>22</v>
      </c>
      <c r="F675" s="6">
        <v>0.5</v>
      </c>
      <c r="G675" s="6" t="s">
        <v>28</v>
      </c>
      <c r="H675" s="6">
        <v>0.5</v>
      </c>
      <c r="I675" t="s">
        <v>980</v>
      </c>
      <c r="J675" t="s">
        <v>981</v>
      </c>
      <c r="L675" t="s">
        <v>48</v>
      </c>
      <c r="M675">
        <v>1</v>
      </c>
      <c r="P675" t="s">
        <v>3015</v>
      </c>
      <c r="Q675">
        <v>4</v>
      </c>
      <c r="R675" t="s">
        <v>3016</v>
      </c>
      <c r="S675">
        <v>4</v>
      </c>
      <c r="V675" t="s">
        <v>2454</v>
      </c>
      <c r="W675" t="s">
        <v>222</v>
      </c>
      <c r="Y675">
        <f t="shared" si="108"/>
        <v>0</v>
      </c>
      <c r="Z675">
        <f t="shared" si="109"/>
        <v>0</v>
      </c>
      <c r="AA675">
        <f t="shared" si="110"/>
        <v>1.5</v>
      </c>
      <c r="AB675">
        <f t="shared" si="111"/>
        <v>0</v>
      </c>
      <c r="AC675">
        <f t="shared" si="112"/>
        <v>0</v>
      </c>
      <c r="AD675">
        <f t="shared" si="113"/>
        <v>1.5</v>
      </c>
      <c r="AE675">
        <f t="shared" si="114"/>
        <v>0</v>
      </c>
      <c r="AF675">
        <f t="shared" si="115"/>
        <v>0</v>
      </c>
      <c r="AG675">
        <f t="shared" si="116"/>
        <v>0</v>
      </c>
      <c r="AH675" t="s">
        <v>561</v>
      </c>
      <c r="AI675" t="s">
        <v>587</v>
      </c>
      <c r="AJ675" t="s">
        <v>588</v>
      </c>
    </row>
    <row r="676" spans="1:36" x14ac:dyDescent="0.2">
      <c r="A676" t="s">
        <v>233</v>
      </c>
      <c r="B676" t="s">
        <v>487</v>
      </c>
      <c r="C676" t="s">
        <v>41</v>
      </c>
      <c r="D676" t="s">
        <v>979</v>
      </c>
      <c r="E676" s="6" t="s">
        <v>22</v>
      </c>
      <c r="F676" s="6">
        <v>1</v>
      </c>
      <c r="G676" s="6" t="s">
        <v>522</v>
      </c>
      <c r="I676" t="s">
        <v>982</v>
      </c>
      <c r="J676" t="s">
        <v>983</v>
      </c>
      <c r="L676" t="s">
        <v>48</v>
      </c>
      <c r="M676">
        <v>1</v>
      </c>
      <c r="P676" t="s">
        <v>3017</v>
      </c>
      <c r="Q676">
        <v>1</v>
      </c>
      <c r="R676" t="s">
        <v>3018</v>
      </c>
      <c r="S676">
        <v>0</v>
      </c>
      <c r="T676" t="s">
        <v>276</v>
      </c>
      <c r="U676" t="s">
        <v>66</v>
      </c>
      <c r="V676" t="s">
        <v>3019</v>
      </c>
      <c r="W676" t="s">
        <v>222</v>
      </c>
      <c r="Y676">
        <f t="shared" si="108"/>
        <v>0</v>
      </c>
      <c r="Z676">
        <f t="shared" si="109"/>
        <v>0</v>
      </c>
      <c r="AA676">
        <f t="shared" si="110"/>
        <v>2</v>
      </c>
      <c r="AB676">
        <f t="shared" si="111"/>
        <v>0</v>
      </c>
      <c r="AC676">
        <f t="shared" si="112"/>
        <v>0</v>
      </c>
      <c r="AD676">
        <f t="shared" si="113"/>
        <v>2</v>
      </c>
      <c r="AE676">
        <f t="shared" si="114"/>
        <v>0</v>
      </c>
      <c r="AF676">
        <f t="shared" si="115"/>
        <v>0</v>
      </c>
      <c r="AG676">
        <f t="shared" si="116"/>
        <v>0</v>
      </c>
      <c r="AH676" t="s">
        <v>614</v>
      </c>
      <c r="AI676" t="s">
        <v>700</v>
      </c>
      <c r="AJ676" t="s">
        <v>925</v>
      </c>
    </row>
    <row r="677" spans="1:36" x14ac:dyDescent="0.2">
      <c r="A677" t="s">
        <v>233</v>
      </c>
      <c r="B677" t="s">
        <v>487</v>
      </c>
      <c r="C677" t="s">
        <v>41</v>
      </c>
      <c r="D677" t="s">
        <v>979</v>
      </c>
      <c r="E677" s="6" t="s">
        <v>22</v>
      </c>
      <c r="F677" s="6">
        <v>1</v>
      </c>
      <c r="G677" s="6" t="s">
        <v>522</v>
      </c>
      <c r="I677" t="s">
        <v>982</v>
      </c>
      <c r="J677" t="s">
        <v>983</v>
      </c>
      <c r="L677" t="s">
        <v>48</v>
      </c>
      <c r="M677">
        <v>1</v>
      </c>
      <c r="P677" t="s">
        <v>3020</v>
      </c>
      <c r="Q677">
        <v>2</v>
      </c>
      <c r="R677" t="s">
        <v>3021</v>
      </c>
      <c r="S677">
        <v>1</v>
      </c>
      <c r="T677" t="s">
        <v>255</v>
      </c>
      <c r="U677" t="s">
        <v>60</v>
      </c>
      <c r="V677" t="s">
        <v>3022</v>
      </c>
      <c r="W677" t="s">
        <v>222</v>
      </c>
      <c r="Y677">
        <f t="shared" si="108"/>
        <v>0</v>
      </c>
      <c r="Z677">
        <f t="shared" si="109"/>
        <v>0</v>
      </c>
      <c r="AA677">
        <f t="shared" si="110"/>
        <v>0</v>
      </c>
      <c r="AB677">
        <f t="shared" si="111"/>
        <v>0</v>
      </c>
      <c r="AC677">
        <f t="shared" si="112"/>
        <v>0</v>
      </c>
      <c r="AD677">
        <f t="shared" si="113"/>
        <v>0</v>
      </c>
      <c r="AE677">
        <f t="shared" si="114"/>
        <v>0</v>
      </c>
      <c r="AF677">
        <f t="shared" si="115"/>
        <v>0</v>
      </c>
      <c r="AG677">
        <f t="shared" si="116"/>
        <v>0</v>
      </c>
      <c r="AH677" t="s">
        <v>614</v>
      </c>
      <c r="AI677" t="s">
        <v>700</v>
      </c>
      <c r="AJ677" t="s">
        <v>925</v>
      </c>
    </row>
    <row r="678" spans="1:36" x14ac:dyDescent="0.2">
      <c r="A678" t="s">
        <v>233</v>
      </c>
      <c r="B678" t="s">
        <v>487</v>
      </c>
      <c r="C678" t="s">
        <v>41</v>
      </c>
      <c r="D678" t="s">
        <v>979</v>
      </c>
      <c r="E678" s="6" t="s">
        <v>22</v>
      </c>
      <c r="F678" s="6">
        <v>1</v>
      </c>
      <c r="G678" s="6" t="s">
        <v>522</v>
      </c>
      <c r="I678" t="s">
        <v>982</v>
      </c>
      <c r="J678" t="s">
        <v>983</v>
      </c>
      <c r="L678" t="s">
        <v>48</v>
      </c>
      <c r="M678">
        <v>1</v>
      </c>
      <c r="P678" t="s">
        <v>3023</v>
      </c>
      <c r="Q678">
        <v>3</v>
      </c>
      <c r="R678" t="s">
        <v>3024</v>
      </c>
      <c r="S678">
        <v>3</v>
      </c>
      <c r="V678" t="s">
        <v>3025</v>
      </c>
      <c r="W678" t="s">
        <v>222</v>
      </c>
      <c r="Y678">
        <f t="shared" si="108"/>
        <v>0</v>
      </c>
      <c r="Z678">
        <f t="shared" si="109"/>
        <v>0</v>
      </c>
      <c r="AA678">
        <f t="shared" si="110"/>
        <v>1</v>
      </c>
      <c r="AB678">
        <f t="shared" si="111"/>
        <v>0</v>
      </c>
      <c r="AC678">
        <f t="shared" si="112"/>
        <v>0</v>
      </c>
      <c r="AD678">
        <f t="shared" si="113"/>
        <v>0</v>
      </c>
      <c r="AE678">
        <f t="shared" si="114"/>
        <v>0</v>
      </c>
      <c r="AF678">
        <f t="shared" si="115"/>
        <v>0</v>
      </c>
      <c r="AG678">
        <f t="shared" si="116"/>
        <v>0</v>
      </c>
      <c r="AH678" t="s">
        <v>614</v>
      </c>
      <c r="AI678" t="s">
        <v>700</v>
      </c>
      <c r="AJ678" t="s">
        <v>925</v>
      </c>
    </row>
    <row r="679" spans="1:36" x14ac:dyDescent="0.2">
      <c r="A679" t="s">
        <v>233</v>
      </c>
      <c r="B679" t="s">
        <v>487</v>
      </c>
      <c r="C679" t="s">
        <v>41</v>
      </c>
      <c r="D679" t="s">
        <v>979</v>
      </c>
      <c r="E679" s="6" t="s">
        <v>22</v>
      </c>
      <c r="F679" s="6">
        <v>1</v>
      </c>
      <c r="G679" s="6" t="s">
        <v>522</v>
      </c>
      <c r="I679" t="s">
        <v>982</v>
      </c>
      <c r="J679" t="s">
        <v>983</v>
      </c>
      <c r="L679" t="s">
        <v>48</v>
      </c>
      <c r="M679">
        <v>1</v>
      </c>
      <c r="P679" t="s">
        <v>3026</v>
      </c>
      <c r="Q679">
        <v>4</v>
      </c>
      <c r="R679" t="s">
        <v>3027</v>
      </c>
      <c r="S679">
        <v>4</v>
      </c>
      <c r="V679" t="s">
        <v>2454</v>
      </c>
      <c r="W679" t="s">
        <v>222</v>
      </c>
      <c r="Y679">
        <f t="shared" si="108"/>
        <v>0</v>
      </c>
      <c r="Z679">
        <f t="shared" si="109"/>
        <v>0</v>
      </c>
      <c r="AA679">
        <f t="shared" si="110"/>
        <v>3</v>
      </c>
      <c r="AB679">
        <f t="shared" si="111"/>
        <v>0</v>
      </c>
      <c r="AC679">
        <f t="shared" si="112"/>
        <v>0</v>
      </c>
      <c r="AD679">
        <f t="shared" si="113"/>
        <v>0</v>
      </c>
      <c r="AE679">
        <f t="shared" si="114"/>
        <v>0</v>
      </c>
      <c r="AF679">
        <f t="shared" si="115"/>
        <v>0</v>
      </c>
      <c r="AG679">
        <f t="shared" si="116"/>
        <v>0</v>
      </c>
      <c r="AH679" t="s">
        <v>614</v>
      </c>
      <c r="AI679" t="s">
        <v>700</v>
      </c>
      <c r="AJ679" t="s">
        <v>925</v>
      </c>
    </row>
    <row r="680" spans="1:36" x14ac:dyDescent="0.2">
      <c r="A680" t="s">
        <v>235</v>
      </c>
      <c r="B680" t="s">
        <v>488</v>
      </c>
      <c r="C680" t="s">
        <v>37</v>
      </c>
      <c r="D680" t="s">
        <v>984</v>
      </c>
      <c r="E680" s="6" t="s">
        <v>18</v>
      </c>
      <c r="F680" s="6">
        <v>0.7</v>
      </c>
      <c r="G680" s="6" t="s">
        <v>28</v>
      </c>
      <c r="H680" s="6">
        <v>0.3</v>
      </c>
      <c r="I680" t="s">
        <v>985</v>
      </c>
      <c r="J680" t="s">
        <v>986</v>
      </c>
      <c r="L680" t="s">
        <v>44</v>
      </c>
      <c r="M680">
        <v>1.3</v>
      </c>
      <c r="N680">
        <v>0.5</v>
      </c>
      <c r="P680" t="s">
        <v>3028</v>
      </c>
      <c r="Q680">
        <v>1</v>
      </c>
      <c r="R680" t="s">
        <v>1017</v>
      </c>
      <c r="S680">
        <v>0</v>
      </c>
      <c r="T680" t="s">
        <v>273</v>
      </c>
      <c r="U680" t="s">
        <v>65</v>
      </c>
      <c r="V680" t="s">
        <v>3029</v>
      </c>
      <c r="W680" t="s">
        <v>222</v>
      </c>
      <c r="Y680">
        <f t="shared" si="108"/>
        <v>0</v>
      </c>
      <c r="Z680">
        <f t="shared" si="109"/>
        <v>0</v>
      </c>
      <c r="AA680">
        <f t="shared" si="110"/>
        <v>4</v>
      </c>
      <c r="AB680">
        <f t="shared" si="111"/>
        <v>0</v>
      </c>
      <c r="AC680">
        <f t="shared" si="112"/>
        <v>0</v>
      </c>
      <c r="AD680">
        <f t="shared" si="113"/>
        <v>0</v>
      </c>
      <c r="AE680">
        <f t="shared" si="114"/>
        <v>0</v>
      </c>
      <c r="AF680">
        <f t="shared" si="115"/>
        <v>0</v>
      </c>
      <c r="AG680">
        <f t="shared" si="116"/>
        <v>0</v>
      </c>
      <c r="AH680" t="s">
        <v>550</v>
      </c>
      <c r="AI680" t="s">
        <v>683</v>
      </c>
      <c r="AJ680" t="s">
        <v>684</v>
      </c>
    </row>
    <row r="681" spans="1:36" x14ac:dyDescent="0.2">
      <c r="A681" t="s">
        <v>235</v>
      </c>
      <c r="B681" t="s">
        <v>488</v>
      </c>
      <c r="C681" t="s">
        <v>37</v>
      </c>
      <c r="D681" t="s">
        <v>984</v>
      </c>
      <c r="E681" s="6" t="s">
        <v>18</v>
      </c>
      <c r="F681" s="6">
        <v>0.7</v>
      </c>
      <c r="G681" s="6" t="s">
        <v>28</v>
      </c>
      <c r="H681" s="6">
        <v>0.3</v>
      </c>
      <c r="I681" t="s">
        <v>985</v>
      </c>
      <c r="J681" t="s">
        <v>986</v>
      </c>
      <c r="L681" t="s">
        <v>44</v>
      </c>
      <c r="M681">
        <v>1.3</v>
      </c>
      <c r="N681">
        <v>0.5</v>
      </c>
      <c r="P681" t="s">
        <v>3030</v>
      </c>
      <c r="Q681">
        <v>2</v>
      </c>
      <c r="R681" t="s">
        <v>3031</v>
      </c>
      <c r="S681">
        <v>0</v>
      </c>
      <c r="T681" t="s">
        <v>3032</v>
      </c>
      <c r="U681" t="s">
        <v>60</v>
      </c>
      <c r="V681" t="s">
        <v>3033</v>
      </c>
      <c r="W681" t="s">
        <v>222</v>
      </c>
      <c r="Y681">
        <f t="shared" si="108"/>
        <v>0</v>
      </c>
      <c r="Z681">
        <f t="shared" si="109"/>
        <v>0</v>
      </c>
      <c r="AA681">
        <f t="shared" si="110"/>
        <v>0</v>
      </c>
      <c r="AB681">
        <f t="shared" si="111"/>
        <v>0</v>
      </c>
      <c r="AC681">
        <f t="shared" si="112"/>
        <v>0</v>
      </c>
      <c r="AD681">
        <f t="shared" si="113"/>
        <v>0</v>
      </c>
      <c r="AE681">
        <f t="shared" si="114"/>
        <v>0</v>
      </c>
      <c r="AF681">
        <f t="shared" si="115"/>
        <v>0</v>
      </c>
      <c r="AG681">
        <f t="shared" si="116"/>
        <v>0</v>
      </c>
      <c r="AH681" t="s">
        <v>550</v>
      </c>
      <c r="AI681" t="s">
        <v>683</v>
      </c>
      <c r="AJ681" t="s">
        <v>684</v>
      </c>
    </row>
    <row r="682" spans="1:36" x14ac:dyDescent="0.2">
      <c r="A682" t="s">
        <v>235</v>
      </c>
      <c r="B682" t="s">
        <v>488</v>
      </c>
      <c r="C682" t="s">
        <v>37</v>
      </c>
      <c r="D682" t="s">
        <v>984</v>
      </c>
      <c r="E682" s="6" t="s">
        <v>18</v>
      </c>
      <c r="F682" s="6">
        <v>0.7</v>
      </c>
      <c r="G682" s="6" t="s">
        <v>28</v>
      </c>
      <c r="H682" s="6">
        <v>0.3</v>
      </c>
      <c r="I682" t="s">
        <v>985</v>
      </c>
      <c r="J682" t="s">
        <v>986</v>
      </c>
      <c r="L682" t="s">
        <v>44</v>
      </c>
      <c r="M682">
        <v>1.3</v>
      </c>
      <c r="N682">
        <v>0.5</v>
      </c>
      <c r="P682" t="s">
        <v>3034</v>
      </c>
      <c r="Q682">
        <v>3</v>
      </c>
      <c r="R682" t="s">
        <v>3035</v>
      </c>
      <c r="S682">
        <v>1</v>
      </c>
      <c r="T682" t="s">
        <v>172</v>
      </c>
      <c r="U682" t="s">
        <v>61</v>
      </c>
      <c r="V682" t="s">
        <v>3036</v>
      </c>
      <c r="W682" t="s">
        <v>222</v>
      </c>
      <c r="Y682">
        <f t="shared" si="108"/>
        <v>0</v>
      </c>
      <c r="Z682">
        <f t="shared" si="109"/>
        <v>0</v>
      </c>
      <c r="AA682">
        <f t="shared" si="110"/>
        <v>0</v>
      </c>
      <c r="AB682">
        <f t="shared" si="111"/>
        <v>0</v>
      </c>
      <c r="AC682">
        <f t="shared" si="112"/>
        <v>0</v>
      </c>
      <c r="AD682">
        <f t="shared" si="113"/>
        <v>0</v>
      </c>
      <c r="AE682">
        <f t="shared" si="114"/>
        <v>0</v>
      </c>
      <c r="AF682">
        <f t="shared" si="115"/>
        <v>0</v>
      </c>
      <c r="AG682">
        <f t="shared" si="116"/>
        <v>0</v>
      </c>
      <c r="AH682" t="s">
        <v>550</v>
      </c>
      <c r="AI682" t="s">
        <v>683</v>
      </c>
      <c r="AJ682" t="s">
        <v>684</v>
      </c>
    </row>
    <row r="683" spans="1:36" x14ac:dyDescent="0.2">
      <c r="A683" t="s">
        <v>235</v>
      </c>
      <c r="B683" t="s">
        <v>488</v>
      </c>
      <c r="C683" t="s">
        <v>37</v>
      </c>
      <c r="D683" t="s">
        <v>984</v>
      </c>
      <c r="E683" s="6" t="s">
        <v>18</v>
      </c>
      <c r="F683" s="6">
        <v>0.7</v>
      </c>
      <c r="G683" s="6" t="s">
        <v>28</v>
      </c>
      <c r="H683" s="6">
        <v>0.3</v>
      </c>
      <c r="I683" t="s">
        <v>985</v>
      </c>
      <c r="J683" t="s">
        <v>986</v>
      </c>
      <c r="L683" t="s">
        <v>44</v>
      </c>
      <c r="M683">
        <v>1.3</v>
      </c>
      <c r="N683">
        <v>0.5</v>
      </c>
      <c r="P683" t="s">
        <v>3037</v>
      </c>
      <c r="Q683">
        <v>4</v>
      </c>
      <c r="R683" t="s">
        <v>3038</v>
      </c>
      <c r="S683">
        <v>3</v>
      </c>
      <c r="V683" t="s">
        <v>3039</v>
      </c>
      <c r="W683" t="s">
        <v>222</v>
      </c>
      <c r="Y683">
        <f t="shared" si="108"/>
        <v>0.7</v>
      </c>
      <c r="Z683">
        <f t="shared" si="109"/>
        <v>0</v>
      </c>
      <c r="AA683">
        <f t="shared" si="110"/>
        <v>0</v>
      </c>
      <c r="AB683">
        <f t="shared" si="111"/>
        <v>0</v>
      </c>
      <c r="AC683">
        <f t="shared" si="112"/>
        <v>0</v>
      </c>
      <c r="AD683">
        <f t="shared" si="113"/>
        <v>0.3</v>
      </c>
      <c r="AE683">
        <f t="shared" si="114"/>
        <v>0</v>
      </c>
      <c r="AF683">
        <f t="shared" si="115"/>
        <v>0</v>
      </c>
      <c r="AG683">
        <f t="shared" si="116"/>
        <v>0</v>
      </c>
      <c r="AH683" t="s">
        <v>550</v>
      </c>
      <c r="AI683" t="s">
        <v>683</v>
      </c>
      <c r="AJ683" t="s">
        <v>684</v>
      </c>
    </row>
    <row r="684" spans="1:36" x14ac:dyDescent="0.2">
      <c r="A684" t="s">
        <v>235</v>
      </c>
      <c r="B684" t="s">
        <v>488</v>
      </c>
      <c r="C684" t="s">
        <v>37</v>
      </c>
      <c r="D684" t="s">
        <v>984</v>
      </c>
      <c r="E684" s="6" t="s">
        <v>18</v>
      </c>
      <c r="F684" s="6">
        <v>0.7</v>
      </c>
      <c r="G684" s="6" t="s">
        <v>28</v>
      </c>
      <c r="H684" s="6">
        <v>0.3</v>
      </c>
      <c r="I684" t="s">
        <v>985</v>
      </c>
      <c r="J684" t="s">
        <v>986</v>
      </c>
      <c r="L684" t="s">
        <v>44</v>
      </c>
      <c r="M684">
        <v>1.3</v>
      </c>
      <c r="N684">
        <v>0.5</v>
      </c>
      <c r="P684" t="s">
        <v>3040</v>
      </c>
      <c r="Q684">
        <v>5</v>
      </c>
      <c r="R684" t="s">
        <v>3041</v>
      </c>
      <c r="S684">
        <v>4</v>
      </c>
      <c r="V684" t="s">
        <v>2454</v>
      </c>
      <c r="W684" t="s">
        <v>222</v>
      </c>
      <c r="Y684">
        <f t="shared" si="108"/>
        <v>2.0999999999999996</v>
      </c>
      <c r="Z684">
        <f t="shared" si="109"/>
        <v>0</v>
      </c>
      <c r="AA684">
        <f t="shared" si="110"/>
        <v>0</v>
      </c>
      <c r="AB684">
        <f t="shared" si="111"/>
        <v>0</v>
      </c>
      <c r="AC684">
        <f t="shared" si="112"/>
        <v>0</v>
      </c>
      <c r="AD684">
        <f t="shared" si="113"/>
        <v>0.89999999999999991</v>
      </c>
      <c r="AE684">
        <f t="shared" si="114"/>
        <v>0</v>
      </c>
      <c r="AF684">
        <f t="shared" si="115"/>
        <v>0</v>
      </c>
      <c r="AG684">
        <f t="shared" si="116"/>
        <v>0</v>
      </c>
      <c r="AH684" t="s">
        <v>550</v>
      </c>
      <c r="AI684" t="s">
        <v>683</v>
      </c>
      <c r="AJ684" t="s">
        <v>684</v>
      </c>
    </row>
    <row r="685" spans="1:36" x14ac:dyDescent="0.2">
      <c r="A685" t="s">
        <v>235</v>
      </c>
      <c r="B685" t="s">
        <v>490</v>
      </c>
      <c r="C685" t="s">
        <v>37</v>
      </c>
      <c r="D685" t="s">
        <v>987</v>
      </c>
      <c r="E685" s="6" t="s">
        <v>18</v>
      </c>
      <c r="F685" s="6">
        <v>0.6</v>
      </c>
      <c r="G685" s="6" t="s">
        <v>20</v>
      </c>
      <c r="H685" s="6">
        <v>0.4</v>
      </c>
      <c r="I685" t="s">
        <v>988</v>
      </c>
      <c r="J685" t="s">
        <v>989</v>
      </c>
      <c r="L685" t="s">
        <v>44</v>
      </c>
      <c r="M685">
        <v>1.2</v>
      </c>
      <c r="N685">
        <v>0.5</v>
      </c>
      <c r="P685" t="s">
        <v>3042</v>
      </c>
      <c r="Q685">
        <v>1</v>
      </c>
      <c r="R685" t="s">
        <v>3043</v>
      </c>
      <c r="S685">
        <v>0</v>
      </c>
      <c r="T685" t="s">
        <v>172</v>
      </c>
      <c r="U685" t="s">
        <v>61</v>
      </c>
      <c r="V685" t="s">
        <v>3044</v>
      </c>
      <c r="W685" t="s">
        <v>222</v>
      </c>
      <c r="Y685">
        <f t="shared" si="108"/>
        <v>2.8</v>
      </c>
      <c r="Z685">
        <f t="shared" si="109"/>
        <v>0</v>
      </c>
      <c r="AA685">
        <f t="shared" si="110"/>
        <v>0</v>
      </c>
      <c r="AB685">
        <f t="shared" si="111"/>
        <v>0</v>
      </c>
      <c r="AC685">
        <f t="shared" si="112"/>
        <v>0</v>
      </c>
      <c r="AD685">
        <f t="shared" si="113"/>
        <v>1.2</v>
      </c>
      <c r="AE685">
        <f t="shared" si="114"/>
        <v>0</v>
      </c>
      <c r="AF685">
        <f t="shared" si="115"/>
        <v>0</v>
      </c>
      <c r="AG685">
        <f t="shared" si="116"/>
        <v>0</v>
      </c>
      <c r="AH685" t="s">
        <v>599</v>
      </c>
      <c r="AI685" t="s">
        <v>600</v>
      </c>
      <c r="AJ685" t="s">
        <v>911</v>
      </c>
    </row>
    <row r="686" spans="1:36" x14ac:dyDescent="0.2">
      <c r="A686" t="s">
        <v>235</v>
      </c>
      <c r="B686" t="s">
        <v>490</v>
      </c>
      <c r="C686" t="s">
        <v>37</v>
      </c>
      <c r="D686" t="s">
        <v>987</v>
      </c>
      <c r="E686" s="6" t="s">
        <v>18</v>
      </c>
      <c r="F686" s="6">
        <v>0.6</v>
      </c>
      <c r="G686" s="6" t="s">
        <v>20</v>
      </c>
      <c r="H686" s="6">
        <v>0.4</v>
      </c>
      <c r="I686" t="s">
        <v>988</v>
      </c>
      <c r="J686" t="s">
        <v>989</v>
      </c>
      <c r="L686" t="s">
        <v>44</v>
      </c>
      <c r="M686">
        <v>1.2</v>
      </c>
      <c r="N686">
        <v>0.5</v>
      </c>
      <c r="P686" t="s">
        <v>3045</v>
      </c>
      <c r="Q686">
        <v>2</v>
      </c>
      <c r="R686" t="s">
        <v>3046</v>
      </c>
      <c r="S686">
        <v>1</v>
      </c>
      <c r="T686" t="s">
        <v>255</v>
      </c>
      <c r="U686" t="s">
        <v>60</v>
      </c>
      <c r="V686" t="s">
        <v>3047</v>
      </c>
      <c r="W686" t="s">
        <v>222</v>
      </c>
      <c r="Y686">
        <f t="shared" si="108"/>
        <v>0</v>
      </c>
      <c r="Z686">
        <f t="shared" si="109"/>
        <v>0</v>
      </c>
      <c r="AA686">
        <f t="shared" si="110"/>
        <v>0</v>
      </c>
      <c r="AB686">
        <f t="shared" si="111"/>
        <v>0</v>
      </c>
      <c r="AC686">
        <f t="shared" si="112"/>
        <v>0</v>
      </c>
      <c r="AD686">
        <f t="shared" si="113"/>
        <v>0</v>
      </c>
      <c r="AE686">
        <f t="shared" si="114"/>
        <v>0</v>
      </c>
      <c r="AF686">
        <f t="shared" si="115"/>
        <v>0</v>
      </c>
      <c r="AG686">
        <f t="shared" si="116"/>
        <v>0</v>
      </c>
      <c r="AH686" t="s">
        <v>599</v>
      </c>
      <c r="AI686" t="s">
        <v>600</v>
      </c>
      <c r="AJ686" t="s">
        <v>911</v>
      </c>
    </row>
    <row r="687" spans="1:36" x14ac:dyDescent="0.2">
      <c r="A687" t="s">
        <v>235</v>
      </c>
      <c r="B687" t="s">
        <v>490</v>
      </c>
      <c r="C687" t="s">
        <v>37</v>
      </c>
      <c r="D687" t="s">
        <v>987</v>
      </c>
      <c r="E687" s="6" t="s">
        <v>18</v>
      </c>
      <c r="F687" s="6">
        <v>0.6</v>
      </c>
      <c r="G687" s="6" t="s">
        <v>20</v>
      </c>
      <c r="H687" s="6">
        <v>0.4</v>
      </c>
      <c r="I687" t="s">
        <v>988</v>
      </c>
      <c r="J687" t="s">
        <v>989</v>
      </c>
      <c r="L687" t="s">
        <v>44</v>
      </c>
      <c r="M687">
        <v>1.2</v>
      </c>
      <c r="N687">
        <v>0.5</v>
      </c>
      <c r="P687" t="s">
        <v>3048</v>
      </c>
      <c r="Q687">
        <v>3</v>
      </c>
      <c r="R687" t="s">
        <v>3049</v>
      </c>
      <c r="S687">
        <v>3</v>
      </c>
      <c r="V687" t="s">
        <v>3050</v>
      </c>
      <c r="W687" t="s">
        <v>222</v>
      </c>
      <c r="Y687">
        <f t="shared" si="108"/>
        <v>0.6</v>
      </c>
      <c r="Z687">
        <f t="shared" si="109"/>
        <v>0.4</v>
      </c>
      <c r="AA687">
        <f t="shared" si="110"/>
        <v>0</v>
      </c>
      <c r="AB687">
        <f t="shared" si="111"/>
        <v>0</v>
      </c>
      <c r="AC687">
        <f t="shared" si="112"/>
        <v>0</v>
      </c>
      <c r="AD687">
        <f t="shared" si="113"/>
        <v>0</v>
      </c>
      <c r="AE687">
        <f t="shared" si="114"/>
        <v>0</v>
      </c>
      <c r="AF687">
        <f t="shared" si="115"/>
        <v>0</v>
      </c>
      <c r="AG687">
        <f t="shared" si="116"/>
        <v>0</v>
      </c>
      <c r="AH687" t="s">
        <v>599</v>
      </c>
      <c r="AI687" t="s">
        <v>600</v>
      </c>
      <c r="AJ687" t="s">
        <v>911</v>
      </c>
    </row>
    <row r="688" spans="1:36" x14ac:dyDescent="0.2">
      <c r="A688" t="s">
        <v>235</v>
      </c>
      <c r="B688" t="s">
        <v>490</v>
      </c>
      <c r="C688" t="s">
        <v>37</v>
      </c>
      <c r="D688" t="s">
        <v>987</v>
      </c>
      <c r="E688" s="6" t="s">
        <v>18</v>
      </c>
      <c r="F688" s="6">
        <v>0.6</v>
      </c>
      <c r="G688" s="6" t="s">
        <v>20</v>
      </c>
      <c r="H688" s="6">
        <v>0.4</v>
      </c>
      <c r="I688" t="s">
        <v>988</v>
      </c>
      <c r="J688" t="s">
        <v>989</v>
      </c>
      <c r="L688" t="s">
        <v>44</v>
      </c>
      <c r="M688">
        <v>1.2</v>
      </c>
      <c r="N688">
        <v>0.5</v>
      </c>
      <c r="P688" t="s">
        <v>3051</v>
      </c>
      <c r="Q688">
        <v>4</v>
      </c>
      <c r="R688" t="s">
        <v>3052</v>
      </c>
      <c r="S688">
        <v>4</v>
      </c>
      <c r="V688" t="s">
        <v>2454</v>
      </c>
      <c r="W688" t="s">
        <v>222</v>
      </c>
      <c r="Y688">
        <f t="shared" si="108"/>
        <v>1.7999999999999998</v>
      </c>
      <c r="Z688">
        <f t="shared" si="109"/>
        <v>1.2000000000000002</v>
      </c>
      <c r="AA688">
        <f t="shared" si="110"/>
        <v>0</v>
      </c>
      <c r="AB688">
        <f t="shared" si="111"/>
        <v>0</v>
      </c>
      <c r="AC688">
        <f t="shared" si="112"/>
        <v>0</v>
      </c>
      <c r="AD688">
        <f t="shared" si="113"/>
        <v>0</v>
      </c>
      <c r="AE688">
        <f t="shared" si="114"/>
        <v>0</v>
      </c>
      <c r="AF688">
        <f t="shared" si="115"/>
        <v>0</v>
      </c>
      <c r="AG688">
        <f t="shared" si="116"/>
        <v>0</v>
      </c>
      <c r="AH688" t="s">
        <v>599</v>
      </c>
      <c r="AI688" t="s">
        <v>600</v>
      </c>
      <c r="AJ688" t="s">
        <v>911</v>
      </c>
    </row>
    <row r="689" spans="1:36" x14ac:dyDescent="0.2">
      <c r="A689" t="s">
        <v>235</v>
      </c>
      <c r="B689" t="s">
        <v>491</v>
      </c>
      <c r="C689" t="s">
        <v>37</v>
      </c>
      <c r="D689" t="s">
        <v>990</v>
      </c>
      <c r="E689" s="6" t="s">
        <v>18</v>
      </c>
      <c r="F689" s="6">
        <v>0.5</v>
      </c>
      <c r="G689" s="6" t="s">
        <v>20</v>
      </c>
      <c r="H689" s="6">
        <v>0.5</v>
      </c>
      <c r="I689" t="s">
        <v>991</v>
      </c>
      <c r="J689" t="s">
        <v>992</v>
      </c>
      <c r="L689" t="s">
        <v>44</v>
      </c>
      <c r="M689">
        <v>1.2</v>
      </c>
      <c r="P689" t="s">
        <v>3053</v>
      </c>
      <c r="Q689">
        <v>1</v>
      </c>
      <c r="R689" t="s">
        <v>3054</v>
      </c>
      <c r="S689">
        <v>0</v>
      </c>
      <c r="T689" t="s">
        <v>172</v>
      </c>
      <c r="U689" t="s">
        <v>61</v>
      </c>
      <c r="V689" t="s">
        <v>3055</v>
      </c>
      <c r="W689" t="s">
        <v>222</v>
      </c>
      <c r="Y689">
        <f t="shared" si="108"/>
        <v>2.4</v>
      </c>
      <c r="Z689">
        <f t="shared" si="109"/>
        <v>1.6</v>
      </c>
      <c r="AA689">
        <f t="shared" si="110"/>
        <v>0</v>
      </c>
      <c r="AB689">
        <f t="shared" si="111"/>
        <v>0</v>
      </c>
      <c r="AC689">
        <f t="shared" si="112"/>
        <v>0</v>
      </c>
      <c r="AD689">
        <f t="shared" si="113"/>
        <v>0</v>
      </c>
      <c r="AE689">
        <f t="shared" si="114"/>
        <v>0</v>
      </c>
      <c r="AF689">
        <f t="shared" si="115"/>
        <v>0</v>
      </c>
      <c r="AG689">
        <f t="shared" si="116"/>
        <v>0</v>
      </c>
      <c r="AH689" t="s">
        <v>570</v>
      </c>
      <c r="AI689" t="s">
        <v>607</v>
      </c>
      <c r="AJ689" t="s">
        <v>608</v>
      </c>
    </row>
    <row r="690" spans="1:36" x14ac:dyDescent="0.2">
      <c r="A690" t="s">
        <v>235</v>
      </c>
      <c r="B690" t="s">
        <v>491</v>
      </c>
      <c r="C690" t="s">
        <v>37</v>
      </c>
      <c r="D690" t="s">
        <v>990</v>
      </c>
      <c r="E690" s="6" t="s">
        <v>18</v>
      </c>
      <c r="F690" s="6">
        <v>0.5</v>
      </c>
      <c r="G690" s="6" t="s">
        <v>20</v>
      </c>
      <c r="H690" s="6">
        <v>0.5</v>
      </c>
      <c r="I690" t="s">
        <v>991</v>
      </c>
      <c r="J690" t="s">
        <v>992</v>
      </c>
      <c r="L690" t="s">
        <v>44</v>
      </c>
      <c r="M690">
        <v>1.2</v>
      </c>
      <c r="P690" t="s">
        <v>3056</v>
      </c>
      <c r="Q690">
        <v>2</v>
      </c>
      <c r="R690" t="s">
        <v>3057</v>
      </c>
      <c r="S690">
        <v>1</v>
      </c>
      <c r="T690" t="s">
        <v>255</v>
      </c>
      <c r="U690" t="s">
        <v>60</v>
      </c>
      <c r="V690" t="s">
        <v>3058</v>
      </c>
      <c r="W690" t="s">
        <v>222</v>
      </c>
      <c r="Y690">
        <f t="shared" si="108"/>
        <v>0</v>
      </c>
      <c r="Z690">
        <f t="shared" si="109"/>
        <v>0</v>
      </c>
      <c r="AA690">
        <f t="shared" si="110"/>
        <v>0</v>
      </c>
      <c r="AB690">
        <f t="shared" si="111"/>
        <v>0</v>
      </c>
      <c r="AC690">
        <f t="shared" si="112"/>
        <v>0</v>
      </c>
      <c r="AD690">
        <f t="shared" si="113"/>
        <v>0</v>
      </c>
      <c r="AE690">
        <f t="shared" si="114"/>
        <v>0</v>
      </c>
      <c r="AF690">
        <f t="shared" si="115"/>
        <v>0</v>
      </c>
      <c r="AG690">
        <f t="shared" si="116"/>
        <v>0</v>
      </c>
      <c r="AH690" t="s">
        <v>570</v>
      </c>
      <c r="AI690" t="s">
        <v>607</v>
      </c>
      <c r="AJ690" t="s">
        <v>608</v>
      </c>
    </row>
    <row r="691" spans="1:36" x14ac:dyDescent="0.2">
      <c r="A691" t="s">
        <v>235</v>
      </c>
      <c r="B691" t="s">
        <v>491</v>
      </c>
      <c r="C691" t="s">
        <v>37</v>
      </c>
      <c r="D691" t="s">
        <v>990</v>
      </c>
      <c r="E691" s="6" t="s">
        <v>18</v>
      </c>
      <c r="F691" s="6">
        <v>0.5</v>
      </c>
      <c r="G691" s="6" t="s">
        <v>20</v>
      </c>
      <c r="H691" s="6">
        <v>0.5</v>
      </c>
      <c r="I691" t="s">
        <v>991</v>
      </c>
      <c r="J691" t="s">
        <v>992</v>
      </c>
      <c r="L691" t="s">
        <v>44</v>
      </c>
      <c r="M691">
        <v>1.2</v>
      </c>
      <c r="P691" t="s">
        <v>3059</v>
      </c>
      <c r="Q691">
        <v>3</v>
      </c>
      <c r="R691" t="s">
        <v>3060</v>
      </c>
      <c r="S691">
        <v>3</v>
      </c>
      <c r="V691" t="s">
        <v>3061</v>
      </c>
      <c r="W691" t="s">
        <v>222</v>
      </c>
      <c r="Y691">
        <f t="shared" si="108"/>
        <v>0.5</v>
      </c>
      <c r="Z691">
        <f t="shared" si="109"/>
        <v>0.5</v>
      </c>
      <c r="AA691">
        <f t="shared" si="110"/>
        <v>0</v>
      </c>
      <c r="AB691">
        <f t="shared" si="111"/>
        <v>0</v>
      </c>
      <c r="AC691">
        <f t="shared" si="112"/>
        <v>0</v>
      </c>
      <c r="AD691">
        <f t="shared" si="113"/>
        <v>0</v>
      </c>
      <c r="AE691">
        <f t="shared" si="114"/>
        <v>0</v>
      </c>
      <c r="AF691">
        <f t="shared" si="115"/>
        <v>0</v>
      </c>
      <c r="AG691">
        <f t="shared" si="116"/>
        <v>0</v>
      </c>
      <c r="AH691" t="s">
        <v>570</v>
      </c>
      <c r="AI691" t="s">
        <v>607</v>
      </c>
      <c r="AJ691" t="s">
        <v>608</v>
      </c>
    </row>
    <row r="692" spans="1:36" x14ac:dyDescent="0.2">
      <c r="A692" t="s">
        <v>235</v>
      </c>
      <c r="B692" t="s">
        <v>491</v>
      </c>
      <c r="C692" t="s">
        <v>37</v>
      </c>
      <c r="D692" t="s">
        <v>990</v>
      </c>
      <c r="E692" s="6" t="s">
        <v>18</v>
      </c>
      <c r="F692" s="6">
        <v>0.5</v>
      </c>
      <c r="G692" s="6" t="s">
        <v>20</v>
      </c>
      <c r="H692" s="6">
        <v>0.5</v>
      </c>
      <c r="I692" t="s">
        <v>991</v>
      </c>
      <c r="J692" t="s">
        <v>992</v>
      </c>
      <c r="L692" t="s">
        <v>44</v>
      </c>
      <c r="M692">
        <v>1.2</v>
      </c>
      <c r="P692" t="s">
        <v>3062</v>
      </c>
      <c r="Q692">
        <v>4</v>
      </c>
      <c r="R692" t="s">
        <v>3063</v>
      </c>
      <c r="S692">
        <v>4</v>
      </c>
      <c r="V692" t="s">
        <v>2454</v>
      </c>
      <c r="W692" t="s">
        <v>222</v>
      </c>
      <c r="Y692">
        <f t="shared" si="108"/>
        <v>1.5</v>
      </c>
      <c r="Z692">
        <f t="shared" si="109"/>
        <v>1.5</v>
      </c>
      <c r="AA692">
        <f t="shared" si="110"/>
        <v>0</v>
      </c>
      <c r="AB692">
        <f t="shared" si="111"/>
        <v>0</v>
      </c>
      <c r="AC692">
        <f t="shared" si="112"/>
        <v>0</v>
      </c>
      <c r="AD692">
        <f t="shared" si="113"/>
        <v>0</v>
      </c>
      <c r="AE692">
        <f t="shared" si="114"/>
        <v>0</v>
      </c>
      <c r="AF692">
        <f t="shared" si="115"/>
        <v>0</v>
      </c>
      <c r="AG692">
        <f t="shared" si="116"/>
        <v>0</v>
      </c>
      <c r="AH692" t="s">
        <v>570</v>
      </c>
      <c r="AI692" t="s">
        <v>607</v>
      </c>
      <c r="AJ692" t="s">
        <v>608</v>
      </c>
    </row>
    <row r="693" spans="1:36" x14ac:dyDescent="0.2">
      <c r="A693" t="s">
        <v>235</v>
      </c>
      <c r="B693" t="s">
        <v>492</v>
      </c>
      <c r="C693" t="s">
        <v>39</v>
      </c>
      <c r="D693" t="s">
        <v>993</v>
      </c>
      <c r="E693" s="6" t="s">
        <v>18</v>
      </c>
      <c r="F693" s="6">
        <v>1</v>
      </c>
      <c r="G693" s="6" t="s">
        <v>522</v>
      </c>
      <c r="I693" t="s">
        <v>994</v>
      </c>
      <c r="J693" t="s">
        <v>995</v>
      </c>
      <c r="L693" t="s">
        <v>44</v>
      </c>
      <c r="M693">
        <v>1</v>
      </c>
      <c r="P693" t="s">
        <v>3064</v>
      </c>
      <c r="Q693">
        <v>1</v>
      </c>
      <c r="R693" t="s">
        <v>3065</v>
      </c>
      <c r="S693">
        <v>0</v>
      </c>
      <c r="T693" t="s">
        <v>255</v>
      </c>
      <c r="U693" t="s">
        <v>60</v>
      </c>
      <c r="V693" t="s">
        <v>3066</v>
      </c>
      <c r="W693" t="s">
        <v>222</v>
      </c>
      <c r="Y693">
        <f t="shared" si="108"/>
        <v>2</v>
      </c>
      <c r="Z693">
        <f t="shared" si="109"/>
        <v>2</v>
      </c>
      <c r="AA693">
        <f t="shared" si="110"/>
        <v>0</v>
      </c>
      <c r="AB693">
        <f t="shared" si="111"/>
        <v>0</v>
      </c>
      <c r="AC693">
        <f t="shared" si="112"/>
        <v>0</v>
      </c>
      <c r="AD693">
        <f t="shared" si="113"/>
        <v>0</v>
      </c>
      <c r="AE693">
        <f t="shared" si="114"/>
        <v>0</v>
      </c>
      <c r="AF693">
        <f t="shared" si="115"/>
        <v>0</v>
      </c>
      <c r="AG693">
        <f t="shared" si="116"/>
        <v>0</v>
      </c>
      <c r="AH693" t="s">
        <v>521</v>
      </c>
      <c r="AI693" t="s">
        <v>566</v>
      </c>
      <c r="AJ693" t="s">
        <v>567</v>
      </c>
    </row>
    <row r="694" spans="1:36" x14ac:dyDescent="0.2">
      <c r="A694" t="s">
        <v>235</v>
      </c>
      <c r="B694" t="s">
        <v>492</v>
      </c>
      <c r="C694" t="s">
        <v>39</v>
      </c>
      <c r="D694" t="s">
        <v>993</v>
      </c>
      <c r="E694" s="6" t="s">
        <v>18</v>
      </c>
      <c r="F694" s="6">
        <v>1</v>
      </c>
      <c r="G694" s="6" t="s">
        <v>522</v>
      </c>
      <c r="I694" t="s">
        <v>994</v>
      </c>
      <c r="J694" t="s">
        <v>995</v>
      </c>
      <c r="L694" t="s">
        <v>44</v>
      </c>
      <c r="M694">
        <v>1</v>
      </c>
      <c r="P694" t="s">
        <v>3067</v>
      </c>
      <c r="Q694">
        <v>2</v>
      </c>
      <c r="R694" t="s">
        <v>3068</v>
      </c>
      <c r="S694">
        <v>1</v>
      </c>
      <c r="T694" t="s">
        <v>255</v>
      </c>
      <c r="U694" t="s">
        <v>60</v>
      </c>
      <c r="V694" t="s">
        <v>3069</v>
      </c>
      <c r="W694" t="s">
        <v>222</v>
      </c>
      <c r="Y694">
        <f t="shared" si="108"/>
        <v>0</v>
      </c>
      <c r="Z694">
        <f t="shared" si="109"/>
        <v>0</v>
      </c>
      <c r="AA694">
        <f t="shared" si="110"/>
        <v>0</v>
      </c>
      <c r="AB694">
        <f t="shared" si="111"/>
        <v>0</v>
      </c>
      <c r="AC694">
        <f t="shared" si="112"/>
        <v>0</v>
      </c>
      <c r="AD694">
        <f t="shared" si="113"/>
        <v>0</v>
      </c>
      <c r="AE694">
        <f t="shared" si="114"/>
        <v>0</v>
      </c>
      <c r="AF694">
        <f t="shared" si="115"/>
        <v>0</v>
      </c>
      <c r="AG694">
        <f t="shared" si="116"/>
        <v>0</v>
      </c>
      <c r="AH694" t="s">
        <v>521</v>
      </c>
      <c r="AI694" t="s">
        <v>566</v>
      </c>
      <c r="AJ694" t="s">
        <v>567</v>
      </c>
    </row>
    <row r="695" spans="1:36" x14ac:dyDescent="0.2">
      <c r="A695" t="s">
        <v>235</v>
      </c>
      <c r="B695" t="s">
        <v>492</v>
      </c>
      <c r="C695" t="s">
        <v>39</v>
      </c>
      <c r="D695" t="s">
        <v>993</v>
      </c>
      <c r="E695" s="6" t="s">
        <v>18</v>
      </c>
      <c r="F695" s="6">
        <v>1</v>
      </c>
      <c r="G695" s="6" t="s">
        <v>522</v>
      </c>
      <c r="I695" t="s">
        <v>994</v>
      </c>
      <c r="J695" t="s">
        <v>995</v>
      </c>
      <c r="L695" t="s">
        <v>44</v>
      </c>
      <c r="M695">
        <v>1</v>
      </c>
      <c r="P695" t="s">
        <v>3070</v>
      </c>
      <c r="Q695">
        <v>3</v>
      </c>
      <c r="R695" t="s">
        <v>3071</v>
      </c>
      <c r="S695">
        <v>3</v>
      </c>
      <c r="V695" t="s">
        <v>3072</v>
      </c>
      <c r="W695" t="s">
        <v>222</v>
      </c>
      <c r="Y695">
        <f t="shared" si="108"/>
        <v>1</v>
      </c>
      <c r="Z695">
        <f t="shared" si="109"/>
        <v>0</v>
      </c>
      <c r="AA695">
        <f t="shared" si="110"/>
        <v>0</v>
      </c>
      <c r="AB695">
        <f t="shared" si="111"/>
        <v>0</v>
      </c>
      <c r="AC695">
        <f t="shared" si="112"/>
        <v>0</v>
      </c>
      <c r="AD695">
        <f t="shared" si="113"/>
        <v>0</v>
      </c>
      <c r="AE695">
        <f t="shared" si="114"/>
        <v>0</v>
      </c>
      <c r="AF695">
        <f t="shared" si="115"/>
        <v>0</v>
      </c>
      <c r="AG695">
        <f t="shared" si="116"/>
        <v>0</v>
      </c>
      <c r="AH695" t="s">
        <v>521</v>
      </c>
      <c r="AI695" t="s">
        <v>566</v>
      </c>
      <c r="AJ695" t="s">
        <v>567</v>
      </c>
    </row>
    <row r="696" spans="1:36" x14ac:dyDescent="0.2">
      <c r="A696" t="s">
        <v>235</v>
      </c>
      <c r="B696" t="s">
        <v>492</v>
      </c>
      <c r="C696" t="s">
        <v>39</v>
      </c>
      <c r="D696" t="s">
        <v>993</v>
      </c>
      <c r="E696" s="6" t="s">
        <v>18</v>
      </c>
      <c r="F696" s="6">
        <v>1</v>
      </c>
      <c r="G696" s="6" t="s">
        <v>522</v>
      </c>
      <c r="I696" t="s">
        <v>994</v>
      </c>
      <c r="J696" t="s">
        <v>995</v>
      </c>
      <c r="L696" t="s">
        <v>44</v>
      </c>
      <c r="M696">
        <v>1</v>
      </c>
      <c r="P696" t="s">
        <v>3073</v>
      </c>
      <c r="Q696">
        <v>4</v>
      </c>
      <c r="R696" t="s">
        <v>3074</v>
      </c>
      <c r="S696">
        <v>4</v>
      </c>
      <c r="V696" t="s">
        <v>2454</v>
      </c>
      <c r="W696" t="s">
        <v>222</v>
      </c>
      <c r="Y696">
        <f t="shared" si="108"/>
        <v>3</v>
      </c>
      <c r="Z696">
        <f t="shared" si="109"/>
        <v>0</v>
      </c>
      <c r="AA696">
        <f t="shared" si="110"/>
        <v>0</v>
      </c>
      <c r="AB696">
        <f t="shared" si="111"/>
        <v>0</v>
      </c>
      <c r="AC696">
        <f t="shared" si="112"/>
        <v>0</v>
      </c>
      <c r="AD696">
        <f t="shared" si="113"/>
        <v>0</v>
      </c>
      <c r="AE696">
        <f t="shared" si="114"/>
        <v>0</v>
      </c>
      <c r="AF696">
        <f t="shared" si="115"/>
        <v>0</v>
      </c>
      <c r="AG696">
        <f t="shared" si="116"/>
        <v>0</v>
      </c>
      <c r="AH696" t="s">
        <v>521</v>
      </c>
      <c r="AI696" t="s">
        <v>566</v>
      </c>
      <c r="AJ696" t="s">
        <v>567</v>
      </c>
    </row>
    <row r="697" spans="1:36" x14ac:dyDescent="0.2">
      <c r="A697" t="s">
        <v>235</v>
      </c>
      <c r="B697" t="s">
        <v>493</v>
      </c>
      <c r="C697" t="s">
        <v>39</v>
      </c>
      <c r="D697" t="s">
        <v>934</v>
      </c>
      <c r="E697" s="6" t="s">
        <v>18</v>
      </c>
      <c r="F697" s="6">
        <v>0.6</v>
      </c>
      <c r="G697" s="6" t="s">
        <v>30</v>
      </c>
      <c r="H697" s="6">
        <v>0.4</v>
      </c>
      <c r="I697" t="s">
        <v>996</v>
      </c>
      <c r="J697" t="s">
        <v>997</v>
      </c>
      <c r="L697" t="s">
        <v>44</v>
      </c>
      <c r="M697">
        <v>1</v>
      </c>
      <c r="P697" t="s">
        <v>3075</v>
      </c>
      <c r="Q697">
        <v>1</v>
      </c>
      <c r="R697" t="s">
        <v>3076</v>
      </c>
      <c r="S697">
        <v>0</v>
      </c>
      <c r="T697" t="s">
        <v>172</v>
      </c>
      <c r="U697" t="s">
        <v>61</v>
      </c>
      <c r="V697" t="s">
        <v>3077</v>
      </c>
      <c r="W697" t="s">
        <v>222</v>
      </c>
      <c r="Y697">
        <f t="shared" si="108"/>
        <v>4</v>
      </c>
      <c r="Z697">
        <f t="shared" si="109"/>
        <v>0</v>
      </c>
      <c r="AA697">
        <f t="shared" si="110"/>
        <v>0</v>
      </c>
      <c r="AB697">
        <f t="shared" si="111"/>
        <v>0</v>
      </c>
      <c r="AC697">
        <f t="shared" si="112"/>
        <v>0</v>
      </c>
      <c r="AD697">
        <f t="shared" si="113"/>
        <v>0</v>
      </c>
      <c r="AE697">
        <f t="shared" si="114"/>
        <v>0</v>
      </c>
      <c r="AF697">
        <f t="shared" si="115"/>
        <v>0</v>
      </c>
      <c r="AG697">
        <f t="shared" si="116"/>
        <v>0</v>
      </c>
      <c r="AH697" t="s">
        <v>530</v>
      </c>
      <c r="AI697" t="s">
        <v>581</v>
      </c>
      <c r="AJ697" t="s">
        <v>718</v>
      </c>
    </row>
    <row r="698" spans="1:36" x14ac:dyDescent="0.2">
      <c r="A698" t="s">
        <v>235</v>
      </c>
      <c r="B698" t="s">
        <v>493</v>
      </c>
      <c r="C698" t="s">
        <v>39</v>
      </c>
      <c r="D698" t="s">
        <v>934</v>
      </c>
      <c r="E698" s="6" t="s">
        <v>18</v>
      </c>
      <c r="F698" s="6">
        <v>0.6</v>
      </c>
      <c r="G698" s="6" t="s">
        <v>30</v>
      </c>
      <c r="H698" s="6">
        <v>0.4</v>
      </c>
      <c r="I698" t="s">
        <v>996</v>
      </c>
      <c r="J698" t="s">
        <v>997</v>
      </c>
      <c r="L698" t="s">
        <v>44</v>
      </c>
      <c r="M698">
        <v>1</v>
      </c>
      <c r="P698" t="s">
        <v>3078</v>
      </c>
      <c r="Q698">
        <v>2</v>
      </c>
      <c r="R698" t="s">
        <v>3079</v>
      </c>
      <c r="S698">
        <v>1</v>
      </c>
      <c r="T698" t="s">
        <v>255</v>
      </c>
      <c r="U698" t="s">
        <v>60</v>
      </c>
      <c r="V698" t="s">
        <v>3080</v>
      </c>
      <c r="W698" t="s">
        <v>222</v>
      </c>
      <c r="Y698">
        <f t="shared" si="108"/>
        <v>0</v>
      </c>
      <c r="Z698">
        <f t="shared" si="109"/>
        <v>0</v>
      </c>
      <c r="AA698">
        <f t="shared" si="110"/>
        <v>0</v>
      </c>
      <c r="AB698">
        <f t="shared" si="111"/>
        <v>0</v>
      </c>
      <c r="AC698">
        <f t="shared" si="112"/>
        <v>0</v>
      </c>
      <c r="AD698">
        <f t="shared" si="113"/>
        <v>0</v>
      </c>
      <c r="AE698">
        <f t="shared" si="114"/>
        <v>0</v>
      </c>
      <c r="AF698">
        <f t="shared" si="115"/>
        <v>0</v>
      </c>
      <c r="AG698">
        <f t="shared" si="116"/>
        <v>0</v>
      </c>
      <c r="AH698" t="s">
        <v>530</v>
      </c>
      <c r="AI698" t="s">
        <v>581</v>
      </c>
      <c r="AJ698" t="s">
        <v>718</v>
      </c>
    </row>
    <row r="699" spans="1:36" x14ac:dyDescent="0.2">
      <c r="A699" t="s">
        <v>235</v>
      </c>
      <c r="B699" t="s">
        <v>493</v>
      </c>
      <c r="C699" t="s">
        <v>39</v>
      </c>
      <c r="D699" t="s">
        <v>934</v>
      </c>
      <c r="E699" s="6" t="s">
        <v>18</v>
      </c>
      <c r="F699" s="6">
        <v>0.6</v>
      </c>
      <c r="G699" s="6" t="s">
        <v>30</v>
      </c>
      <c r="H699" s="6">
        <v>0.4</v>
      </c>
      <c r="I699" t="s">
        <v>996</v>
      </c>
      <c r="J699" t="s">
        <v>997</v>
      </c>
      <c r="L699" t="s">
        <v>44</v>
      </c>
      <c r="M699">
        <v>1</v>
      </c>
      <c r="P699" t="s">
        <v>3081</v>
      </c>
      <c r="Q699">
        <v>3</v>
      </c>
      <c r="R699" t="s">
        <v>3082</v>
      </c>
      <c r="S699">
        <v>3</v>
      </c>
      <c r="V699" t="s">
        <v>3083</v>
      </c>
      <c r="W699" t="s">
        <v>222</v>
      </c>
      <c r="Y699">
        <f t="shared" si="108"/>
        <v>0.6</v>
      </c>
      <c r="Z699">
        <f t="shared" si="109"/>
        <v>0</v>
      </c>
      <c r="AA699">
        <f t="shared" si="110"/>
        <v>0</v>
      </c>
      <c r="AB699">
        <f t="shared" si="111"/>
        <v>0</v>
      </c>
      <c r="AC699">
        <f t="shared" si="112"/>
        <v>0</v>
      </c>
      <c r="AD699">
        <f t="shared" si="113"/>
        <v>0</v>
      </c>
      <c r="AE699">
        <f t="shared" si="114"/>
        <v>0.4</v>
      </c>
      <c r="AF699">
        <f t="shared" si="115"/>
        <v>0</v>
      </c>
      <c r="AG699">
        <f t="shared" si="116"/>
        <v>0</v>
      </c>
      <c r="AH699" t="s">
        <v>530</v>
      </c>
      <c r="AI699" t="s">
        <v>581</v>
      </c>
      <c r="AJ699" t="s">
        <v>718</v>
      </c>
    </row>
    <row r="700" spans="1:36" x14ac:dyDescent="0.2">
      <c r="A700" t="s">
        <v>235</v>
      </c>
      <c r="B700" t="s">
        <v>493</v>
      </c>
      <c r="C700" t="s">
        <v>39</v>
      </c>
      <c r="D700" t="s">
        <v>934</v>
      </c>
      <c r="E700" s="6" t="s">
        <v>18</v>
      </c>
      <c r="F700" s="6">
        <v>0.6</v>
      </c>
      <c r="G700" s="6" t="s">
        <v>30</v>
      </c>
      <c r="H700" s="6">
        <v>0.4</v>
      </c>
      <c r="I700" t="s">
        <v>996</v>
      </c>
      <c r="J700" t="s">
        <v>997</v>
      </c>
      <c r="L700" t="s">
        <v>44</v>
      </c>
      <c r="M700">
        <v>1</v>
      </c>
      <c r="P700" t="s">
        <v>3084</v>
      </c>
      <c r="Q700">
        <v>4</v>
      </c>
      <c r="R700" t="s">
        <v>3085</v>
      </c>
      <c r="S700">
        <v>4</v>
      </c>
      <c r="V700" t="s">
        <v>2454</v>
      </c>
      <c r="W700" t="s">
        <v>222</v>
      </c>
      <c r="Y700">
        <f t="shared" si="108"/>
        <v>1.7999999999999998</v>
      </c>
      <c r="Z700">
        <f t="shared" si="109"/>
        <v>0</v>
      </c>
      <c r="AA700">
        <f t="shared" si="110"/>
        <v>0</v>
      </c>
      <c r="AB700">
        <f t="shared" si="111"/>
        <v>0</v>
      </c>
      <c r="AC700">
        <f t="shared" si="112"/>
        <v>0</v>
      </c>
      <c r="AD700">
        <f t="shared" si="113"/>
        <v>0</v>
      </c>
      <c r="AE700">
        <f t="shared" si="114"/>
        <v>1.2000000000000002</v>
      </c>
      <c r="AF700">
        <f t="shared" si="115"/>
        <v>0</v>
      </c>
      <c r="AG700">
        <f t="shared" si="116"/>
        <v>0</v>
      </c>
      <c r="AH700" t="s">
        <v>530</v>
      </c>
      <c r="AI700" t="s">
        <v>581</v>
      </c>
      <c r="AJ700" t="s">
        <v>718</v>
      </c>
    </row>
    <row r="701" spans="1:36" x14ac:dyDescent="0.2">
      <c r="A701" t="s">
        <v>235</v>
      </c>
      <c r="B701" t="s">
        <v>494</v>
      </c>
      <c r="C701" t="s">
        <v>37</v>
      </c>
      <c r="D701" t="s">
        <v>926</v>
      </c>
      <c r="E701" s="6" t="s">
        <v>34</v>
      </c>
      <c r="F701" s="6">
        <v>0.7</v>
      </c>
      <c r="G701" s="6" t="s">
        <v>18</v>
      </c>
      <c r="H701" s="6">
        <v>0.3</v>
      </c>
      <c r="I701" t="s">
        <v>998</v>
      </c>
      <c r="J701" t="s">
        <v>999</v>
      </c>
      <c r="L701" t="s">
        <v>46</v>
      </c>
      <c r="M701">
        <v>1.2</v>
      </c>
      <c r="P701" t="s">
        <v>3086</v>
      </c>
      <c r="Q701">
        <v>1</v>
      </c>
      <c r="R701" t="s">
        <v>3087</v>
      </c>
      <c r="S701">
        <v>0</v>
      </c>
      <c r="T701" t="s">
        <v>236</v>
      </c>
      <c r="U701" t="s">
        <v>57</v>
      </c>
      <c r="V701" t="s">
        <v>3088</v>
      </c>
      <c r="W701" t="s">
        <v>222</v>
      </c>
      <c r="Y701">
        <f t="shared" si="108"/>
        <v>2.4</v>
      </c>
      <c r="Z701">
        <f t="shared" si="109"/>
        <v>0</v>
      </c>
      <c r="AA701">
        <f t="shared" si="110"/>
        <v>0</v>
      </c>
      <c r="AB701">
        <f t="shared" si="111"/>
        <v>0</v>
      </c>
      <c r="AC701">
        <f t="shared" si="112"/>
        <v>0</v>
      </c>
      <c r="AD701">
        <f t="shared" si="113"/>
        <v>0</v>
      </c>
      <c r="AE701">
        <f t="shared" si="114"/>
        <v>1.6</v>
      </c>
      <c r="AF701">
        <f t="shared" si="115"/>
        <v>0</v>
      </c>
      <c r="AG701">
        <f t="shared" si="116"/>
        <v>0</v>
      </c>
      <c r="AH701" t="s">
        <v>599</v>
      </c>
      <c r="AI701" t="s">
        <v>600</v>
      </c>
      <c r="AJ701" t="s">
        <v>911</v>
      </c>
    </row>
    <row r="702" spans="1:36" x14ac:dyDescent="0.2">
      <c r="A702" t="s">
        <v>235</v>
      </c>
      <c r="B702" t="s">
        <v>494</v>
      </c>
      <c r="C702" t="s">
        <v>37</v>
      </c>
      <c r="D702" t="s">
        <v>926</v>
      </c>
      <c r="E702" s="6" t="s">
        <v>34</v>
      </c>
      <c r="F702" s="6">
        <v>0.7</v>
      </c>
      <c r="G702" s="6" t="s">
        <v>18</v>
      </c>
      <c r="H702" s="6">
        <v>0.3</v>
      </c>
      <c r="I702" t="s">
        <v>998</v>
      </c>
      <c r="J702" t="s">
        <v>999</v>
      </c>
      <c r="L702" t="s">
        <v>46</v>
      </c>
      <c r="M702">
        <v>1.2</v>
      </c>
      <c r="P702" t="s">
        <v>3089</v>
      </c>
      <c r="Q702">
        <v>2</v>
      </c>
      <c r="R702" t="s">
        <v>3090</v>
      </c>
      <c r="S702">
        <v>1</v>
      </c>
      <c r="T702" t="s">
        <v>255</v>
      </c>
      <c r="U702" t="s">
        <v>60</v>
      </c>
      <c r="V702" t="s">
        <v>3091</v>
      </c>
      <c r="W702" t="s">
        <v>222</v>
      </c>
      <c r="Y702">
        <f t="shared" si="108"/>
        <v>0</v>
      </c>
      <c r="Z702">
        <f t="shared" si="109"/>
        <v>0</v>
      </c>
      <c r="AA702">
        <f t="shared" si="110"/>
        <v>0</v>
      </c>
      <c r="AB702">
        <f t="shared" si="111"/>
        <v>0</v>
      </c>
      <c r="AC702">
        <f t="shared" si="112"/>
        <v>0</v>
      </c>
      <c r="AD702">
        <f t="shared" si="113"/>
        <v>0</v>
      </c>
      <c r="AE702">
        <f t="shared" si="114"/>
        <v>0</v>
      </c>
      <c r="AF702">
        <f t="shared" si="115"/>
        <v>0</v>
      </c>
      <c r="AG702">
        <f t="shared" si="116"/>
        <v>0</v>
      </c>
      <c r="AH702" t="s">
        <v>599</v>
      </c>
      <c r="AI702" t="s">
        <v>600</v>
      </c>
      <c r="AJ702" t="s">
        <v>911</v>
      </c>
    </row>
    <row r="703" spans="1:36" x14ac:dyDescent="0.2">
      <c r="A703" t="s">
        <v>235</v>
      </c>
      <c r="B703" t="s">
        <v>494</v>
      </c>
      <c r="C703" t="s">
        <v>37</v>
      </c>
      <c r="D703" t="s">
        <v>926</v>
      </c>
      <c r="E703" s="6" t="s">
        <v>34</v>
      </c>
      <c r="F703" s="6">
        <v>0.7</v>
      </c>
      <c r="G703" s="6" t="s">
        <v>18</v>
      </c>
      <c r="H703" s="6">
        <v>0.3</v>
      </c>
      <c r="I703" t="s">
        <v>998</v>
      </c>
      <c r="J703" t="s">
        <v>999</v>
      </c>
      <c r="L703" t="s">
        <v>46</v>
      </c>
      <c r="M703">
        <v>1.2</v>
      </c>
      <c r="P703" t="s">
        <v>3092</v>
      </c>
      <c r="Q703">
        <v>3</v>
      </c>
      <c r="R703" t="s">
        <v>3093</v>
      </c>
      <c r="S703">
        <v>3</v>
      </c>
      <c r="V703" t="s">
        <v>3094</v>
      </c>
      <c r="W703" t="s">
        <v>222</v>
      </c>
      <c r="Y703">
        <f t="shared" si="108"/>
        <v>0.3</v>
      </c>
      <c r="Z703">
        <f t="shared" si="109"/>
        <v>0</v>
      </c>
      <c r="AA703">
        <f t="shared" si="110"/>
        <v>0</v>
      </c>
      <c r="AB703">
        <f t="shared" si="111"/>
        <v>0</v>
      </c>
      <c r="AC703">
        <f t="shared" si="112"/>
        <v>0</v>
      </c>
      <c r="AD703">
        <f t="shared" si="113"/>
        <v>0</v>
      </c>
      <c r="AE703">
        <f t="shared" si="114"/>
        <v>0</v>
      </c>
      <c r="AF703">
        <f t="shared" si="115"/>
        <v>0</v>
      </c>
      <c r="AG703">
        <f t="shared" si="116"/>
        <v>0.7</v>
      </c>
      <c r="AH703" t="s">
        <v>599</v>
      </c>
      <c r="AI703" t="s">
        <v>600</v>
      </c>
      <c r="AJ703" t="s">
        <v>911</v>
      </c>
    </row>
    <row r="704" spans="1:36" x14ac:dyDescent="0.2">
      <c r="A704" t="s">
        <v>235</v>
      </c>
      <c r="B704" t="s">
        <v>494</v>
      </c>
      <c r="C704" t="s">
        <v>37</v>
      </c>
      <c r="D704" t="s">
        <v>926</v>
      </c>
      <c r="E704" s="6" t="s">
        <v>34</v>
      </c>
      <c r="F704" s="6">
        <v>0.7</v>
      </c>
      <c r="G704" s="6" t="s">
        <v>18</v>
      </c>
      <c r="H704" s="6">
        <v>0.3</v>
      </c>
      <c r="I704" t="s">
        <v>998</v>
      </c>
      <c r="J704" t="s">
        <v>999</v>
      </c>
      <c r="L704" t="s">
        <v>46</v>
      </c>
      <c r="M704">
        <v>1.2</v>
      </c>
      <c r="P704" t="s">
        <v>3095</v>
      </c>
      <c r="Q704">
        <v>4</v>
      </c>
      <c r="R704" t="s">
        <v>3096</v>
      </c>
      <c r="S704">
        <v>4</v>
      </c>
      <c r="V704" t="s">
        <v>2454</v>
      </c>
      <c r="W704" t="s">
        <v>222</v>
      </c>
      <c r="Y704">
        <f t="shared" si="108"/>
        <v>0.89999999999999991</v>
      </c>
      <c r="Z704">
        <f t="shared" si="109"/>
        <v>0</v>
      </c>
      <c r="AA704">
        <f t="shared" si="110"/>
        <v>0</v>
      </c>
      <c r="AB704">
        <f t="shared" si="111"/>
        <v>0</v>
      </c>
      <c r="AC704">
        <f t="shared" si="112"/>
        <v>0</v>
      </c>
      <c r="AD704">
        <f t="shared" si="113"/>
        <v>0</v>
      </c>
      <c r="AE704">
        <f t="shared" si="114"/>
        <v>0</v>
      </c>
      <c r="AF704">
        <f t="shared" si="115"/>
        <v>0</v>
      </c>
      <c r="AG704">
        <f t="shared" si="116"/>
        <v>2.0999999999999996</v>
      </c>
      <c r="AH704" t="s">
        <v>599</v>
      </c>
      <c r="AI704" t="s">
        <v>600</v>
      </c>
      <c r="AJ704" t="s">
        <v>911</v>
      </c>
    </row>
    <row r="705" spans="1:36" x14ac:dyDescent="0.2">
      <c r="A705" t="s">
        <v>235</v>
      </c>
      <c r="B705" t="s">
        <v>495</v>
      </c>
      <c r="C705" t="s">
        <v>39</v>
      </c>
      <c r="D705" t="s">
        <v>858</v>
      </c>
      <c r="E705" s="6" t="s">
        <v>24</v>
      </c>
      <c r="F705" s="6">
        <v>0.7</v>
      </c>
      <c r="G705" s="6" t="s">
        <v>18</v>
      </c>
      <c r="H705" s="6">
        <v>0.3</v>
      </c>
      <c r="I705" t="s">
        <v>1000</v>
      </c>
      <c r="J705" t="s">
        <v>1001</v>
      </c>
      <c r="L705" t="s">
        <v>52</v>
      </c>
      <c r="M705">
        <v>1.1000000000000001</v>
      </c>
      <c r="P705" t="s">
        <v>3097</v>
      </c>
      <c r="Q705">
        <v>1</v>
      </c>
      <c r="R705" t="s">
        <v>3098</v>
      </c>
      <c r="S705">
        <v>0</v>
      </c>
      <c r="T705" t="s">
        <v>248</v>
      </c>
      <c r="U705" t="s">
        <v>59</v>
      </c>
      <c r="V705" t="s">
        <v>3099</v>
      </c>
      <c r="W705" t="s">
        <v>222</v>
      </c>
      <c r="Y705">
        <f t="shared" si="108"/>
        <v>1.2</v>
      </c>
      <c r="Z705">
        <f t="shared" si="109"/>
        <v>0</v>
      </c>
      <c r="AA705">
        <f t="shared" si="110"/>
        <v>0</v>
      </c>
      <c r="AB705">
        <f t="shared" si="111"/>
        <v>0</v>
      </c>
      <c r="AC705">
        <f t="shared" si="112"/>
        <v>0</v>
      </c>
      <c r="AD705">
        <f t="shared" si="113"/>
        <v>0</v>
      </c>
      <c r="AE705">
        <f t="shared" si="114"/>
        <v>0</v>
      </c>
      <c r="AF705">
        <f t="shared" si="115"/>
        <v>0</v>
      </c>
      <c r="AG705">
        <f t="shared" si="116"/>
        <v>2.8</v>
      </c>
      <c r="AH705" t="s">
        <v>570</v>
      </c>
      <c r="AI705" t="s">
        <v>607</v>
      </c>
      <c r="AJ705" t="s">
        <v>687</v>
      </c>
    </row>
    <row r="706" spans="1:36" x14ac:dyDescent="0.2">
      <c r="A706" t="s">
        <v>235</v>
      </c>
      <c r="B706" t="s">
        <v>495</v>
      </c>
      <c r="C706" t="s">
        <v>39</v>
      </c>
      <c r="D706" t="s">
        <v>858</v>
      </c>
      <c r="E706" s="6" t="s">
        <v>24</v>
      </c>
      <c r="F706" s="6">
        <v>0.7</v>
      </c>
      <c r="G706" s="6" t="s">
        <v>18</v>
      </c>
      <c r="H706" s="6">
        <v>0.3</v>
      </c>
      <c r="I706" t="s">
        <v>1000</v>
      </c>
      <c r="J706" t="s">
        <v>1001</v>
      </c>
      <c r="L706" t="s">
        <v>52</v>
      </c>
      <c r="M706">
        <v>1.1000000000000001</v>
      </c>
      <c r="P706" t="s">
        <v>3100</v>
      </c>
      <c r="Q706">
        <v>2</v>
      </c>
      <c r="R706" t="s">
        <v>3101</v>
      </c>
      <c r="S706">
        <v>1</v>
      </c>
      <c r="T706" t="s">
        <v>255</v>
      </c>
      <c r="U706" t="s">
        <v>60</v>
      </c>
      <c r="V706" t="s">
        <v>3102</v>
      </c>
      <c r="W706" t="s">
        <v>222</v>
      </c>
      <c r="Y706">
        <f t="shared" si="108"/>
        <v>0</v>
      </c>
      <c r="Z706">
        <f t="shared" si="109"/>
        <v>0</v>
      </c>
      <c r="AA706">
        <f t="shared" si="110"/>
        <v>0</v>
      </c>
      <c r="AB706">
        <f t="shared" si="111"/>
        <v>0</v>
      </c>
      <c r="AC706">
        <f t="shared" si="112"/>
        <v>0</v>
      </c>
      <c r="AD706">
        <f t="shared" si="113"/>
        <v>0</v>
      </c>
      <c r="AE706">
        <f t="shared" si="114"/>
        <v>0</v>
      </c>
      <c r="AF706">
        <f t="shared" si="115"/>
        <v>0</v>
      </c>
      <c r="AG706">
        <f t="shared" si="116"/>
        <v>0</v>
      </c>
      <c r="AH706" t="s">
        <v>570</v>
      </c>
      <c r="AI706" t="s">
        <v>607</v>
      </c>
      <c r="AJ706" t="s">
        <v>687</v>
      </c>
    </row>
    <row r="707" spans="1:36" x14ac:dyDescent="0.2">
      <c r="A707" t="s">
        <v>235</v>
      </c>
      <c r="B707" t="s">
        <v>495</v>
      </c>
      <c r="C707" t="s">
        <v>39</v>
      </c>
      <c r="D707" t="s">
        <v>858</v>
      </c>
      <c r="E707" s="6" t="s">
        <v>24</v>
      </c>
      <c r="F707" s="6">
        <v>0.7</v>
      </c>
      <c r="G707" s="6" t="s">
        <v>18</v>
      </c>
      <c r="H707" s="6">
        <v>0.3</v>
      </c>
      <c r="I707" t="s">
        <v>1000</v>
      </c>
      <c r="J707" t="s">
        <v>1001</v>
      </c>
      <c r="L707" t="s">
        <v>52</v>
      </c>
      <c r="M707">
        <v>1.1000000000000001</v>
      </c>
      <c r="P707" t="s">
        <v>3103</v>
      </c>
      <c r="Q707">
        <v>3</v>
      </c>
      <c r="R707" t="s">
        <v>3104</v>
      </c>
      <c r="S707">
        <v>3</v>
      </c>
      <c r="V707" t="s">
        <v>3105</v>
      </c>
      <c r="W707" t="s">
        <v>222</v>
      </c>
      <c r="Y707">
        <f t="shared" si="108"/>
        <v>0.3</v>
      </c>
      <c r="Z707">
        <f t="shared" si="109"/>
        <v>0</v>
      </c>
      <c r="AA707">
        <f t="shared" si="110"/>
        <v>0</v>
      </c>
      <c r="AB707">
        <f t="shared" si="111"/>
        <v>0.7</v>
      </c>
      <c r="AC707">
        <f t="shared" si="112"/>
        <v>0</v>
      </c>
      <c r="AD707">
        <f t="shared" si="113"/>
        <v>0</v>
      </c>
      <c r="AE707">
        <f t="shared" si="114"/>
        <v>0</v>
      </c>
      <c r="AF707">
        <f t="shared" si="115"/>
        <v>0</v>
      </c>
      <c r="AG707">
        <f t="shared" si="116"/>
        <v>0</v>
      </c>
      <c r="AH707" t="s">
        <v>570</v>
      </c>
      <c r="AI707" t="s">
        <v>607</v>
      </c>
      <c r="AJ707" t="s">
        <v>687</v>
      </c>
    </row>
    <row r="708" spans="1:36" x14ac:dyDescent="0.2">
      <c r="A708" t="s">
        <v>235</v>
      </c>
      <c r="B708" t="s">
        <v>495</v>
      </c>
      <c r="C708" t="s">
        <v>39</v>
      </c>
      <c r="D708" t="s">
        <v>858</v>
      </c>
      <c r="E708" s="6" t="s">
        <v>24</v>
      </c>
      <c r="F708" s="6">
        <v>0.7</v>
      </c>
      <c r="G708" s="6" t="s">
        <v>18</v>
      </c>
      <c r="H708" s="6">
        <v>0.3</v>
      </c>
      <c r="I708" t="s">
        <v>1000</v>
      </c>
      <c r="J708" t="s">
        <v>1001</v>
      </c>
      <c r="L708" t="s">
        <v>52</v>
      </c>
      <c r="M708">
        <v>1.1000000000000001</v>
      </c>
      <c r="P708" t="s">
        <v>3106</v>
      </c>
      <c r="Q708">
        <v>4</v>
      </c>
      <c r="R708" t="s">
        <v>3107</v>
      </c>
      <c r="S708">
        <v>4</v>
      </c>
      <c r="V708" t="s">
        <v>2454</v>
      </c>
      <c r="W708" t="s">
        <v>222</v>
      </c>
      <c r="Y708">
        <f t="shared" si="108"/>
        <v>0.89999999999999991</v>
      </c>
      <c r="Z708">
        <f t="shared" si="109"/>
        <v>0</v>
      </c>
      <c r="AA708">
        <f t="shared" si="110"/>
        <v>0</v>
      </c>
      <c r="AB708">
        <f t="shared" si="111"/>
        <v>2.0999999999999996</v>
      </c>
      <c r="AC708">
        <f t="shared" si="112"/>
        <v>0</v>
      </c>
      <c r="AD708">
        <f t="shared" si="113"/>
        <v>0</v>
      </c>
      <c r="AE708">
        <f t="shared" si="114"/>
        <v>0</v>
      </c>
      <c r="AF708">
        <f t="shared" si="115"/>
        <v>0</v>
      </c>
      <c r="AG708">
        <f t="shared" si="116"/>
        <v>0</v>
      </c>
      <c r="AH708" t="s">
        <v>570</v>
      </c>
      <c r="AI708" t="s">
        <v>607</v>
      </c>
      <c r="AJ708" t="s">
        <v>687</v>
      </c>
    </row>
    <row r="709" spans="1:36" x14ac:dyDescent="0.2">
      <c r="A709" t="s">
        <v>235</v>
      </c>
      <c r="B709" t="s">
        <v>496</v>
      </c>
      <c r="C709" t="s">
        <v>39</v>
      </c>
      <c r="D709" t="s">
        <v>1002</v>
      </c>
      <c r="E709" s="6" t="s">
        <v>18</v>
      </c>
      <c r="F709" s="6">
        <v>0.5</v>
      </c>
      <c r="G709" s="6" t="s">
        <v>28</v>
      </c>
      <c r="H709" s="6">
        <v>0.5</v>
      </c>
      <c r="I709" t="s">
        <v>1003</v>
      </c>
      <c r="J709" t="s">
        <v>1004</v>
      </c>
      <c r="L709" t="s">
        <v>44</v>
      </c>
      <c r="M709">
        <v>1</v>
      </c>
      <c r="P709" t="s">
        <v>3108</v>
      </c>
      <c r="Q709">
        <v>1</v>
      </c>
      <c r="R709" t="s">
        <v>3109</v>
      </c>
      <c r="S709">
        <v>0</v>
      </c>
      <c r="T709" t="s">
        <v>276</v>
      </c>
      <c r="U709" t="s">
        <v>66</v>
      </c>
      <c r="V709" t="s">
        <v>3110</v>
      </c>
      <c r="W709" t="s">
        <v>222</v>
      </c>
      <c r="Y709">
        <f t="shared" si="108"/>
        <v>1.2</v>
      </c>
      <c r="Z709">
        <f t="shared" si="109"/>
        <v>0</v>
      </c>
      <c r="AA709">
        <f t="shared" si="110"/>
        <v>0</v>
      </c>
      <c r="AB709">
        <f t="shared" si="111"/>
        <v>2.8</v>
      </c>
      <c r="AC709">
        <f t="shared" si="112"/>
        <v>0</v>
      </c>
      <c r="AD709">
        <f t="shared" si="113"/>
        <v>0</v>
      </c>
      <c r="AE709">
        <f t="shared" si="114"/>
        <v>0</v>
      </c>
      <c r="AF709">
        <f t="shared" si="115"/>
        <v>0</v>
      </c>
      <c r="AG709">
        <f t="shared" si="116"/>
        <v>0</v>
      </c>
      <c r="AH709" t="s">
        <v>570</v>
      </c>
      <c r="AI709" t="s">
        <v>594</v>
      </c>
      <c r="AJ709" t="s">
        <v>595</v>
      </c>
    </row>
    <row r="710" spans="1:36" x14ac:dyDescent="0.2">
      <c r="A710" t="s">
        <v>235</v>
      </c>
      <c r="B710" t="s">
        <v>496</v>
      </c>
      <c r="C710" t="s">
        <v>39</v>
      </c>
      <c r="D710" t="s">
        <v>1002</v>
      </c>
      <c r="E710" s="6" t="s">
        <v>18</v>
      </c>
      <c r="F710" s="6">
        <v>0.5</v>
      </c>
      <c r="G710" s="6" t="s">
        <v>28</v>
      </c>
      <c r="H710" s="6">
        <v>0.5</v>
      </c>
      <c r="I710" t="s">
        <v>1003</v>
      </c>
      <c r="J710" t="s">
        <v>1004</v>
      </c>
      <c r="L710" t="s">
        <v>44</v>
      </c>
      <c r="M710">
        <v>1</v>
      </c>
      <c r="P710" t="s">
        <v>3111</v>
      </c>
      <c r="Q710">
        <v>2</v>
      </c>
      <c r="R710" t="s">
        <v>3112</v>
      </c>
      <c r="S710">
        <v>1</v>
      </c>
      <c r="T710" t="s">
        <v>172</v>
      </c>
      <c r="U710" t="s">
        <v>61</v>
      </c>
      <c r="V710" t="s">
        <v>3113</v>
      </c>
      <c r="W710" t="s">
        <v>222</v>
      </c>
      <c r="Y710">
        <f t="shared" si="108"/>
        <v>0</v>
      </c>
      <c r="Z710">
        <f t="shared" si="109"/>
        <v>0</v>
      </c>
      <c r="AA710">
        <f t="shared" si="110"/>
        <v>0</v>
      </c>
      <c r="AB710">
        <f t="shared" si="111"/>
        <v>0</v>
      </c>
      <c r="AC710">
        <f t="shared" si="112"/>
        <v>0</v>
      </c>
      <c r="AD710">
        <f t="shared" si="113"/>
        <v>0</v>
      </c>
      <c r="AE710">
        <f t="shared" si="114"/>
        <v>0</v>
      </c>
      <c r="AF710">
        <f t="shared" si="115"/>
        <v>0</v>
      </c>
      <c r="AG710">
        <f t="shared" si="116"/>
        <v>0</v>
      </c>
      <c r="AH710" t="s">
        <v>570</v>
      </c>
      <c r="AI710" t="s">
        <v>594</v>
      </c>
      <c r="AJ710" t="s">
        <v>595</v>
      </c>
    </row>
    <row r="711" spans="1:36" x14ac:dyDescent="0.2">
      <c r="A711" t="s">
        <v>235</v>
      </c>
      <c r="B711" t="s">
        <v>496</v>
      </c>
      <c r="C711" t="s">
        <v>39</v>
      </c>
      <c r="D711" t="s">
        <v>1002</v>
      </c>
      <c r="E711" s="6" t="s">
        <v>18</v>
      </c>
      <c r="F711" s="6">
        <v>0.5</v>
      </c>
      <c r="G711" s="6" t="s">
        <v>28</v>
      </c>
      <c r="H711" s="6">
        <v>0.5</v>
      </c>
      <c r="I711" t="s">
        <v>1003</v>
      </c>
      <c r="J711" t="s">
        <v>1004</v>
      </c>
      <c r="L711" t="s">
        <v>44</v>
      </c>
      <c r="M711">
        <v>1</v>
      </c>
      <c r="P711" t="s">
        <v>3114</v>
      </c>
      <c r="Q711">
        <v>3</v>
      </c>
      <c r="R711" t="s">
        <v>3115</v>
      </c>
      <c r="S711">
        <v>3</v>
      </c>
      <c r="V711" t="s">
        <v>3116</v>
      </c>
      <c r="W711" t="s">
        <v>222</v>
      </c>
      <c r="Y711">
        <f t="shared" si="108"/>
        <v>0.5</v>
      </c>
      <c r="Z711">
        <f t="shared" si="109"/>
        <v>0</v>
      </c>
      <c r="AA711">
        <f t="shared" si="110"/>
        <v>0</v>
      </c>
      <c r="AB711">
        <f t="shared" si="111"/>
        <v>0</v>
      </c>
      <c r="AC711">
        <f t="shared" si="112"/>
        <v>0</v>
      </c>
      <c r="AD711">
        <f t="shared" si="113"/>
        <v>0.5</v>
      </c>
      <c r="AE711">
        <f t="shared" si="114"/>
        <v>0</v>
      </c>
      <c r="AF711">
        <f t="shared" si="115"/>
        <v>0</v>
      </c>
      <c r="AG711">
        <f t="shared" si="116"/>
        <v>0</v>
      </c>
      <c r="AH711" t="s">
        <v>570</v>
      </c>
      <c r="AI711" t="s">
        <v>594</v>
      </c>
      <c r="AJ711" t="s">
        <v>595</v>
      </c>
    </row>
    <row r="712" spans="1:36" x14ac:dyDescent="0.2">
      <c r="A712" t="s">
        <v>235</v>
      </c>
      <c r="B712" t="s">
        <v>496</v>
      </c>
      <c r="C712" t="s">
        <v>39</v>
      </c>
      <c r="D712" t="s">
        <v>1002</v>
      </c>
      <c r="E712" s="6" t="s">
        <v>18</v>
      </c>
      <c r="F712" s="6">
        <v>0.5</v>
      </c>
      <c r="G712" s="6" t="s">
        <v>28</v>
      </c>
      <c r="H712" s="6">
        <v>0.5</v>
      </c>
      <c r="I712" t="s">
        <v>1003</v>
      </c>
      <c r="J712" t="s">
        <v>1004</v>
      </c>
      <c r="L712" t="s">
        <v>44</v>
      </c>
      <c r="M712">
        <v>1</v>
      </c>
      <c r="P712" t="s">
        <v>3117</v>
      </c>
      <c r="Q712">
        <v>4</v>
      </c>
      <c r="R712" t="s">
        <v>3118</v>
      </c>
      <c r="S712">
        <v>4</v>
      </c>
      <c r="V712" t="s">
        <v>2454</v>
      </c>
      <c r="W712" t="s">
        <v>222</v>
      </c>
      <c r="Y712">
        <f t="shared" si="108"/>
        <v>1.5</v>
      </c>
      <c r="Z712">
        <f t="shared" si="109"/>
        <v>0</v>
      </c>
      <c r="AA712">
        <f t="shared" si="110"/>
        <v>0</v>
      </c>
      <c r="AB712">
        <f t="shared" si="111"/>
        <v>0</v>
      </c>
      <c r="AC712">
        <f t="shared" si="112"/>
        <v>0</v>
      </c>
      <c r="AD712">
        <f t="shared" si="113"/>
        <v>1.5</v>
      </c>
      <c r="AE712">
        <f t="shared" si="114"/>
        <v>0</v>
      </c>
      <c r="AF712">
        <f t="shared" si="115"/>
        <v>0</v>
      </c>
      <c r="AG712">
        <f t="shared" si="116"/>
        <v>0</v>
      </c>
      <c r="AH712" t="s">
        <v>570</v>
      </c>
      <c r="AI712" t="s">
        <v>594</v>
      </c>
      <c r="AJ712" t="s">
        <v>595</v>
      </c>
    </row>
    <row r="713" spans="1:36" x14ac:dyDescent="0.2">
      <c r="A713" t="s">
        <v>235</v>
      </c>
      <c r="B713" t="s">
        <v>497</v>
      </c>
      <c r="C713" t="s">
        <v>39</v>
      </c>
      <c r="D713" t="s">
        <v>1005</v>
      </c>
      <c r="E713" s="6" t="s">
        <v>30</v>
      </c>
      <c r="F713" s="6">
        <v>0.6</v>
      </c>
      <c r="G713" s="6" t="s">
        <v>20</v>
      </c>
      <c r="H713" s="6">
        <v>0.4</v>
      </c>
      <c r="I713" t="s">
        <v>1006</v>
      </c>
      <c r="J713" t="s">
        <v>1007</v>
      </c>
      <c r="L713" t="s">
        <v>48</v>
      </c>
      <c r="M713">
        <v>1</v>
      </c>
      <c r="P713" t="s">
        <v>3119</v>
      </c>
      <c r="Q713">
        <v>1</v>
      </c>
      <c r="R713" t="s">
        <v>3120</v>
      </c>
      <c r="S713">
        <v>0</v>
      </c>
      <c r="T713" t="s">
        <v>265</v>
      </c>
      <c r="U713" t="s">
        <v>62</v>
      </c>
      <c r="V713" t="s">
        <v>3121</v>
      </c>
      <c r="W713" t="s">
        <v>222</v>
      </c>
      <c r="Y713">
        <f t="shared" si="108"/>
        <v>2</v>
      </c>
      <c r="Z713">
        <f t="shared" si="109"/>
        <v>0</v>
      </c>
      <c r="AA713">
        <f t="shared" si="110"/>
        <v>0</v>
      </c>
      <c r="AB713">
        <f t="shared" si="111"/>
        <v>0</v>
      </c>
      <c r="AC713">
        <f t="shared" si="112"/>
        <v>0</v>
      </c>
      <c r="AD713">
        <f t="shared" si="113"/>
        <v>2</v>
      </c>
      <c r="AE713">
        <f t="shared" si="114"/>
        <v>0</v>
      </c>
      <c r="AF713">
        <f t="shared" si="115"/>
        <v>0</v>
      </c>
      <c r="AG713">
        <f t="shared" si="116"/>
        <v>0</v>
      </c>
      <c r="AH713" t="s">
        <v>521</v>
      </c>
      <c r="AI713" t="s">
        <v>566</v>
      </c>
      <c r="AJ713" t="s">
        <v>978</v>
      </c>
    </row>
    <row r="714" spans="1:36" x14ac:dyDescent="0.2">
      <c r="A714" t="s">
        <v>235</v>
      </c>
      <c r="B714" t="s">
        <v>497</v>
      </c>
      <c r="C714" t="s">
        <v>39</v>
      </c>
      <c r="D714" t="s">
        <v>1005</v>
      </c>
      <c r="E714" s="6" t="s">
        <v>30</v>
      </c>
      <c r="F714" s="6">
        <v>0.6</v>
      </c>
      <c r="G714" s="6" t="s">
        <v>20</v>
      </c>
      <c r="H714" s="6">
        <v>0.4</v>
      </c>
      <c r="I714" t="s">
        <v>1006</v>
      </c>
      <c r="J714" t="s">
        <v>1007</v>
      </c>
      <c r="L714" t="s">
        <v>48</v>
      </c>
      <c r="M714">
        <v>1</v>
      </c>
      <c r="P714" t="s">
        <v>3122</v>
      </c>
      <c r="Q714">
        <v>2</v>
      </c>
      <c r="R714" t="s">
        <v>3123</v>
      </c>
      <c r="S714">
        <v>1</v>
      </c>
      <c r="T714" t="s">
        <v>255</v>
      </c>
      <c r="U714" t="s">
        <v>60</v>
      </c>
      <c r="V714" t="s">
        <v>3124</v>
      </c>
      <c r="W714" t="s">
        <v>222</v>
      </c>
      <c r="Y714">
        <f t="shared" si="108"/>
        <v>0</v>
      </c>
      <c r="Z714">
        <f t="shared" si="109"/>
        <v>0</v>
      </c>
      <c r="AA714">
        <f t="shared" si="110"/>
        <v>0</v>
      </c>
      <c r="AB714">
        <f t="shared" si="111"/>
        <v>0</v>
      </c>
      <c r="AC714">
        <f t="shared" si="112"/>
        <v>0</v>
      </c>
      <c r="AD714">
        <f t="shared" si="113"/>
        <v>0</v>
      </c>
      <c r="AE714">
        <f t="shared" si="114"/>
        <v>0</v>
      </c>
      <c r="AF714">
        <f t="shared" si="115"/>
        <v>0</v>
      </c>
      <c r="AG714">
        <f t="shared" si="116"/>
        <v>0</v>
      </c>
      <c r="AH714" t="s">
        <v>521</v>
      </c>
      <c r="AI714" t="s">
        <v>566</v>
      </c>
      <c r="AJ714" t="s">
        <v>978</v>
      </c>
    </row>
    <row r="715" spans="1:36" x14ac:dyDescent="0.2">
      <c r="A715" t="s">
        <v>235</v>
      </c>
      <c r="B715" t="s">
        <v>497</v>
      </c>
      <c r="C715" t="s">
        <v>39</v>
      </c>
      <c r="D715" t="s">
        <v>1005</v>
      </c>
      <c r="E715" s="6" t="s">
        <v>30</v>
      </c>
      <c r="F715" s="6">
        <v>0.6</v>
      </c>
      <c r="G715" s="6" t="s">
        <v>20</v>
      </c>
      <c r="H715" s="6">
        <v>0.4</v>
      </c>
      <c r="I715" t="s">
        <v>1006</v>
      </c>
      <c r="J715" t="s">
        <v>1007</v>
      </c>
      <c r="L715" t="s">
        <v>48</v>
      </c>
      <c r="M715">
        <v>1</v>
      </c>
      <c r="P715" t="s">
        <v>3125</v>
      </c>
      <c r="Q715">
        <v>3</v>
      </c>
      <c r="R715" t="s">
        <v>3126</v>
      </c>
      <c r="S715">
        <v>3</v>
      </c>
      <c r="V715" t="s">
        <v>3127</v>
      </c>
      <c r="W715" t="s">
        <v>222</v>
      </c>
      <c r="Y715">
        <f t="shared" si="108"/>
        <v>0</v>
      </c>
      <c r="Z715">
        <f t="shared" si="109"/>
        <v>0.4</v>
      </c>
      <c r="AA715">
        <f t="shared" si="110"/>
        <v>0</v>
      </c>
      <c r="AB715">
        <f t="shared" si="111"/>
        <v>0</v>
      </c>
      <c r="AC715">
        <f t="shared" si="112"/>
        <v>0</v>
      </c>
      <c r="AD715">
        <f t="shared" si="113"/>
        <v>0</v>
      </c>
      <c r="AE715">
        <f t="shared" si="114"/>
        <v>0.6</v>
      </c>
      <c r="AF715">
        <f t="shared" si="115"/>
        <v>0</v>
      </c>
      <c r="AG715">
        <f t="shared" si="116"/>
        <v>0</v>
      </c>
      <c r="AH715" t="s">
        <v>521</v>
      </c>
      <c r="AI715" t="s">
        <v>566</v>
      </c>
      <c r="AJ715" t="s">
        <v>978</v>
      </c>
    </row>
    <row r="716" spans="1:36" x14ac:dyDescent="0.2">
      <c r="A716" t="s">
        <v>235</v>
      </c>
      <c r="B716" t="s">
        <v>497</v>
      </c>
      <c r="C716" t="s">
        <v>39</v>
      </c>
      <c r="D716" t="s">
        <v>1005</v>
      </c>
      <c r="E716" s="6" t="s">
        <v>30</v>
      </c>
      <c r="F716" s="6">
        <v>0.6</v>
      </c>
      <c r="G716" s="6" t="s">
        <v>20</v>
      </c>
      <c r="H716" s="6">
        <v>0.4</v>
      </c>
      <c r="I716" t="s">
        <v>1006</v>
      </c>
      <c r="J716" t="s">
        <v>1007</v>
      </c>
      <c r="L716" t="s">
        <v>48</v>
      </c>
      <c r="M716">
        <v>1</v>
      </c>
      <c r="P716" t="s">
        <v>3128</v>
      </c>
      <c r="Q716">
        <v>4</v>
      </c>
      <c r="R716" t="s">
        <v>3129</v>
      </c>
      <c r="S716">
        <v>4</v>
      </c>
      <c r="V716" t="s">
        <v>2454</v>
      </c>
      <c r="W716" t="s">
        <v>222</v>
      </c>
      <c r="Y716">
        <f t="shared" si="108"/>
        <v>0</v>
      </c>
      <c r="Z716">
        <f t="shared" si="109"/>
        <v>1.2000000000000002</v>
      </c>
      <c r="AA716">
        <f t="shared" si="110"/>
        <v>0</v>
      </c>
      <c r="AB716">
        <f t="shared" si="111"/>
        <v>0</v>
      </c>
      <c r="AC716">
        <f t="shared" si="112"/>
        <v>0</v>
      </c>
      <c r="AD716">
        <f t="shared" si="113"/>
        <v>0</v>
      </c>
      <c r="AE716">
        <f t="shared" si="114"/>
        <v>1.7999999999999998</v>
      </c>
      <c r="AF716">
        <f t="shared" si="115"/>
        <v>0</v>
      </c>
      <c r="AG716">
        <f t="shared" si="116"/>
        <v>0</v>
      </c>
      <c r="AH716" t="s">
        <v>521</v>
      </c>
      <c r="AI716" t="s">
        <v>566</v>
      </c>
      <c r="AJ716" t="s">
        <v>978</v>
      </c>
    </row>
    <row r="717" spans="1:36" x14ac:dyDescent="0.2">
      <c r="A717" t="s">
        <v>235</v>
      </c>
      <c r="B717" t="s">
        <v>498</v>
      </c>
      <c r="C717" t="s">
        <v>41</v>
      </c>
      <c r="D717" t="s">
        <v>1008</v>
      </c>
      <c r="E717" s="6" t="s">
        <v>24</v>
      </c>
      <c r="F717" s="6">
        <v>0.5</v>
      </c>
      <c r="G717" s="6" t="s">
        <v>22</v>
      </c>
      <c r="H717" s="6">
        <v>0.5</v>
      </c>
      <c r="I717" t="s">
        <v>1009</v>
      </c>
      <c r="J717" t="s">
        <v>1010</v>
      </c>
      <c r="L717" t="s">
        <v>52</v>
      </c>
      <c r="M717">
        <v>1</v>
      </c>
      <c r="P717" t="s">
        <v>3130</v>
      </c>
      <c r="Q717">
        <v>1</v>
      </c>
      <c r="R717" t="s">
        <v>3131</v>
      </c>
      <c r="S717">
        <v>0</v>
      </c>
      <c r="T717" t="s">
        <v>248</v>
      </c>
      <c r="U717" t="s">
        <v>59</v>
      </c>
      <c r="V717" t="s">
        <v>3132</v>
      </c>
      <c r="W717" t="s">
        <v>222</v>
      </c>
      <c r="Y717">
        <f t="shared" si="108"/>
        <v>0</v>
      </c>
      <c r="Z717">
        <f t="shared" si="109"/>
        <v>1.6</v>
      </c>
      <c r="AA717">
        <f t="shared" si="110"/>
        <v>0</v>
      </c>
      <c r="AB717">
        <f t="shared" si="111"/>
        <v>0</v>
      </c>
      <c r="AC717">
        <f t="shared" si="112"/>
        <v>0</v>
      </c>
      <c r="AD717">
        <f t="shared" si="113"/>
        <v>0</v>
      </c>
      <c r="AE717">
        <f t="shared" si="114"/>
        <v>2.4</v>
      </c>
      <c r="AF717">
        <f t="shared" si="115"/>
        <v>0</v>
      </c>
      <c r="AG717">
        <f t="shared" si="116"/>
        <v>0</v>
      </c>
      <c r="AH717" t="s">
        <v>550</v>
      </c>
      <c r="AI717" t="s">
        <v>551</v>
      </c>
      <c r="AJ717" t="s">
        <v>552</v>
      </c>
    </row>
    <row r="718" spans="1:36" x14ac:dyDescent="0.2">
      <c r="A718" t="s">
        <v>235</v>
      </c>
      <c r="B718" t="s">
        <v>498</v>
      </c>
      <c r="C718" t="s">
        <v>41</v>
      </c>
      <c r="D718" t="s">
        <v>1008</v>
      </c>
      <c r="E718" s="6" t="s">
        <v>24</v>
      </c>
      <c r="F718" s="6">
        <v>0.5</v>
      </c>
      <c r="G718" s="6" t="s">
        <v>22</v>
      </c>
      <c r="H718" s="6">
        <v>0.5</v>
      </c>
      <c r="I718" t="s">
        <v>1009</v>
      </c>
      <c r="J718" t="s">
        <v>1010</v>
      </c>
      <c r="L718" t="s">
        <v>52</v>
      </c>
      <c r="M718">
        <v>1</v>
      </c>
      <c r="P718" t="s">
        <v>3133</v>
      </c>
      <c r="Q718">
        <v>2</v>
      </c>
      <c r="R718" t="s">
        <v>3134</v>
      </c>
      <c r="S718">
        <v>1</v>
      </c>
      <c r="T718" t="s">
        <v>255</v>
      </c>
      <c r="U718" t="s">
        <v>60</v>
      </c>
      <c r="V718" t="s">
        <v>3135</v>
      </c>
      <c r="W718" t="s">
        <v>222</v>
      </c>
      <c r="Y718">
        <f t="shared" si="108"/>
        <v>0</v>
      </c>
      <c r="Z718">
        <f t="shared" si="109"/>
        <v>0</v>
      </c>
      <c r="AA718">
        <f t="shared" si="110"/>
        <v>0</v>
      </c>
      <c r="AB718">
        <f t="shared" si="111"/>
        <v>0</v>
      </c>
      <c r="AC718">
        <f t="shared" si="112"/>
        <v>0</v>
      </c>
      <c r="AD718">
        <f t="shared" si="113"/>
        <v>0</v>
      </c>
      <c r="AE718">
        <f t="shared" si="114"/>
        <v>0</v>
      </c>
      <c r="AF718">
        <f t="shared" si="115"/>
        <v>0</v>
      </c>
      <c r="AG718">
        <f t="shared" si="116"/>
        <v>0</v>
      </c>
      <c r="AH718" t="s">
        <v>550</v>
      </c>
      <c r="AI718" t="s">
        <v>551</v>
      </c>
      <c r="AJ718" t="s">
        <v>552</v>
      </c>
    </row>
    <row r="719" spans="1:36" x14ac:dyDescent="0.2">
      <c r="A719" t="s">
        <v>235</v>
      </c>
      <c r="B719" t="s">
        <v>498</v>
      </c>
      <c r="C719" t="s">
        <v>41</v>
      </c>
      <c r="D719" t="s">
        <v>1008</v>
      </c>
      <c r="E719" s="6" t="s">
        <v>24</v>
      </c>
      <c r="F719" s="6">
        <v>0.5</v>
      </c>
      <c r="G719" s="6" t="s">
        <v>22</v>
      </c>
      <c r="H719" s="6">
        <v>0.5</v>
      </c>
      <c r="I719" t="s">
        <v>1009</v>
      </c>
      <c r="J719" t="s">
        <v>1010</v>
      </c>
      <c r="L719" t="s">
        <v>52</v>
      </c>
      <c r="M719">
        <v>1</v>
      </c>
      <c r="P719" t="s">
        <v>3136</v>
      </c>
      <c r="Q719">
        <v>3</v>
      </c>
      <c r="R719" t="s">
        <v>3137</v>
      </c>
      <c r="S719">
        <v>3</v>
      </c>
      <c r="V719" t="s">
        <v>3138</v>
      </c>
      <c r="W719" t="s">
        <v>222</v>
      </c>
      <c r="Y719">
        <f t="shared" si="108"/>
        <v>0</v>
      </c>
      <c r="Z719">
        <f t="shared" si="109"/>
        <v>0</v>
      </c>
      <c r="AA719">
        <f t="shared" si="110"/>
        <v>0.5</v>
      </c>
      <c r="AB719">
        <f t="shared" si="111"/>
        <v>0.5</v>
      </c>
      <c r="AC719">
        <f t="shared" si="112"/>
        <v>0</v>
      </c>
      <c r="AD719">
        <f t="shared" si="113"/>
        <v>0</v>
      </c>
      <c r="AE719">
        <f t="shared" si="114"/>
        <v>0</v>
      </c>
      <c r="AF719">
        <f t="shared" si="115"/>
        <v>0</v>
      </c>
      <c r="AG719">
        <f t="shared" si="116"/>
        <v>0</v>
      </c>
      <c r="AH719" t="s">
        <v>550</v>
      </c>
      <c r="AI719" t="s">
        <v>551</v>
      </c>
      <c r="AJ719" t="s">
        <v>552</v>
      </c>
    </row>
    <row r="720" spans="1:36" x14ac:dyDescent="0.2">
      <c r="A720" t="s">
        <v>235</v>
      </c>
      <c r="B720" t="s">
        <v>498</v>
      </c>
      <c r="C720" t="s">
        <v>41</v>
      </c>
      <c r="D720" t="s">
        <v>1008</v>
      </c>
      <c r="E720" s="6" t="s">
        <v>24</v>
      </c>
      <c r="F720" s="6">
        <v>0.5</v>
      </c>
      <c r="G720" s="6" t="s">
        <v>22</v>
      </c>
      <c r="H720" s="6">
        <v>0.5</v>
      </c>
      <c r="I720" t="s">
        <v>1009</v>
      </c>
      <c r="J720" t="s">
        <v>1010</v>
      </c>
      <c r="L720" t="s">
        <v>52</v>
      </c>
      <c r="M720">
        <v>1</v>
      </c>
      <c r="P720" t="s">
        <v>3139</v>
      </c>
      <c r="Q720">
        <v>4</v>
      </c>
      <c r="R720" t="s">
        <v>3140</v>
      </c>
      <c r="S720">
        <v>4</v>
      </c>
      <c r="V720" t="s">
        <v>2454</v>
      </c>
      <c r="W720" t="s">
        <v>222</v>
      </c>
      <c r="Y720">
        <f t="shared" si="108"/>
        <v>0</v>
      </c>
      <c r="Z720">
        <f t="shared" si="109"/>
        <v>0</v>
      </c>
      <c r="AA720">
        <f t="shared" si="110"/>
        <v>1.5</v>
      </c>
      <c r="AB720">
        <f t="shared" si="111"/>
        <v>1.5</v>
      </c>
      <c r="AC720">
        <f t="shared" si="112"/>
        <v>0</v>
      </c>
      <c r="AD720">
        <f t="shared" si="113"/>
        <v>0</v>
      </c>
      <c r="AE720">
        <f t="shared" si="114"/>
        <v>0</v>
      </c>
      <c r="AF720">
        <f t="shared" si="115"/>
        <v>0</v>
      </c>
      <c r="AG720">
        <f t="shared" si="116"/>
        <v>0</v>
      </c>
      <c r="AH720" t="s">
        <v>550</v>
      </c>
      <c r="AI720" t="s">
        <v>551</v>
      </c>
      <c r="AJ720" t="s">
        <v>552</v>
      </c>
    </row>
    <row r="721" spans="1:36" x14ac:dyDescent="0.2">
      <c r="A721" t="s">
        <v>3141</v>
      </c>
      <c r="B721" t="s">
        <v>355</v>
      </c>
      <c r="C721" t="s">
        <v>39</v>
      </c>
      <c r="D721" t="s">
        <v>575</v>
      </c>
      <c r="E721" s="6" t="s">
        <v>24</v>
      </c>
      <c r="F721" s="6">
        <v>0.5</v>
      </c>
      <c r="G721" s="6" t="s">
        <v>26</v>
      </c>
      <c r="H721" s="6">
        <v>0.5</v>
      </c>
      <c r="I721" t="s">
        <v>583</v>
      </c>
      <c r="J721" t="s">
        <v>584</v>
      </c>
      <c r="L721" t="s">
        <v>52</v>
      </c>
      <c r="M721">
        <v>1</v>
      </c>
      <c r="P721" t="s">
        <v>3142</v>
      </c>
      <c r="Q721">
        <v>0</v>
      </c>
      <c r="R721" t="s">
        <v>1017</v>
      </c>
      <c r="S721">
        <v>0</v>
      </c>
      <c r="T721" t="s">
        <v>273</v>
      </c>
      <c r="V721" t="s">
        <v>3143</v>
      </c>
      <c r="Y721">
        <f>(S721*IF(E721="G",F721,0))+(S721*IF(G721="G",H721,0))</f>
        <v>0</v>
      </c>
      <c r="Z721">
        <f>(S721*IF(E721="E",F721,0))+(S721*IF(G721="E",H721,0))</f>
        <v>0</v>
      </c>
      <c r="AA721">
        <f>(S721*IF(E721="T",F721,0))+(S721*IF(G721="T",H721,0))</f>
        <v>0</v>
      </c>
      <c r="AB721">
        <f>(S721*IF(E721="L",F721,0))+(S721*IF(G721="L",H721,0))</f>
        <v>0</v>
      </c>
      <c r="AC721">
        <f>(S721*IF(E721="H",F721,0))+(S721*IF(G721="H",H721,0))</f>
        <v>0</v>
      </c>
      <c r="AD721">
        <f>(S721*IF(E721="V",F721,0))+(S721*IF(G721="V",H721,0))</f>
        <v>0</v>
      </c>
      <c r="AE721">
        <f>(S721*IF(E721="R",F721,0))+(S721*IF(G721="R",H721,0))</f>
        <v>0</v>
      </c>
      <c r="AF721">
        <f>(S721*IF(E721="F",F721,0))+(S721*IF(G721="F",H721,0))</f>
        <v>0</v>
      </c>
      <c r="AG721">
        <f>(S721*IF(E721="W",F721,0))+(S721*IF(G721="W",H721,0))</f>
        <v>0</v>
      </c>
      <c r="AH721" t="s">
        <v>530</v>
      </c>
      <c r="AI721" t="s">
        <v>531</v>
      </c>
      <c r="AJ721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workbookViewId="0"/>
  </sheetViews>
  <sheetFormatPr baseColWidth="10" defaultColWidth="8.83203125" defaultRowHeight="15" x14ac:dyDescent="0.2"/>
  <cols>
    <col min="1" max="1" width="14" customWidth="1"/>
    <col min="2" max="3" width="10" customWidth="1"/>
    <col min="4" max="5" width="16" customWidth="1"/>
    <col min="6" max="7" width="10" customWidth="1"/>
    <col min="8" max="8" width="14" customWidth="1"/>
    <col min="9" max="9" width="21" customWidth="1"/>
    <col min="10" max="10" width="15" customWidth="1"/>
    <col min="11" max="11" width="11" customWidth="1"/>
    <col min="12" max="12" width="20" customWidth="1"/>
    <col min="13" max="13" width="10" customWidth="1"/>
  </cols>
  <sheetData>
    <row r="1" spans="1:13" ht="16" x14ac:dyDescent="0.2">
      <c r="A1" s="1" t="s">
        <v>3159</v>
      </c>
      <c r="B1" s="1" t="s">
        <v>509</v>
      </c>
      <c r="C1" s="1" t="s">
        <v>3144</v>
      </c>
      <c r="D1" s="1" t="s">
        <v>3160</v>
      </c>
      <c r="E1" s="1" t="s">
        <v>3161</v>
      </c>
      <c r="F1" s="1" t="s">
        <v>323</v>
      </c>
      <c r="G1" s="1" t="s">
        <v>1011</v>
      </c>
      <c r="H1" s="1" t="s">
        <v>3162</v>
      </c>
      <c r="I1" s="1" t="s">
        <v>3163</v>
      </c>
      <c r="J1" s="1" t="s">
        <v>3164</v>
      </c>
      <c r="K1" s="1" t="s">
        <v>3165</v>
      </c>
      <c r="L1" s="1" t="s">
        <v>3166</v>
      </c>
      <c r="M1" s="1" t="s">
        <v>290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3" bestFit="1" customWidth="1"/>
    <col min="2" max="2" width="11.83203125" bestFit="1" customWidth="1"/>
    <col min="3" max="3" width="17.83203125" bestFit="1" customWidth="1"/>
    <col min="4" max="4" width="46.33203125" bestFit="1" customWidth="1"/>
    <col min="5" max="5" width="36.33203125" bestFit="1" customWidth="1"/>
  </cols>
  <sheetData>
    <row r="1" spans="1:5" x14ac:dyDescent="0.2">
      <c r="A1" t="s">
        <v>3167</v>
      </c>
      <c r="B1" t="s">
        <v>3168</v>
      </c>
      <c r="C1" t="s">
        <v>3169</v>
      </c>
      <c r="D1" t="s">
        <v>3170</v>
      </c>
      <c r="E1" t="s">
        <v>3171</v>
      </c>
    </row>
    <row r="3" spans="1:5" x14ac:dyDescent="0.2">
      <c r="A3" t="s">
        <v>3167</v>
      </c>
      <c r="B3" t="s">
        <v>3168</v>
      </c>
      <c r="C3" t="s">
        <v>3169</v>
      </c>
      <c r="D3" t="s">
        <v>3170</v>
      </c>
      <c r="E3" t="s">
        <v>3171</v>
      </c>
    </row>
    <row r="4" spans="1:5" x14ac:dyDescent="0.2">
      <c r="A4" t="s">
        <v>3172</v>
      </c>
      <c r="B4" t="s">
        <v>346</v>
      </c>
      <c r="C4" t="s">
        <v>518</v>
      </c>
      <c r="D4" t="s">
        <v>526</v>
      </c>
      <c r="E4" t="s">
        <v>3173</v>
      </c>
    </row>
    <row r="5" spans="1:5" x14ac:dyDescent="0.2">
      <c r="A5" t="s">
        <v>3172</v>
      </c>
      <c r="B5" t="s">
        <v>349</v>
      </c>
      <c r="C5" t="s">
        <v>518</v>
      </c>
      <c r="D5" t="s">
        <v>563</v>
      </c>
      <c r="E5" t="s">
        <v>3174</v>
      </c>
    </row>
    <row r="6" spans="1:5" x14ac:dyDescent="0.2">
      <c r="A6" t="s">
        <v>3172</v>
      </c>
      <c r="B6" t="s">
        <v>356</v>
      </c>
      <c r="C6" t="s">
        <v>518</v>
      </c>
      <c r="D6" t="s">
        <v>588</v>
      </c>
      <c r="E6" t="s">
        <v>3175</v>
      </c>
    </row>
    <row r="7" spans="1:5" x14ac:dyDescent="0.2">
      <c r="A7" t="s">
        <v>3172</v>
      </c>
      <c r="B7" t="s">
        <v>357</v>
      </c>
      <c r="C7" t="s">
        <v>518</v>
      </c>
      <c r="D7" t="s">
        <v>591</v>
      </c>
      <c r="E7" t="s">
        <v>3176</v>
      </c>
    </row>
    <row r="8" spans="1:5" x14ac:dyDescent="0.2">
      <c r="A8" t="s">
        <v>3172</v>
      </c>
      <c r="B8" t="s">
        <v>361</v>
      </c>
      <c r="C8" t="s">
        <v>518</v>
      </c>
      <c r="D8" t="s">
        <v>608</v>
      </c>
      <c r="E8" t="s">
        <v>3177</v>
      </c>
    </row>
    <row r="9" spans="1:5" x14ac:dyDescent="0.2">
      <c r="A9" t="s">
        <v>3172</v>
      </c>
      <c r="B9" t="s">
        <v>365</v>
      </c>
      <c r="C9" t="s">
        <v>518</v>
      </c>
      <c r="D9" t="s">
        <v>582</v>
      </c>
      <c r="E9" t="s">
        <v>3178</v>
      </c>
    </row>
    <row r="10" spans="1:5" x14ac:dyDescent="0.2">
      <c r="A10" t="s">
        <v>3172</v>
      </c>
      <c r="B10" t="s">
        <v>375</v>
      </c>
      <c r="C10" t="s">
        <v>518</v>
      </c>
      <c r="D10" t="s">
        <v>604</v>
      </c>
      <c r="E10" t="s">
        <v>3175</v>
      </c>
    </row>
    <row r="11" spans="1:5" x14ac:dyDescent="0.2">
      <c r="A11" t="s">
        <v>3172</v>
      </c>
      <c r="B11" t="s">
        <v>383</v>
      </c>
      <c r="C11" t="s">
        <v>518</v>
      </c>
      <c r="D11" t="s">
        <v>673</v>
      </c>
      <c r="E11" t="s">
        <v>3179</v>
      </c>
    </row>
    <row r="12" spans="1:5" x14ac:dyDescent="0.2">
      <c r="A12" t="s">
        <v>3172</v>
      </c>
      <c r="B12" t="s">
        <v>385</v>
      </c>
      <c r="C12" t="s">
        <v>518</v>
      </c>
      <c r="D12" t="s">
        <v>591</v>
      </c>
      <c r="E12" t="s">
        <v>3180</v>
      </c>
    </row>
    <row r="13" spans="1:5" x14ac:dyDescent="0.2">
      <c r="A13" t="s">
        <v>3172</v>
      </c>
      <c r="B13" t="s">
        <v>386</v>
      </c>
      <c r="C13" t="s">
        <v>518</v>
      </c>
      <c r="D13" t="s">
        <v>684</v>
      </c>
      <c r="E13" t="s">
        <v>3181</v>
      </c>
    </row>
    <row r="14" spans="1:5" x14ac:dyDescent="0.2">
      <c r="A14" t="s">
        <v>3172</v>
      </c>
      <c r="B14" t="s">
        <v>387</v>
      </c>
      <c r="C14" t="s">
        <v>518</v>
      </c>
      <c r="D14" t="s">
        <v>687</v>
      </c>
      <c r="E14" t="s">
        <v>3182</v>
      </c>
    </row>
    <row r="15" spans="1:5" x14ac:dyDescent="0.2">
      <c r="A15" t="s">
        <v>3172</v>
      </c>
      <c r="B15" t="s">
        <v>393</v>
      </c>
      <c r="C15" t="s">
        <v>518</v>
      </c>
      <c r="D15" t="s">
        <v>704</v>
      </c>
      <c r="E15" t="s">
        <v>3183</v>
      </c>
    </row>
    <row r="16" spans="1:5" x14ac:dyDescent="0.2">
      <c r="A16" t="s">
        <v>3172</v>
      </c>
      <c r="B16" t="s">
        <v>394</v>
      </c>
      <c r="C16" t="s">
        <v>518</v>
      </c>
      <c r="D16" t="s">
        <v>708</v>
      </c>
      <c r="E16" t="s">
        <v>3184</v>
      </c>
    </row>
    <row r="17" spans="1:5" x14ac:dyDescent="0.2">
      <c r="A17" t="s">
        <v>3172</v>
      </c>
      <c r="B17" t="s">
        <v>395</v>
      </c>
      <c r="C17" t="s">
        <v>518</v>
      </c>
      <c r="D17" t="s">
        <v>712</v>
      </c>
      <c r="E17" t="s">
        <v>3185</v>
      </c>
    </row>
    <row r="18" spans="1:5" x14ac:dyDescent="0.2">
      <c r="A18" t="s">
        <v>3172</v>
      </c>
      <c r="B18" t="s">
        <v>400</v>
      </c>
      <c r="C18" t="s">
        <v>518</v>
      </c>
      <c r="D18" t="s">
        <v>727</v>
      </c>
      <c r="E18" t="s">
        <v>3186</v>
      </c>
    </row>
    <row r="19" spans="1:5" x14ac:dyDescent="0.2">
      <c r="A19" t="s">
        <v>3172</v>
      </c>
      <c r="B19" t="s">
        <v>407</v>
      </c>
      <c r="C19" t="s">
        <v>518</v>
      </c>
      <c r="D19" t="s">
        <v>744</v>
      </c>
      <c r="E19" t="s">
        <v>3187</v>
      </c>
    </row>
    <row r="20" spans="1:5" x14ac:dyDescent="0.2">
      <c r="A20" t="s">
        <v>3172</v>
      </c>
      <c r="B20" t="s">
        <v>412</v>
      </c>
      <c r="C20" t="s">
        <v>518</v>
      </c>
      <c r="D20" t="s">
        <v>704</v>
      </c>
      <c r="E20" t="s">
        <v>3182</v>
      </c>
    </row>
    <row r="21" spans="1:5" x14ac:dyDescent="0.2">
      <c r="A21" t="s">
        <v>3172</v>
      </c>
      <c r="B21" t="s">
        <v>413</v>
      </c>
      <c r="C21" t="s">
        <v>518</v>
      </c>
      <c r="D21" t="s">
        <v>762</v>
      </c>
      <c r="E21" t="s">
        <v>3187</v>
      </c>
    </row>
    <row r="22" spans="1:5" x14ac:dyDescent="0.2">
      <c r="A22" t="s">
        <v>3172</v>
      </c>
      <c r="B22" t="s">
        <v>414</v>
      </c>
      <c r="C22" t="s">
        <v>518</v>
      </c>
      <c r="D22" t="s">
        <v>540</v>
      </c>
      <c r="E22" t="s">
        <v>3188</v>
      </c>
    </row>
    <row r="23" spans="1:5" x14ac:dyDescent="0.2">
      <c r="A23" t="s">
        <v>3172</v>
      </c>
      <c r="B23" t="s">
        <v>417</v>
      </c>
      <c r="C23" t="s">
        <v>518</v>
      </c>
      <c r="D23" t="s">
        <v>773</v>
      </c>
      <c r="E23" t="s">
        <v>3189</v>
      </c>
    </row>
    <row r="24" spans="1:5" x14ac:dyDescent="0.2">
      <c r="A24" t="s">
        <v>3172</v>
      </c>
      <c r="B24" t="s">
        <v>420</v>
      </c>
      <c r="C24" t="s">
        <v>518</v>
      </c>
      <c r="D24" t="s">
        <v>567</v>
      </c>
      <c r="E24" t="s">
        <v>3190</v>
      </c>
    </row>
    <row r="25" spans="1:5" x14ac:dyDescent="0.2">
      <c r="A25" t="s">
        <v>3172</v>
      </c>
      <c r="B25" t="s">
        <v>426</v>
      </c>
      <c r="C25" t="s">
        <v>518</v>
      </c>
      <c r="D25" t="s">
        <v>591</v>
      </c>
      <c r="E25" t="s">
        <v>3191</v>
      </c>
    </row>
    <row r="26" spans="1:5" x14ac:dyDescent="0.2">
      <c r="A26" t="s">
        <v>3172</v>
      </c>
      <c r="B26" t="s">
        <v>428</v>
      </c>
      <c r="C26" t="s">
        <v>518</v>
      </c>
      <c r="D26" t="s">
        <v>773</v>
      </c>
      <c r="E26" t="s">
        <v>3189</v>
      </c>
    </row>
    <row r="27" spans="1:5" x14ac:dyDescent="0.2">
      <c r="A27" t="s">
        <v>3172</v>
      </c>
      <c r="B27" t="s">
        <v>431</v>
      </c>
      <c r="C27" t="s">
        <v>518</v>
      </c>
      <c r="D27" t="s">
        <v>751</v>
      </c>
      <c r="E27" t="s">
        <v>3180</v>
      </c>
    </row>
    <row r="28" spans="1:5" x14ac:dyDescent="0.2">
      <c r="A28" t="s">
        <v>3172</v>
      </c>
      <c r="B28" t="s">
        <v>432</v>
      </c>
      <c r="C28" t="s">
        <v>518</v>
      </c>
      <c r="D28" t="s">
        <v>604</v>
      </c>
      <c r="E28" t="s">
        <v>3180</v>
      </c>
    </row>
    <row r="29" spans="1:5" x14ac:dyDescent="0.2">
      <c r="A29" t="s">
        <v>3172</v>
      </c>
      <c r="B29" t="s">
        <v>821</v>
      </c>
      <c r="C29" t="s">
        <v>518</v>
      </c>
      <c r="D29" t="s">
        <v>572</v>
      </c>
      <c r="E29" t="s">
        <v>3192</v>
      </c>
    </row>
    <row r="30" spans="1:5" x14ac:dyDescent="0.2">
      <c r="A30" t="s">
        <v>3172</v>
      </c>
      <c r="B30" t="s">
        <v>824</v>
      </c>
      <c r="C30" t="s">
        <v>518</v>
      </c>
      <c r="D30" t="s">
        <v>827</v>
      </c>
      <c r="E30" t="s">
        <v>3193</v>
      </c>
    </row>
    <row r="31" spans="1:5" x14ac:dyDescent="0.2">
      <c r="A31" t="s">
        <v>3172</v>
      </c>
      <c r="B31" t="s">
        <v>434</v>
      </c>
      <c r="C31" t="s">
        <v>518</v>
      </c>
      <c r="D31" t="s">
        <v>572</v>
      </c>
      <c r="E31" t="s">
        <v>3188</v>
      </c>
    </row>
    <row r="32" spans="1:5" x14ac:dyDescent="0.2">
      <c r="A32" t="s">
        <v>3172</v>
      </c>
      <c r="B32" t="s">
        <v>436</v>
      </c>
      <c r="C32" t="s">
        <v>518</v>
      </c>
      <c r="D32" t="s">
        <v>608</v>
      </c>
      <c r="E32" t="s">
        <v>3194</v>
      </c>
    </row>
    <row r="33" spans="1:5" x14ac:dyDescent="0.2">
      <c r="A33" t="s">
        <v>3172</v>
      </c>
      <c r="B33" t="s">
        <v>438</v>
      </c>
      <c r="C33" t="s">
        <v>518</v>
      </c>
      <c r="D33" t="s">
        <v>588</v>
      </c>
      <c r="E33" t="s">
        <v>3191</v>
      </c>
    </row>
    <row r="34" spans="1:5" x14ac:dyDescent="0.2">
      <c r="A34" t="s">
        <v>3172</v>
      </c>
      <c r="B34" t="s">
        <v>445</v>
      </c>
      <c r="C34" t="s">
        <v>518</v>
      </c>
      <c r="D34" t="s">
        <v>591</v>
      </c>
      <c r="E34" t="s">
        <v>3177</v>
      </c>
    </row>
    <row r="35" spans="1:5" x14ac:dyDescent="0.2">
      <c r="A35" t="s">
        <v>3172</v>
      </c>
      <c r="B35" t="s">
        <v>448</v>
      </c>
      <c r="C35" t="s">
        <v>518</v>
      </c>
      <c r="D35" t="s">
        <v>872</v>
      </c>
      <c r="E35" t="s">
        <v>3195</v>
      </c>
    </row>
    <row r="36" spans="1:5" x14ac:dyDescent="0.2">
      <c r="A36" t="s">
        <v>3172</v>
      </c>
      <c r="B36" t="s">
        <v>451</v>
      </c>
      <c r="C36" t="s">
        <v>518</v>
      </c>
      <c r="D36" t="s">
        <v>572</v>
      </c>
      <c r="E36" t="s">
        <v>3187</v>
      </c>
    </row>
    <row r="37" spans="1:5" x14ac:dyDescent="0.2">
      <c r="A37" t="s">
        <v>3172</v>
      </c>
      <c r="B37" t="s">
        <v>452</v>
      </c>
      <c r="C37" t="s">
        <v>518</v>
      </c>
      <c r="D37" t="s">
        <v>604</v>
      </c>
      <c r="E37" t="s">
        <v>3196</v>
      </c>
    </row>
    <row r="38" spans="1:5" x14ac:dyDescent="0.2">
      <c r="A38" t="s">
        <v>3172</v>
      </c>
      <c r="B38" t="s">
        <v>458</v>
      </c>
      <c r="C38" t="s">
        <v>518</v>
      </c>
      <c r="D38" t="s">
        <v>911</v>
      </c>
      <c r="E38" t="s">
        <v>3197</v>
      </c>
    </row>
    <row r="39" spans="1:5" x14ac:dyDescent="0.2">
      <c r="A39" t="s">
        <v>3172</v>
      </c>
      <c r="B39" t="s">
        <v>459</v>
      </c>
      <c r="C39" t="s">
        <v>518</v>
      </c>
      <c r="D39" t="s">
        <v>915</v>
      </c>
      <c r="E39" t="s">
        <v>3178</v>
      </c>
    </row>
    <row r="40" spans="1:5" x14ac:dyDescent="0.2">
      <c r="A40" t="s">
        <v>3172</v>
      </c>
      <c r="B40" t="s">
        <v>469</v>
      </c>
      <c r="C40" t="s">
        <v>518</v>
      </c>
      <c r="D40" t="s">
        <v>567</v>
      </c>
      <c r="E40" t="s">
        <v>3198</v>
      </c>
    </row>
    <row r="41" spans="1:5" x14ac:dyDescent="0.2">
      <c r="A41" t="s">
        <v>3172</v>
      </c>
      <c r="B41" t="s">
        <v>471</v>
      </c>
      <c r="C41" t="s">
        <v>518</v>
      </c>
      <c r="D41" t="s">
        <v>798</v>
      </c>
      <c r="E41" t="s">
        <v>3174</v>
      </c>
    </row>
    <row r="42" spans="1:5" x14ac:dyDescent="0.2">
      <c r="A42" t="s">
        <v>3172</v>
      </c>
      <c r="B42" t="s">
        <v>476</v>
      </c>
      <c r="C42" t="s">
        <v>518</v>
      </c>
      <c r="D42" t="s">
        <v>635</v>
      </c>
      <c r="E42" t="s">
        <v>3197</v>
      </c>
    </row>
    <row r="43" spans="1:5" x14ac:dyDescent="0.2">
      <c r="A43" t="s">
        <v>3172</v>
      </c>
      <c r="B43" t="s">
        <v>484</v>
      </c>
      <c r="C43" t="s">
        <v>518</v>
      </c>
      <c r="D43" t="s">
        <v>762</v>
      </c>
      <c r="E43" t="s">
        <v>3175</v>
      </c>
    </row>
    <row r="44" spans="1:5" x14ac:dyDescent="0.2">
      <c r="A44" t="s">
        <v>3172</v>
      </c>
      <c r="B44" t="s">
        <v>485</v>
      </c>
      <c r="C44" t="s">
        <v>518</v>
      </c>
      <c r="D44" t="s">
        <v>978</v>
      </c>
      <c r="E44" t="s">
        <v>3199</v>
      </c>
    </row>
    <row r="45" spans="1:5" x14ac:dyDescent="0.2">
      <c r="A45" t="s">
        <v>3172</v>
      </c>
      <c r="B45" t="s">
        <v>486</v>
      </c>
      <c r="C45" t="s">
        <v>518</v>
      </c>
      <c r="D45" t="s">
        <v>588</v>
      </c>
      <c r="E45" t="s">
        <v>3175</v>
      </c>
    </row>
    <row r="46" spans="1:5" x14ac:dyDescent="0.2">
      <c r="A46" t="s">
        <v>3172</v>
      </c>
      <c r="B46" t="s">
        <v>491</v>
      </c>
      <c r="C46" t="s">
        <v>518</v>
      </c>
      <c r="D46" t="s">
        <v>608</v>
      </c>
      <c r="E46" t="s">
        <v>3197</v>
      </c>
    </row>
    <row r="47" spans="1:5" x14ac:dyDescent="0.2">
      <c r="A47" t="s">
        <v>3172</v>
      </c>
      <c r="B47" t="s">
        <v>492</v>
      </c>
      <c r="C47" t="s">
        <v>518</v>
      </c>
      <c r="D47" t="s">
        <v>567</v>
      </c>
      <c r="E47" t="s">
        <v>3200</v>
      </c>
    </row>
    <row r="48" spans="1:5" x14ac:dyDescent="0.2">
      <c r="A48" t="s">
        <v>3172</v>
      </c>
      <c r="B48" t="s">
        <v>493</v>
      </c>
      <c r="C48" t="s">
        <v>518</v>
      </c>
      <c r="D48" t="s">
        <v>718</v>
      </c>
      <c r="E48" t="s">
        <v>3201</v>
      </c>
    </row>
    <row r="49" spans="1:5" x14ac:dyDescent="0.2">
      <c r="A49" t="s">
        <v>3172</v>
      </c>
      <c r="B49" t="s">
        <v>494</v>
      </c>
      <c r="C49" t="s">
        <v>518</v>
      </c>
      <c r="D49" t="s">
        <v>911</v>
      </c>
      <c r="E49" t="s">
        <v>3186</v>
      </c>
    </row>
    <row r="50" spans="1:5" x14ac:dyDescent="0.2">
      <c r="A50" t="s">
        <v>3172</v>
      </c>
      <c r="B50" t="s">
        <v>497</v>
      </c>
      <c r="C50" t="s">
        <v>518</v>
      </c>
      <c r="D50" t="s">
        <v>978</v>
      </c>
      <c r="E50" t="s">
        <v>3199</v>
      </c>
    </row>
    <row r="51" spans="1:5" x14ac:dyDescent="0.2">
      <c r="A51" t="s">
        <v>3172</v>
      </c>
      <c r="B51" t="s">
        <v>378</v>
      </c>
      <c r="C51" t="s">
        <v>516</v>
      </c>
      <c r="D51" t="s">
        <v>521</v>
      </c>
      <c r="E51" t="s">
        <v>3202</v>
      </c>
    </row>
    <row r="52" spans="1:5" x14ac:dyDescent="0.2">
      <c r="A52" t="s">
        <v>3172</v>
      </c>
      <c r="B52" t="s">
        <v>380</v>
      </c>
      <c r="C52" t="s">
        <v>516</v>
      </c>
      <c r="D52" t="s">
        <v>521</v>
      </c>
      <c r="E52" t="s">
        <v>3202</v>
      </c>
    </row>
    <row r="53" spans="1:5" x14ac:dyDescent="0.2">
      <c r="A53" t="s">
        <v>3172</v>
      </c>
      <c r="B53" t="s">
        <v>381</v>
      </c>
      <c r="C53" t="s">
        <v>516</v>
      </c>
      <c r="D53" t="s">
        <v>521</v>
      </c>
      <c r="E53" t="s">
        <v>3202</v>
      </c>
    </row>
    <row r="54" spans="1:5" x14ac:dyDescent="0.2">
      <c r="A54" t="s">
        <v>3172</v>
      </c>
      <c r="B54" t="s">
        <v>382</v>
      </c>
      <c r="C54" t="s">
        <v>516</v>
      </c>
      <c r="D54" t="s">
        <v>570</v>
      </c>
      <c r="E54" t="s">
        <v>3202</v>
      </c>
    </row>
    <row r="55" spans="1:5" x14ac:dyDescent="0.2">
      <c r="A55" t="s">
        <v>3172</v>
      </c>
      <c r="B55" t="s">
        <v>383</v>
      </c>
      <c r="C55" t="s">
        <v>516</v>
      </c>
      <c r="D55" t="s">
        <v>599</v>
      </c>
      <c r="E55" t="s">
        <v>3202</v>
      </c>
    </row>
    <row r="56" spans="1:5" x14ac:dyDescent="0.2">
      <c r="A56" t="s">
        <v>3172</v>
      </c>
      <c r="B56" t="s">
        <v>385</v>
      </c>
      <c r="C56" t="s">
        <v>516</v>
      </c>
      <c r="D56" t="s">
        <v>561</v>
      </c>
      <c r="E56" t="s">
        <v>3202</v>
      </c>
    </row>
    <row r="57" spans="1:5" x14ac:dyDescent="0.2">
      <c r="A57" t="s">
        <v>3172</v>
      </c>
      <c r="B57" t="s">
        <v>386</v>
      </c>
      <c r="C57" t="s">
        <v>516</v>
      </c>
      <c r="D57" t="s">
        <v>550</v>
      </c>
      <c r="E57" t="s">
        <v>3202</v>
      </c>
    </row>
    <row r="58" spans="1:5" x14ac:dyDescent="0.2">
      <c r="A58" t="s">
        <v>3172</v>
      </c>
      <c r="B58" t="s">
        <v>387</v>
      </c>
      <c r="C58" t="s">
        <v>516</v>
      </c>
      <c r="D58" t="s">
        <v>570</v>
      </c>
      <c r="E58" t="s">
        <v>3202</v>
      </c>
    </row>
    <row r="59" spans="1:5" x14ac:dyDescent="0.2">
      <c r="A59" t="s">
        <v>3172</v>
      </c>
      <c r="B59" t="s">
        <v>389</v>
      </c>
      <c r="C59" t="s">
        <v>516</v>
      </c>
      <c r="D59" t="s">
        <v>599</v>
      </c>
      <c r="E59" t="s">
        <v>3202</v>
      </c>
    </row>
    <row r="60" spans="1:5" x14ac:dyDescent="0.2">
      <c r="A60" t="s">
        <v>3172</v>
      </c>
      <c r="B60" t="s">
        <v>392</v>
      </c>
      <c r="C60" t="s">
        <v>516</v>
      </c>
      <c r="D60" t="s">
        <v>614</v>
      </c>
      <c r="E60" t="s">
        <v>3202</v>
      </c>
    </row>
    <row r="61" spans="1:5" x14ac:dyDescent="0.2">
      <c r="A61" t="s">
        <v>3172</v>
      </c>
      <c r="B61" t="s">
        <v>393</v>
      </c>
      <c r="C61" t="s">
        <v>516</v>
      </c>
      <c r="D61" t="s">
        <v>570</v>
      </c>
      <c r="E61" t="s">
        <v>3202</v>
      </c>
    </row>
    <row r="62" spans="1:5" x14ac:dyDescent="0.2">
      <c r="A62" t="s">
        <v>3172</v>
      </c>
      <c r="B62" t="s">
        <v>394</v>
      </c>
      <c r="C62" t="s">
        <v>516</v>
      </c>
      <c r="D62" t="s">
        <v>561</v>
      </c>
      <c r="E62" t="s">
        <v>3202</v>
      </c>
    </row>
    <row r="63" spans="1:5" x14ac:dyDescent="0.2">
      <c r="A63" t="s">
        <v>3172</v>
      </c>
      <c r="B63" t="s">
        <v>395</v>
      </c>
      <c r="C63" t="s">
        <v>516</v>
      </c>
      <c r="D63" t="s">
        <v>561</v>
      </c>
      <c r="E63" t="s">
        <v>3202</v>
      </c>
    </row>
    <row r="64" spans="1:5" x14ac:dyDescent="0.2">
      <c r="A64" t="s">
        <v>3172</v>
      </c>
      <c r="B64" t="s">
        <v>396</v>
      </c>
      <c r="C64" t="s">
        <v>516</v>
      </c>
      <c r="D64" t="s">
        <v>521</v>
      </c>
      <c r="E64" t="s">
        <v>3202</v>
      </c>
    </row>
    <row r="65" spans="1:5" x14ac:dyDescent="0.2">
      <c r="A65" t="s">
        <v>3172</v>
      </c>
      <c r="B65" t="s">
        <v>398</v>
      </c>
      <c r="C65" t="s">
        <v>516</v>
      </c>
      <c r="D65" t="s">
        <v>550</v>
      </c>
      <c r="E65" t="s">
        <v>3202</v>
      </c>
    </row>
    <row r="66" spans="1:5" x14ac:dyDescent="0.2">
      <c r="A66" t="s">
        <v>3172</v>
      </c>
      <c r="B66" t="s">
        <v>399</v>
      </c>
      <c r="C66" t="s">
        <v>516</v>
      </c>
      <c r="D66" t="s">
        <v>521</v>
      </c>
      <c r="E66" t="s">
        <v>3202</v>
      </c>
    </row>
    <row r="67" spans="1:5" x14ac:dyDescent="0.2">
      <c r="A67" t="s">
        <v>3172</v>
      </c>
      <c r="B67" t="s">
        <v>400</v>
      </c>
      <c r="C67" t="s">
        <v>516</v>
      </c>
      <c r="D67" t="s">
        <v>561</v>
      </c>
      <c r="E67" t="s">
        <v>3202</v>
      </c>
    </row>
    <row r="68" spans="1:5" x14ac:dyDescent="0.2">
      <c r="A68" t="s">
        <v>3172</v>
      </c>
      <c r="B68" t="s">
        <v>401</v>
      </c>
      <c r="C68" t="s">
        <v>516</v>
      </c>
      <c r="D68" t="s">
        <v>521</v>
      </c>
      <c r="E68" t="s">
        <v>3202</v>
      </c>
    </row>
    <row r="69" spans="1:5" x14ac:dyDescent="0.2">
      <c r="A69" t="s">
        <v>3172</v>
      </c>
      <c r="B69" t="s">
        <v>402</v>
      </c>
      <c r="C69" t="s">
        <v>516</v>
      </c>
      <c r="D69" t="s">
        <v>570</v>
      </c>
      <c r="E69" t="s">
        <v>3202</v>
      </c>
    </row>
    <row r="70" spans="1:5" x14ac:dyDescent="0.2">
      <c r="A70" t="s">
        <v>3172</v>
      </c>
      <c r="B70" t="s">
        <v>403</v>
      </c>
      <c r="C70" t="s">
        <v>516</v>
      </c>
      <c r="D70" t="s">
        <v>561</v>
      </c>
      <c r="E70" t="s">
        <v>3202</v>
      </c>
    </row>
    <row r="71" spans="1:5" x14ac:dyDescent="0.2">
      <c r="A71" t="s">
        <v>3172</v>
      </c>
      <c r="B71" t="s">
        <v>404</v>
      </c>
      <c r="C71" t="s">
        <v>516</v>
      </c>
      <c r="D71" t="s">
        <v>599</v>
      </c>
      <c r="E71" t="s">
        <v>3202</v>
      </c>
    </row>
    <row r="72" spans="1:5" x14ac:dyDescent="0.2">
      <c r="A72" t="s">
        <v>3172</v>
      </c>
      <c r="B72" t="s">
        <v>405</v>
      </c>
      <c r="C72" t="s">
        <v>516</v>
      </c>
      <c r="D72" t="s">
        <v>550</v>
      </c>
      <c r="E72" t="s">
        <v>3202</v>
      </c>
    </row>
    <row r="73" spans="1:5" x14ac:dyDescent="0.2">
      <c r="A73" t="s">
        <v>3172</v>
      </c>
      <c r="B73" t="s">
        <v>406</v>
      </c>
      <c r="C73" t="s">
        <v>516</v>
      </c>
      <c r="D73" t="s">
        <v>614</v>
      </c>
      <c r="E73" t="s">
        <v>3202</v>
      </c>
    </row>
    <row r="74" spans="1:5" x14ac:dyDescent="0.2">
      <c r="A74" t="s">
        <v>3172</v>
      </c>
      <c r="B74" t="s">
        <v>437</v>
      </c>
      <c r="C74" t="s">
        <v>516</v>
      </c>
      <c r="D74" t="s">
        <v>550</v>
      </c>
      <c r="E74" t="s">
        <v>3203</v>
      </c>
    </row>
    <row r="75" spans="1:5" x14ac:dyDescent="0.2">
      <c r="A75" t="s">
        <v>3172</v>
      </c>
      <c r="B75" t="s">
        <v>438</v>
      </c>
      <c r="C75" t="s">
        <v>516</v>
      </c>
      <c r="D75" t="s">
        <v>561</v>
      </c>
      <c r="E75" t="s">
        <v>3203</v>
      </c>
    </row>
    <row r="76" spans="1:5" x14ac:dyDescent="0.2">
      <c r="A76" t="s">
        <v>3172</v>
      </c>
      <c r="B76" t="s">
        <v>443</v>
      </c>
      <c r="C76" t="s">
        <v>516</v>
      </c>
      <c r="D76" t="s">
        <v>561</v>
      </c>
      <c r="E76" t="s">
        <v>3203</v>
      </c>
    </row>
    <row r="77" spans="1:5" x14ac:dyDescent="0.2">
      <c r="A77" t="s">
        <v>3172</v>
      </c>
      <c r="B77" t="s">
        <v>445</v>
      </c>
      <c r="C77" t="s">
        <v>516</v>
      </c>
      <c r="D77" t="s">
        <v>561</v>
      </c>
      <c r="E77" t="s">
        <v>3203</v>
      </c>
    </row>
    <row r="78" spans="1:5" x14ac:dyDescent="0.2">
      <c r="A78" t="s">
        <v>3172</v>
      </c>
      <c r="B78" t="s">
        <v>446</v>
      </c>
      <c r="C78" t="s">
        <v>516</v>
      </c>
      <c r="D78" t="s">
        <v>561</v>
      </c>
      <c r="E78" t="s">
        <v>3203</v>
      </c>
    </row>
    <row r="79" spans="1:5" x14ac:dyDescent="0.2">
      <c r="A79" t="s">
        <v>3172</v>
      </c>
      <c r="B79" t="s">
        <v>447</v>
      </c>
      <c r="C79" t="s">
        <v>516</v>
      </c>
      <c r="D79" t="s">
        <v>530</v>
      </c>
      <c r="E79" t="s">
        <v>3203</v>
      </c>
    </row>
    <row r="80" spans="1:5" x14ac:dyDescent="0.2">
      <c r="A80" t="s">
        <v>3172</v>
      </c>
      <c r="B80" t="s">
        <v>449</v>
      </c>
      <c r="C80" t="s">
        <v>516</v>
      </c>
      <c r="D80" t="s">
        <v>550</v>
      </c>
      <c r="E80" t="s">
        <v>3203</v>
      </c>
    </row>
    <row r="81" spans="1:5" x14ac:dyDescent="0.2">
      <c r="A81" t="s">
        <v>3172</v>
      </c>
      <c r="B81" t="s">
        <v>450</v>
      </c>
      <c r="C81" t="s">
        <v>516</v>
      </c>
      <c r="D81" t="s">
        <v>561</v>
      </c>
      <c r="E81" t="s">
        <v>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Reference</vt:lpstr>
      <vt:lpstr>Lists</vt:lpstr>
      <vt:lpstr>PackDefinitions</vt:lpstr>
      <vt:lpstr>PackLayer_Notes</vt:lpstr>
      <vt:lpstr>PackMap</vt:lpstr>
      <vt:lpstr>Questions</vt:lpstr>
      <vt:lpstr>AnswerOptions</vt:lpstr>
      <vt:lpstr>Pack_Table</vt:lpstr>
      <vt:lpstr>Response_Template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2026-01-08T15:49:31Z</dcterms:created>
  <dcterms:modified xsi:type="dcterms:W3CDTF">2026-01-08T16:17:09Z</dcterms:modified>
</cp:coreProperties>
</file>