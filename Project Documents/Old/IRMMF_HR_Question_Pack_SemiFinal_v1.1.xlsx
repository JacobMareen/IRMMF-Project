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bcbf7fcb4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b19618f4493d478f"/>
    <x:sheet xmlns:r="http://schemas.openxmlformats.org/officeDocument/2006/relationships" name="Reference" sheetId="2" r:id="R76c0810c566c4eca"/>
    <x:sheet xmlns:r="http://schemas.openxmlformats.org/officeDocument/2006/relationships" name="Questions" sheetId="3" r:id="Re6cf21760a0745e7"/>
    <x:sheet xmlns:r="http://schemas.openxmlformats.org/officeDocument/2006/relationships" name="AnswerOptions" sheetId="4" r:id="R8027387476bc4d02"/>
    <x:sheet xmlns:r="http://schemas.openxmlformats.org/officeDocument/2006/relationships" name="HRPack_Table" sheetId="5" r:id="R94d29443d61b497d"/>
  </x:sheets>
  <x:definedNames>
    <x:definedName name="_xlnm._FilterDatabase" localSheetId="2" hidden="1">'Questions'!$A$1:$K$1</x:definedName>
    <x:definedName name="_xlnm._FilterDatabase" localSheetId="3" hidden="1">'AnswerOptions'!$A$1:$I$1</x:definedName>
    <x:definedName name="_xlnm._FilterDatabase" localSheetId="4" hidden="1">'HRPack_Table'!$A$1:$AB$1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f8e73ac704e67" /><Relationship Type="http://schemas.openxmlformats.org/officeDocument/2006/relationships/theme" Target="/xl/theme/theme1.xml" Id="Reb8db07d6ba24fd8" /><Relationship Type="http://schemas.openxmlformats.org/officeDocument/2006/relationships/sharedStrings" Target="/xl/sharedStrings.xml" Id="Rbf0881b6477e4758" /><Relationship Type="http://schemas.openxmlformats.org/officeDocument/2006/relationships/worksheet" Target="/xl/worksheets/sheet1.xml" Id="Rb19618f4493d478f" /><Relationship Type="http://schemas.openxmlformats.org/officeDocument/2006/relationships/worksheet" Target="/xl/worksheets/sheet2.xml" Id="R76c0810c566c4eca" /><Relationship Type="http://schemas.openxmlformats.org/officeDocument/2006/relationships/worksheet" Target="/xl/worksheets/sheet3.xml" Id="Re6cf21760a0745e7" /><Relationship Type="http://schemas.openxmlformats.org/officeDocument/2006/relationships/worksheet" Target="/xl/worksheets/sheet4.xml" Id="R8027387476bc4d02" /><Relationship Type="http://schemas.openxmlformats.org/officeDocument/2006/relationships/worksheet" Target="/xl/worksheets/sheet5.xml" Id="R94d29443d61b497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4" customWidth="1"/>
    <x:col min="3" max="3" width="18" customWidth="1"/>
    <x:col min="4" max="4" width="17" customWidth="1"/>
    <x:col min="5" max="5" width="14" customWidth="1"/>
  </x:cols>
  <x:sheetData>
    <x:row r="1">
      <x:c r="A1" t="inlineStr">
        <x:is>
          <x:t xml:space="preserve">Tiers</x:t>
        </x:is>
      </x:c>
      <x:c r="B1" t="inlineStr">
        <x:is>
          <x:t xml:space="preserve">Axes</x:t>
        </x:is>
      </x:c>
      <x:c r="C1" t="inlineStr">
        <x:is>
          <x:t xml:space="preserve">EvidencePolicyID</x:t>
        </x:is>
      </x:c>
      <x:c r="D1" t="inlineStr">
        <x:is>
          <x:t xml:space="preserve">NegativeControl</x:t>
        </x:is>
      </x:c>
      <x:c r="E1" t="inlineStr">
        <x:is>
          <x:t xml:space="preserve">FractureType</x:t>
        </x:is>
      </x:c>
    </x:row>
    <x:row r="2">
      <x:c r="A2" t="inlineStr">
        <x:is>
          <x:t xml:space="preserve">T1</x:t>
        </x:is>
      </x:c>
      <x:c r="B2" t="inlineStr">
        <x:is>
          <x:t xml:space="preserve">G</x:t>
        </x:is>
      </x:c>
      <x:c r="C2" t="inlineStr">
        <x:is>
          <x:t xml:space="preserve">GOV_STD</x:t>
        </x:is>
      </x:c>
      <x:c r="D2" t="inlineStr">
        <x:is>
          <x:t xml:space="preserve">Y</x:t>
        </x:is>
      </x:c>
      <x:c r="E2" t="inlineStr">
        <x:is>
          <x:t xml:space="preserve">Bypass Pressure</x:t>
        </x:is>
      </x:c>
    </x:row>
    <x:row r="3">
      <x:c r="A3" t="inlineStr">
        <x:is>
          <x:t xml:space="preserve">T2</x:t>
        </x:is>
      </x:c>
      <x:c r="B3" t="inlineStr">
        <x:is>
          <x:t xml:space="preserve">E</x:t>
        </x:is>
      </x:c>
      <x:c r="C3" t="inlineStr">
        <x:is>
          <x:t xml:space="preserve">RISK_STD</x:t>
        </x:is>
      </x:c>
      <x:c r="D3" t="inlineStr">
        <x:is>
          <x:t xml:space="preserve">N</x:t>
        </x:is>
      </x:c>
      <x:c r="E3" t="inlineStr">
        <x:is>
          <x:t xml:space="preserve">Control Lag</x:t>
        </x:is>
      </x:c>
    </x:row>
    <x:row r="4">
      <x:c r="A4" t="inlineStr">
        <x:is>
          <x:t xml:space="preserve">T3</x:t>
        </x:is>
      </x:c>
      <x:c r="B4" t="inlineStr">
        <x:is>
          <x:t xml:space="preserve">T</x:t>
        </x:is>
      </x:c>
      <x:c r="C4" t="inlineStr">
        <x:is>
          <x:t xml:space="preserve">OPS_STD</x:t>
        </x:is>
      </x:c>
      <x:c r="E4" t="inlineStr">
        <x:is>
          <x:t xml:space="preserve">Culture Risk</x:t>
        </x:is>
      </x:c>
    </x:row>
    <x:row r="5">
      <x:c r="B5" t="inlineStr">
        <x:is>
          <x:t xml:space="preserve">L</x:t>
        </x:is>
      </x:c>
      <x:c r="C5" t="inlineStr">
        <x:is>
          <x:t xml:space="preserve">CULT_SOFT</x:t>
        </x:is>
      </x:c>
      <x:c r="E5" t="inlineStr">
        <x:is>
          <x:t xml:space="preserve">Legal Exposure</x:t>
        </x:is>
      </x:c>
    </x:row>
    <x:row r="6">
      <x:c r="B6" t="inlineStr">
        <x:is>
          <x:t xml:space="preserve">H</x:t>
        </x:is>
      </x:c>
      <x:c r="C6" t="inlineStr">
        <x:is>
          <x:t xml:space="preserve">LEG_STRICT</x:t>
        </x:is>
      </x:c>
      <x:c r="E6" t="inlineStr">
        <x:is>
          <x:t xml:space="preserve">Operating Model Gap</x:t>
        </x:is>
      </x:c>
    </x:row>
    <x:row r="7">
      <x:c r="B7" t="inlineStr">
        <x:is>
          <x:t xml:space="preserve">V</x:t>
        </x:is>
      </x:c>
      <x:c r="E7" t="inlineStr">
        <x:is>
          <x:t xml:space="preserve">Paper Dragon</x:t>
        </x:is>
      </x:c>
    </x:row>
    <x:row r="8">
      <x:c r="B8" t="inlineStr">
        <x:is>
          <x:t xml:space="preserve">R</x:t>
        </x:is>
      </x:c>
      <x:c r="E8" t="inlineStr">
        <x:is>
          <x:t xml:space="preserve">Shadow Mature</x:t>
        </x:is>
      </x:c>
    </x:row>
    <x:row r="9">
      <x:c r="B9" t="inlineStr">
        <x:is>
          <x:t xml:space="preserve">F</x:t>
        </x:is>
      </x:c>
      <x:c r="E9" t="inlineStr">
        <x:is>
          <x:t xml:space="preserve">Toxic Enforcer</x:t>
        </x:is>
      </x:c>
    </x:row>
    <x:row r="10">
      <x:c r="B10" t="inlineStr">
        <x:is>
          <x:t xml:space="preserve">W</x:t>
        </x:is>
      </x:c>
      <x:c r="E10" t="inlineStr">
        <x:is>
          <x:t xml:space="preserve">Blind Titan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customWidth="1"/>
    <x:col min="2" max="2" width="14" customWidth="1"/>
    <x:col min="3" max="3" width="100" customWidth="1"/>
  </x:cols>
  <x:sheetData>
    <x:row r="1" ht="28" customHeight="1">
      <x:c r="A1" s="1" t="inlineStr">
        <x:is>
          <x:t xml:space="preserve">Section</x:t>
        </x:is>
      </x:c>
      <x:c r="B1" s="1" t="inlineStr">
        <x:is>
          <x:t xml:space="preserve">Key</x:t>
        </x:is>
      </x:c>
      <x:c r="C1" s="1" t="inlineStr">
        <x:is>
          <x:t xml:space="preserve">Value/Description</x:t>
        </x:is>
      </x:c>
    </x:row>
    <x:row r="2">
      <x:c r="A2" t="inlineStr">
        <x:is>
          <x:t xml:space="preserve">Axes</x:t>
        </x:is>
      </x:c>
      <x:c r="B2" t="inlineStr">
        <x:is>
          <x:t xml:space="preserve">G</x:t>
        </x:is>
      </x:c>
      <x:c r="C2" t="inlineStr">
        <x:is>
          <x:t xml:space="preserve">Governance — Mandate, sponsorship, funding, decision rights, oversight cadence.</x:t>
        </x:is>
      </x:c>
    </x:row>
    <x:row r="3">
      <x:c r="A3" t="inlineStr">
        <x:is>
          <x:t xml:space="preserve">Axes</x:t>
        </x:is>
      </x:c>
      <x:c r="B3" t="inlineStr">
        <x:is>
          <x:t xml:space="preserve">E</x:t>
        </x:is>
      </x:c>
      <x:c r="C3" t="inlineStr">
        <x:is>
          <x:t xml:space="preserve">Execution — Operational consistency; repeatable habits and adoption.</x:t>
        </x:is>
      </x:c>
    </x:row>
    <x:row r="4">
      <x:c r="A4" t="inlineStr">
        <x:is>
          <x:t xml:space="preserve">Axes</x:t>
        </x:is>
      </x:c>
      <x:c r="B4" t="inlineStr">
        <x:is>
          <x:t xml:space="preserve">T</x:t>
        </x:is>
      </x:c>
      <x:c r="C4" t="inlineStr">
        <x:is>
          <x:t xml:space="preserve">Technical Orchestration — Automation and integration of monitoring/detection/respond.</x:t>
        </x:is>
      </x:c>
    </x:row>
    <x:row r="5">
      <x:c r="A5" t="inlineStr">
        <x:is>
          <x:t xml:space="preserve">Axes</x:t>
        </x:is>
      </x:c>
      <x:c r="B5" t="inlineStr">
        <x:is>
          <x:t xml:space="preserve">L</x:t>
        </x:is>
      </x:c>
      <x:c r="C5" t="inlineStr">
        <x:is>
          <x:t xml:space="preserve">Legal &amp; Privacy — Defensibility, proportionality, transparency, lawful basis, auditability.</x:t>
        </x:is>
      </x:c>
    </x:row>
    <x:row r="6">
      <x:c r="A6" t="inlineStr">
        <x:is>
          <x:t xml:space="preserve">Axes</x:t>
        </x:is>
      </x:c>
      <x:c r="B6" t="inlineStr">
        <x:is>
          <x:t xml:space="preserve">H</x:t>
        </x:is>
      </x:c>
      <x:c r="C6" t="inlineStr">
        <x:is>
          <x:t xml:space="preserve">Human Sentiment — Psychological safety, speak-up culture, fairness perception.</x:t>
        </x:is>
      </x:c>
    </x:row>
    <x:row r="7">
      <x:c r="A7" t="inlineStr">
        <x:is>
          <x:t xml:space="preserve">Axes</x:t>
        </x:is>
      </x:c>
      <x:c r="B7" t="inlineStr">
        <x:is>
          <x:t xml:space="preserve">V</x:t>
        </x:is>
      </x:c>
      <x:c r="C7" t="inlineStr">
        <x:is>
          <x:t xml:space="preserve">Visibility — Sensitive assets/systems, data flows, access concentration.</x:t>
        </x:is>
      </x:c>
    </x:row>
    <x:row r="8">
      <x:c r="A8" t="inlineStr">
        <x:is>
          <x:t xml:space="preserve">Axes</x:t>
        </x:is>
      </x:c>
      <x:c r="B8" t="inlineStr">
        <x:is>
          <x:t xml:space="preserve">R</x:t>
        </x:is>
      </x:c>
      <x:c r="C8" t="inlineStr">
        <x:is>
          <x:t xml:space="preserve">Resilience — Case handling, investigations, exercises, recovery and learning.</x:t>
        </x:is>
      </x:c>
    </x:row>
    <x:row r="9">
      <x:c r="A9" t="inlineStr">
        <x:is>
          <x:t xml:space="preserve">Axes</x:t>
        </x:is>
      </x:c>
      <x:c r="B9" t="inlineStr">
        <x:is>
          <x:t xml:space="preserve">F</x:t>
        </x:is>
      </x:c>
      <x:c r="C9" t="inlineStr">
        <x:is>
          <x:t xml:space="preserve">Friction Management — Ability to reduce bypass pressure; usability and exception management.</x:t>
        </x:is>
      </x:c>
    </x:row>
    <x:row r="10">
      <x:c r="A10" t="inlineStr">
        <x:is>
          <x:t xml:space="preserve">Axes</x:t>
        </x:is>
      </x:c>
      <x:c r="B10" t="inlineStr">
        <x:is>
          <x:t xml:space="preserve">W</x:t>
        </x:is>
      </x:c>
      <x:c r="C10" t="inlineStr">
        <x:is>
          <x:t xml:space="preserve">Control Lag Management — Ability to adapt controls quickly during change events.</x:t>
        </x:is>
      </x:c>
    </x:row>
    <x:row r="11">
      <x:c r="A11" t="inlineStr">
        <x:is>
          <x:t xml:space="preserve">Pack</x:t>
        </x:is>
      </x:c>
      <x:c r="B11" t="inlineStr">
        <x:is>
          <x:t xml:space="preserve">HR</x:t>
        </x:is>
      </x:c>
      <x:c r="C11" t="inlineStr">
        <x:is>
          <x:t xml:space="preserve">HR Pack — Focus on people-side governance, speak-up/whistleblowing, manager capability, JML coordination, friction, change-event control lag, and fairness.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customWidth="1"/>
    <x:col min="2" max="2" width="6" customWidth="1"/>
    <x:col min="3" max="3" width="28" customWidth="1"/>
    <x:col min="4" max="4" width="7" customWidth="1"/>
    <x:col min="5" max="5" width="6" customWidth="1"/>
    <x:col min="6" max="6" width="7" customWidth="1"/>
    <x:col min="7" max="7" width="6" customWidth="1"/>
    <x:col min="8" max="8" width="70" customWidth="1"/>
    <x:col min="9" max="9" width="60" customWidth="1"/>
    <x:col min="10" max="10" width="42" customWidth="1"/>
    <x:col min="11" max="11" width="16" customWidth="1"/>
  </x:cols>
  <x:sheetData>
    <x:row r="1" ht="28" customHeight="1">
      <x:c r="A1" s="1" t="inlineStr">
        <x:is>
          <x:t xml:space="preserve">Q-ID</x:t>
        </x:is>
      </x:c>
      <x:c r="B1" s="1" t="inlineStr">
        <x:is>
          <x:t xml:space="preserve">Tier</x:t>
        </x:is>
      </x:c>
      <x:c r="C1" s="1" t="inlineStr">
        <x:is>
          <x:t xml:space="preserve">Domain</x:t>
        </x:is>
      </x:c>
      <x:c r="D1" s="1" t="inlineStr">
        <x:is>
          <x:t xml:space="preserve">Axis1</x:t>
        </x:is>
      </x:c>
      <x:c r="E1" s="1" t="inlineStr">
        <x:is>
          <x:t xml:space="preserve">W1</x:t>
        </x:is>
      </x:c>
      <x:c r="F1" s="1" t="inlineStr">
        <x:is>
          <x:t xml:space="preserve">Axis2</x:t>
        </x:is>
      </x:c>
      <x:c r="G1" s="1" t="inlineStr">
        <x:is>
          <x:t xml:space="preserve">W2</x:t>
        </x:is>
      </x:c>
      <x:c r="H1" s="1" t="inlineStr">
        <x:is>
          <x:t xml:space="preserve">Question Text</x:t>
        </x:is>
      </x:c>
      <x:c r="I1" s="1" t="inlineStr">
        <x:is>
          <x:t xml:space="preserve">Guidance</x:t>
        </x:is>
      </x:c>
      <x:c r="J1" s="1" t="inlineStr">
        <x:is>
          <x:t xml:space="preserve">Logic/Branching</x:t>
        </x:is>
      </x:c>
      <x:c r="K1" s="1" t="inlineStr">
        <x:is>
          <x:t xml:space="preserve">EvidencePolicyID</x:t>
        </x:is>
      </x:c>
    </x:row>
    <x:row r="2" ht="55" customHeight="1">
      <x:c r="A2" t="inlineStr">
        <x:is>
          <x:t xml:space="preserve">HR-D1-Q01</x:t>
        </x:is>
      </x:c>
      <x:c r="B2" t="inlineStr">
        <x:is>
          <x:t xml:space="preserve">T1</x:t>
        </x:is>
      </x:c>
      <x:c r="C2" t="inlineStr">
        <x:is>
          <x:t xml:space="preserve">1. HR Operating Model</x:t>
        </x:is>
      </x:c>
      <x:c r="D2" t="inlineStr">
        <x:is>
          <x:t xml:space="preserve">G</x:t>
        </x:is>
      </x:c>
      <x:c r="E2" t="n">
        <x:v>0.5</x:v>
      </x:c>
      <x:c r="F2" t="inlineStr">
        <x:is>
          <x:t xml:space="preserve">E</x:t>
        </x:is>
      </x:c>
      <x:c r="G2" t="n">
        <x:v>0.5</x:v>
      </x:c>
      <x:c r="H2" s="2" t="inlineStr">
        <x:is>
          <x:t xml:space="preserve">Is there a clear HR-facing mandate for insider risk (misuse, data theft, sabotage) and coordination with Security and Legal?</x:t>
        </x:is>
      </x:c>
      <x:c r="I2" s="2" t="inlineStr">
        <x:is>
          <x:t xml:space="preserve">Insider risk includes intentional or negligent harm by employees/contractors (e.g., data leakage, sabotage, fraud).</x:t>
        </x:is>
      </x:c>
      <x:c r="J2" s="2" t="inlineStr">
        <x:is>
          <x:t xml:space="preserve">Gatekeeper (If BaseScore &lt;2 → HR-D1-Q02; If ≥2 → HR-D1-Q03)</x:t>
        </x:is>
      </x:c>
      <x:c r="K2" t="inlineStr">
        <x:is>
          <x:t xml:space="preserve">GOV_STD</x:t>
        </x:is>
      </x:c>
    </x:row>
    <x:row r="3" ht="55" customHeight="1">
      <x:c r="A3" t="inlineStr">
        <x:is>
          <x:t xml:space="preserve">HR-D1-Q02</x:t>
        </x:is>
      </x:c>
      <x:c r="B3" t="inlineStr">
        <x:is>
          <x:t xml:space="preserve">T2</x:t>
        </x:is>
      </x:c>
      <x:c r="C3" t="inlineStr">
        <x:is>
          <x:t xml:space="preserve">1. HR Operating Model</x:t>
        </x:is>
      </x:c>
      <x:c r="D3" t="inlineStr">
        <x:is>
          <x:t xml:space="preserve">E</x:t>
        </x:is>
      </x:c>
      <x:c r="E3" t="n">
        <x:v>1</x:v>
      </x:c>
      <x:c r="F3" t="inlineStr">
        <x:is>
          <x:t xml:space="preserve">-</x:t>
        </x:is>
      </x:c>
      <x:c r="G3" t="inlineStr">
        <x:is>
          <x:t xml:space="preserve"/>
        </x:is>
      </x:c>
      <x:c r="H3" s="2" t="inlineStr">
        <x:is>
          <x:t xml:space="preserve">(Shadow probe) Even without formal governance, do HR and Security coordinate quickly when a concern is raised?</x:t>
        </x:is>
      </x:c>
      <x:c r="I3" s="2" t="inlineStr">
        <x:is>
          <x:t xml:space="preserve">Checks real habits vs formal structure.</x:t>
        </x:is>
      </x:c>
      <x:c r="J3" s="2" t="inlineStr">
        <x:is>
          <x:t xml:space="preserve">Shadow fallback (Then → HR-D2-Q05)</x:t>
        </x:is>
      </x:c>
      <x:c r="K3" t="inlineStr">
        <x:is>
          <x:t xml:space="preserve">OPS_STD</x:t>
        </x:is>
      </x:c>
    </x:row>
    <x:row r="4" ht="55" customHeight="1">
      <x:c r="A4" t="inlineStr">
        <x:is>
          <x:t xml:space="preserve">HR-D1-Q03</x:t>
        </x:is>
      </x:c>
      <x:c r="B4" t="inlineStr">
        <x:is>
          <x:t xml:space="preserve">T2</x:t>
        </x:is>
      </x:c>
      <x:c r="C4" t="inlineStr">
        <x:is>
          <x:t xml:space="preserve">1. HR Operating Model</x:t>
        </x:is>
      </x:c>
      <x:c r="D4" t="inlineStr">
        <x:is>
          <x:t xml:space="preserve">G</x:t>
        </x:is>
      </x:c>
      <x:c r="E4" t="n">
        <x:v>1</x:v>
      </x:c>
      <x:c r="F4" t="inlineStr">
        <x:is>
          <x:t xml:space="preserve">-</x:t>
        </x:is>
      </x:c>
      <x:c r="G4" t="inlineStr">
        <x:is>
          <x:t xml:space="preserve"/>
        </x:is>
      </x:c>
      <x:c r="H4" s="2" t="inlineStr">
        <x:is>
          <x:t xml:space="preserve">Who in HR is accountable for coordinating insider-risk prevention and people-side investigations?</x:t>
        </x:is>
      </x:c>
      <x:c r="I4" s="2" t="inlineStr">
        <x:is>
          <x:t xml:space="preserve">Accountable = ultimately responsible for ensuring the process happens.</x:t>
        </x:is>
      </x:c>
      <x:c r="J4" s="2" t="inlineStr">
        <x:is>
          <x:t xml:space="preserve">Drill-down</x:t>
        </x:is>
      </x:c>
      <x:c r="K4" t="inlineStr">
        <x:is>
          <x:t xml:space="preserve">GOV_STD</x:t>
        </x:is>
      </x:c>
    </x:row>
    <x:row r="5" ht="55" customHeight="1">
      <x:c r="A5" t="inlineStr">
        <x:is>
          <x:t xml:space="preserve">HR-D1-Q04</x:t>
        </x:is>
      </x:c>
      <x:c r="B5" t="inlineStr">
        <x:is>
          <x:t xml:space="preserve">T3</x:t>
        </x:is>
      </x:c>
      <x:c r="C5" t="inlineStr">
        <x:is>
          <x:t xml:space="preserve">1. HR Operating Model</x:t>
        </x:is>
      </x:c>
      <x:c r="D5" t="inlineStr">
        <x:is>
          <x:t xml:space="preserve">R</x:t>
        </x:is>
      </x:c>
      <x:c r="E5" t="n">
        <x:v>0.5</x:v>
      </x:c>
      <x:c r="F5" t="inlineStr">
        <x:is>
          <x:t xml:space="preserve">L</x:t>
        </x:is>
      </x:c>
      <x:c r="G5" t="n">
        <x:v>0.5</x:v>
      </x:c>
      <x:c r="H5" s="2" t="inlineStr">
        <x:is>
          <x:t xml:space="preserve">Is there a documented, fair cross-functional case workflow (HR + Legal/Privacy + Security) with clear decision rights and timelines?</x:t>
        </x:is>
      </x:c>
      <x:c r="I5" s="2" t="inlineStr">
        <x:is>
          <x:t xml:space="preserve">Focus on fairness, confidentiality, proportionality, and approvals for sensitive data use.</x:t>
        </x:is>
      </x:c>
      <x:c r="J5" s="2" t="inlineStr">
        <x:is>
          <x:t xml:space="preserve">Business-proofing</x:t>
        </x:is>
      </x:c>
      <x:c r="K5" t="inlineStr">
        <x:is>
          <x:t xml:space="preserve">LEG_STRICT</x:t>
        </x:is>
      </x:c>
    </x:row>
    <x:row r="6" ht="55" customHeight="1">
      <x:c r="A6" t="inlineStr">
        <x:is>
          <x:t xml:space="preserve">HR-D2-Q05</x:t>
        </x:is>
      </x:c>
      <x:c r="B6" t="inlineStr">
        <x:is>
          <x:t xml:space="preserve">T1</x:t>
        </x:is>
      </x:c>
      <x:c r="C6" t="inlineStr">
        <x:is>
          <x:t xml:space="preserve">2. Protected Reporting</x:t>
        </x:is>
      </x:c>
      <x:c r="D6" t="inlineStr">
        <x:is>
          <x:t xml:space="preserve">H</x:t>
        </x:is>
      </x:c>
      <x:c r="E6" t="n">
        <x:v>0.6</x:v>
      </x:c>
      <x:c r="F6" t="inlineStr">
        <x:is>
          <x:t xml:space="preserve">L</x:t>
        </x:is>
      </x:c>
      <x:c r="G6" t="n">
        <x:v>0.4</x:v>
      </x:c>
      <x:c r="H6" s="2" t="inlineStr">
        <x:is>
          <x:t xml:space="preserve">Do employees and contractors have safe ways to raise concerns (including about peers or managers) and are they protected from retaliation?</x:t>
        </x:is>
      </x:c>
      <x:c r="I6" s="2" t="inlineStr">
        <x:is>
          <x:t xml:space="preserve">Include hotline/ombuds/HR channels. Protected = non-retaliation rules + process.</x:t>
        </x:is>
      </x:c>
      <x:c r="J6" s="2" t="inlineStr">
        <x:is>
          <x:t xml:space="preserve">Gatekeeper (If BaseScore &lt;2 → HR-D2-Q06; If ≥2 → HR-D2-Q07)</x:t>
        </x:is>
      </x:c>
      <x:c r="K6" t="inlineStr">
        <x:is>
          <x:t xml:space="preserve">LEG_STRICT</x:t>
        </x:is>
      </x:c>
    </x:row>
    <x:row r="7" ht="55" customHeight="1">
      <x:c r="A7" t="inlineStr">
        <x:is>
          <x:t xml:space="preserve">HR-D2-Q06</x:t>
        </x:is>
      </x:c>
      <x:c r="B7" t="inlineStr">
        <x:is>
          <x:t xml:space="preserve">T2</x:t>
        </x:is>
      </x:c>
      <x:c r="C7" t="inlineStr">
        <x:is>
          <x:t xml:space="preserve">2. Protected Reporting</x:t>
        </x:is>
      </x:c>
      <x:c r="D7" t="inlineStr">
        <x:is>
          <x:t xml:space="preserve">H</x:t>
        </x:is>
      </x:c>
      <x:c r="E7" t="n">
        <x:v>1</x:v>
      </x:c>
      <x:c r="F7" t="inlineStr">
        <x:is>
          <x:t xml:space="preserve">-</x:t>
        </x:is>
      </x:c>
      <x:c r="G7" t="inlineStr">
        <x:is>
          <x:t xml:space="preserve"/>
        </x:is>
      </x:c>
      <x:c r="H7" s="2" t="inlineStr">
        <x:is>
          <x:t xml:space="preserve">(Shadow probe) If there is no formal channel, how do concerns actually get raised today?</x:t>
        </x:is>
      </x:c>
      <x:c r="I7" s="2" t="inlineStr">
        <x:is>
          <x:t xml:space="preserve">Captures practical reality in low-maturity settings.</x:t>
        </x:is>
      </x:c>
      <x:c r="J7" s="2" t="inlineStr">
        <x:is>
          <x:t xml:space="preserve">Shadow fallback (Then → HR-D3-Q09)</x:t>
        </x:is>
      </x:c>
      <x:c r="K7" t="inlineStr">
        <x:is>
          <x:t xml:space="preserve">CULT_SOFT</x:t>
        </x:is>
      </x:c>
    </x:row>
    <x:row r="8" ht="55" customHeight="1">
      <x:c r="A8" t="inlineStr">
        <x:is>
          <x:t xml:space="preserve">HR-D2-Q07</x:t>
        </x:is>
      </x:c>
      <x:c r="B8" t="inlineStr">
        <x:is>
          <x:t xml:space="preserve">T2</x:t>
        </x:is>
      </x:c>
      <x:c r="C8" t="inlineStr">
        <x:is>
          <x:t xml:space="preserve">2. Protected Reporting</x:t>
        </x:is>
      </x:c>
      <x:c r="D8" t="inlineStr">
        <x:is>
          <x:t xml:space="preserve">L</x:t>
        </x:is>
      </x:c>
      <x:c r="E8" t="n">
        <x:v>0.5</x:v>
      </x:c>
      <x:c r="F8" t="inlineStr">
        <x:is>
          <x:t xml:space="preserve">H</x:t>
        </x:is>
      </x:c>
      <x:c r="G8" t="n">
        <x:v>0.5</x:v>
      </x:c>
      <x:c r="H8" s="2" t="inlineStr">
        <x:is>
          <x:t xml:space="preserve">How do you prevent and respond to retaliation against reporters (or witnesses)?</x:t>
        </x:is>
      </x:c>
      <x:c r="I8" s="2" t="inlineStr">
        <x:is>
          <x:t xml:space="preserve">Include policy, manager training, investigation steps, and consequences.</x:t>
        </x:is>
      </x:c>
      <x:c r="J8" s="2" t="inlineStr">
        <x:is>
          <x:t xml:space="preserve">Drill-down</x:t>
        </x:is>
      </x:c>
      <x:c r="K8" t="inlineStr">
        <x:is>
          <x:t xml:space="preserve">LEG_STRICT</x:t>
        </x:is>
      </x:c>
    </x:row>
    <x:row r="9" ht="55" customHeight="1">
      <x:c r="A9" t="inlineStr">
        <x:is>
          <x:t xml:space="preserve">HR-D2-Q08</x:t>
        </x:is>
      </x:c>
      <x:c r="B9" t="inlineStr">
        <x:is>
          <x:t xml:space="preserve">T3</x:t>
        </x:is>
      </x:c>
      <x:c r="C9" t="inlineStr">
        <x:is>
          <x:t xml:space="preserve">2. Protected Reporting</x:t>
        </x:is>
      </x:c>
      <x:c r="D9" t="inlineStr">
        <x:is>
          <x:t xml:space="preserve">E</x:t>
        </x:is>
      </x:c>
      <x:c r="E9" t="n">
        <x:v>1</x:v>
      </x:c>
      <x:c r="F9" t="inlineStr">
        <x:is>
          <x:t xml:space="preserve">-</x:t>
        </x:is>
      </x:c>
      <x:c r="G9" t="inlineStr">
        <x:is>
          <x:t xml:space="preserve"/>
        </x:is>
      </x:c>
      <x:c r="H9" s="2" t="inlineStr">
        <x:is>
          <x:t xml:space="preserve">When a report is made, how quickly is it acknowledged, triaged, and progressed (with appropriate confidentiality)?</x:t>
        </x:is>
      </x:c>
      <x:c r="I9" s="2" t="inlineStr">
        <x:is>
          <x:t xml:space="preserve">Focus on typical timelines; aggregated evidence is sufficient.</x:t>
        </x:is>
      </x:c>
      <x:c r="J9" s="2" t="inlineStr">
        <x:is>
          <x:t xml:space="preserve">Business-proofing</x:t>
        </x:is>
      </x:c>
      <x:c r="K9" t="inlineStr">
        <x:is>
          <x:t xml:space="preserve">OPS_STD</x:t>
        </x:is>
      </x:c>
    </x:row>
    <x:row r="10" ht="55" customHeight="1">
      <x:c r="A10" t="inlineStr">
        <x:is>
          <x:t xml:space="preserve">HR-D3-Q09</x:t>
        </x:is>
      </x:c>
      <x:c r="B10" t="inlineStr">
        <x:is>
          <x:t xml:space="preserve">T1</x:t>
        </x:is>
      </x:c>
      <x:c r="C10" t="inlineStr">
        <x:is>
          <x:t xml:space="preserve">3. Manager Capability &amp; Culture</x:t>
        </x:is>
      </x:c>
      <x:c r="D10" t="inlineStr">
        <x:is>
          <x:t xml:space="preserve">H</x:t>
        </x:is>
      </x:c>
      <x:c r="E10" t="n">
        <x:v>0.5</x:v>
      </x:c>
      <x:c r="F10" t="inlineStr">
        <x:is>
          <x:t xml:space="preserve">E</x:t>
        </x:is>
      </x:c>
      <x:c r="G10" t="n">
        <x:v>0.5</x:v>
      </x:c>
      <x:c r="H10" s="2" t="inlineStr">
        <x:is>
          <x:t xml:space="preserve">Are managers trained and expected to escalate people-related risk signals (conflict, distress, policy breaches) in a consistent way?</x:t>
        </x:is>
      </x:c>
      <x:c r="I10" s="2" t="inlineStr">
        <x:is>
          <x:t xml:space="preserve">Early intervention + knowing who to contact; avoid clinical labels.</x:t>
        </x:is>
      </x:c>
      <x:c r="J10" s="2" t="inlineStr">
        <x:is>
          <x:t xml:space="preserve">Gatekeeper (If BaseScore &lt;2 → HR-D3-Q10; If ≥2 → HR-D3-Q11)</x:t>
        </x:is>
      </x:c>
      <x:c r="K10" t="inlineStr">
        <x:is>
          <x:t xml:space="preserve">CULT_SOFT</x:t>
        </x:is>
      </x:c>
    </x:row>
    <x:row r="11" ht="55" customHeight="1">
      <x:c r="A11" t="inlineStr">
        <x:is>
          <x:t xml:space="preserve">HR-D3-Q10</x:t>
        </x:is>
      </x:c>
      <x:c r="B11" t="inlineStr">
        <x:is>
          <x:t xml:space="preserve">T2</x:t>
        </x:is>
      </x:c>
      <x:c r="C11" t="inlineStr">
        <x:is>
          <x:t xml:space="preserve">3. Manager Capability &amp; Culture</x:t>
        </x:is>
      </x:c>
      <x:c r="D11" t="inlineStr">
        <x:is>
          <x:t xml:space="preserve">E</x:t>
        </x:is>
      </x:c>
      <x:c r="E11" t="n">
        <x:v>1</x:v>
      </x:c>
      <x:c r="F11" t="inlineStr">
        <x:is>
          <x:t xml:space="preserve">-</x:t>
        </x:is>
      </x:c>
      <x:c r="G11" t="inlineStr">
        <x:is>
          <x:t xml:space="preserve"/>
        </x:is>
      </x:c>
      <x:c r="H11" s="2" t="inlineStr">
        <x:is>
          <x:t xml:space="preserve">(Shadow probe) In practice, do managers know who to contact and do they use that path when something is 'off'?</x:t>
        </x:is>
      </x:c>
      <x:c r="I11" s="2" t="inlineStr">
        <x:is>
          <x:t xml:space="preserve">Checks whether escalation works in real life.</x:t>
        </x:is>
      </x:c>
      <x:c r="J11" s="2" t="inlineStr">
        <x:is>
          <x:t xml:space="preserve">Shadow fallback (Then → HR-D4-Q13)</x:t>
        </x:is>
      </x:c>
      <x:c r="K11" t="inlineStr">
        <x:is>
          <x:t xml:space="preserve">OPS_STD</x:t>
        </x:is>
      </x:c>
    </x:row>
    <x:row r="12" ht="55" customHeight="1">
      <x:c r="A12" t="inlineStr">
        <x:is>
          <x:t xml:space="preserve">HR-D3-Q11</x:t>
        </x:is>
      </x:c>
      <x:c r="B12" t="inlineStr">
        <x:is>
          <x:t xml:space="preserve">T2</x:t>
        </x:is>
      </x:c>
      <x:c r="C12" t="inlineStr">
        <x:is>
          <x:t xml:space="preserve">3. Manager Capability &amp; Culture</x:t>
        </x:is>
      </x:c>
      <x:c r="D12" t="inlineStr">
        <x:is>
          <x:t xml:space="preserve">H</x:t>
        </x:is>
      </x:c>
      <x:c r="E12" t="n">
        <x:v>1</x:v>
      </x:c>
      <x:c r="F12" t="inlineStr">
        <x:is>
          <x:t xml:space="preserve">-</x:t>
        </x:is>
      </x:c>
      <x:c r="G12" t="inlineStr">
        <x:is>
          <x:t xml:space="preserve"/>
        </x:is>
      </x:c>
      <x:c r="H12" s="2" t="inlineStr">
        <x:is>
          <x:t xml:space="preserve">Do you measure speak-up / trust / psychological safety and act on results?</x:t>
        </x:is>
      </x:c>
      <x:c r="I12" s="2" t="inlineStr">
        <x:is>
          <x:t xml:space="preserve">Measurement without action is not mature.</x:t>
        </x:is>
      </x:c>
      <x:c r="J12" s="2" t="inlineStr">
        <x:is>
          <x:t xml:space="preserve">Drill-down</x:t>
        </x:is>
      </x:c>
      <x:c r="K12" t="inlineStr">
        <x:is>
          <x:t xml:space="preserve">CULT_SOFT</x:t>
        </x:is>
      </x:c>
    </x:row>
    <x:row r="13" ht="55" customHeight="1">
      <x:c r="A13" t="inlineStr">
        <x:is>
          <x:t xml:space="preserve">HR-D3-Q12</x:t>
        </x:is>
      </x:c>
      <x:c r="B13" t="inlineStr">
        <x:is>
          <x:t xml:space="preserve">T3</x:t>
        </x:is>
      </x:c>
      <x:c r="C13" t="inlineStr">
        <x:is>
          <x:t xml:space="preserve">3. Manager Capability &amp; Culture</x:t>
        </x:is>
      </x:c>
      <x:c r="D13" t="inlineStr">
        <x:is>
          <x:t xml:space="preserve">H</x:t>
        </x:is>
      </x:c>
      <x:c r="E13" t="n">
        <x:v>0.7</x:v>
      </x:c>
      <x:c r="F13" t="inlineStr">
        <x:is>
          <x:t xml:space="preserve">F</x:t>
        </x:is>
      </x:c>
      <x:c r="G13" t="n">
        <x:v>0.3</x:v>
      </x:c>
      <x:c r="H13" s="2" t="inlineStr">
        <x:is>
          <x:t xml:space="preserve">How is positive, risk-reducing behavior reinforced (e.g., reporting near-misses, using approved tools) without creating fear or blame?</x:t>
        </x:is>
      </x:c>
      <x:c r="I13" s="2" t="inlineStr">
        <x:is>
          <x:t xml:space="preserve">Recognition + learning loops; avoid name-and-shame.</x:t>
        </x:is>
      </x:c>
      <x:c r="J13" s="2" t="inlineStr">
        <x:is>
          <x:t xml:space="preserve">Business-proofing</x:t>
        </x:is>
      </x:c>
      <x:c r="K13" t="inlineStr">
        <x:is>
          <x:t xml:space="preserve">CULT_SOFT</x:t>
        </x:is>
      </x:c>
    </x:row>
    <x:row r="14" ht="55" customHeight="1">
      <x:c r="A14" t="inlineStr">
        <x:is>
          <x:t xml:space="preserve">HR-D4-Q13</x:t>
        </x:is>
      </x:c>
      <x:c r="B14" t="inlineStr">
        <x:is>
          <x:t xml:space="preserve">T1</x:t>
        </x:is>
      </x:c>
      <x:c r="C14" t="inlineStr">
        <x:is>
          <x:t xml:space="preserve">4. Joiner-Mover-Leaver</x:t>
        </x:is>
      </x:c>
      <x:c r="D14" t="inlineStr">
        <x:is>
          <x:t xml:space="preserve">E</x:t>
        </x:is>
      </x:c>
      <x:c r="E14" t="n">
        <x:v>0.8</x:v>
      </x:c>
      <x:c r="F14" t="inlineStr">
        <x:is>
          <x:t xml:space="preserve">R</x:t>
        </x:is>
      </x:c>
      <x:c r="G14" t="n">
        <x:v>0.2</x:v>
      </x:c>
      <x:c r="H14" s="2" t="inlineStr">
        <x:is>
          <x:t xml:space="preserve">How reliably are joiner/mover/leaver changes coordinated with IT/IAM so access is granted/changed/removed on time?</x:t>
        </x:is>
      </x:c>
      <x:c r="I14" s="2" t="inlineStr">
        <x:is>
          <x:t xml:space="preserve">Includes employees and contractors.</x:t>
        </x:is>
      </x:c>
      <x:c r="J14" s="2" t="inlineStr">
        <x:is>
          <x:t xml:space="preserve">Gatekeeper (If BaseScore &lt;2 → HR-D4-Q14; If ≥2 → HR-D4-Q15)</x:t>
        </x:is>
      </x:c>
      <x:c r="K14" t="inlineStr">
        <x:is>
          <x:t xml:space="preserve">OPS_STD</x:t>
        </x:is>
      </x:c>
    </x:row>
    <x:row r="15" ht="55" customHeight="1">
      <x:c r="A15" t="inlineStr">
        <x:is>
          <x:t xml:space="preserve">HR-D4-Q14</x:t>
        </x:is>
      </x:c>
      <x:c r="B15" t="inlineStr">
        <x:is>
          <x:t xml:space="preserve">T2</x:t>
        </x:is>
      </x:c>
      <x:c r="C15" t="inlineStr">
        <x:is>
          <x:t xml:space="preserve">4. Joiner-Mover-Leaver</x:t>
        </x:is>
      </x:c>
      <x:c r="D15" t="inlineStr">
        <x:is>
          <x:t xml:space="preserve">E</x:t>
        </x:is>
      </x:c>
      <x:c r="E15" t="n">
        <x:v>1</x:v>
      </x:c>
      <x:c r="F15" t="inlineStr">
        <x:is>
          <x:t xml:space="preserve">-</x:t>
        </x:is>
      </x:c>
      <x:c r="G15" t="inlineStr">
        <x:is>
          <x:t xml:space="preserve"/>
        </x:is>
      </x:c>
      <x:c r="H15" s="2" t="inlineStr">
        <x:is>
          <x:t xml:space="preserve">(Shadow probe) If the process is informal, how do you ensure leaver/role-change access is removed quickly in practice?</x:t>
        </x:is>
      </x:c>
      <x:c r="I15" s="2" t="inlineStr">
        <x:is>
          <x:t xml:space="preserve">Captures reality: who calls whom and typical time to remove access.</x:t>
        </x:is>
      </x:c>
      <x:c r="J15" s="2" t="inlineStr">
        <x:is>
          <x:t xml:space="preserve">Shadow fallback (Then → HR-D5-Q17)</x:t>
        </x:is>
      </x:c>
      <x:c r="K15" t="inlineStr">
        <x:is>
          <x:t xml:space="preserve">OPS_STD</x:t>
        </x:is>
      </x:c>
    </x:row>
    <x:row r="16" ht="55" customHeight="1">
      <x:c r="A16" t="inlineStr">
        <x:is>
          <x:t xml:space="preserve">HR-D4-Q15</x:t>
        </x:is>
      </x:c>
      <x:c r="B16" t="inlineStr">
        <x:is>
          <x:t xml:space="preserve">T2</x:t>
        </x:is>
      </x:c>
      <x:c r="C16" t="inlineStr">
        <x:is>
          <x:t xml:space="preserve">4. Joiner-Mover-Leaver</x:t>
        </x:is>
      </x:c>
      <x:c r="D16" t="inlineStr">
        <x:is>
          <x:t xml:space="preserve">W</x:t>
        </x:is>
      </x:c>
      <x:c r="E16" t="n">
        <x:v>0.6</x:v>
      </x:c>
      <x:c r="F16" t="inlineStr">
        <x:is>
          <x:t xml:space="preserve">L</x:t>
        </x:is>
      </x:c>
      <x:c r="G16" t="n">
        <x:v>0.4</x:v>
      </x:c>
      <x:c r="H16" s="2" t="inlineStr">
        <x:is>
          <x:t xml:space="preserve">Do you have a defined process for higher-risk departures or role changes (e.g., privileged users, finance, R&amp;D, disputes)?</x:t>
        </x:is>
      </x:c>
      <x:c r="I16" s="2" t="inlineStr">
        <x:is>
          <x:t xml:space="preserve">Higher-risk = access to sensitive systems/data or elevated conflict. Keep proportionality and fairness.</x:t>
        </x:is>
      </x:c>
      <x:c r="J16" s="2" t="inlineStr">
        <x:is>
          <x:t xml:space="preserve">Drill-down</x:t>
        </x:is>
      </x:c>
      <x:c r="K16" t="inlineStr">
        <x:is>
          <x:t xml:space="preserve">RISK_STD</x:t>
        </x:is>
      </x:c>
    </x:row>
    <x:row r="17" ht="55" customHeight="1">
      <x:c r="A17" t="inlineStr">
        <x:is>
          <x:t xml:space="preserve">HR-D4-Q16</x:t>
        </x:is>
      </x:c>
      <x:c r="B17" t="inlineStr">
        <x:is>
          <x:t xml:space="preserve">T3</x:t>
        </x:is>
      </x:c>
      <x:c r="C17" t="inlineStr">
        <x:is>
          <x:t xml:space="preserve">4. Joiner-Mover-Leaver</x:t>
        </x:is>
      </x:c>
      <x:c r="D17" t="inlineStr">
        <x:is>
          <x:t xml:space="preserve">L</x:t>
        </x:is>
      </x:c>
      <x:c r="E17" t="n">
        <x:v>0.6</x:v>
      </x:c>
      <x:c r="F17" t="inlineStr">
        <x:is>
          <x:t xml:space="preserve">H</x:t>
        </x:is>
      </x:c>
      <x:c r="G17" t="n">
        <x:v>0.4</x:v>
      </x:c>
      <x:c r="H17" s="2" t="inlineStr">
        <x:is>
          <x:t xml:space="preserve">How do you confirm departing staff understand ongoing obligations (confidentiality, data return) in clear, plain language?</x:t>
        </x:is>
      </x:c>
      <x:c r="I17" s="2" t="inlineStr">
        <x:is>
          <x:t xml:space="preserve">Not legalese: clarity + fairness + return verification.</x:t>
        </x:is>
      </x:c>
      <x:c r="J17" s="2" t="inlineStr">
        <x:is>
          <x:t xml:space="preserve">Business-proofing</x:t>
        </x:is>
      </x:c>
      <x:c r="K17" t="inlineStr">
        <x:is>
          <x:t xml:space="preserve">LEG_STRICT</x:t>
        </x:is>
      </x:c>
    </x:row>
    <x:row r="18" ht="55" customHeight="1">
      <x:c r="A18" t="inlineStr">
        <x:is>
          <x:t xml:space="preserve">HR-D5-Q17</x:t>
        </x:is>
      </x:c>
      <x:c r="B18" t="inlineStr">
        <x:is>
          <x:t xml:space="preserve">T1</x:t>
        </x:is>
      </x:c>
      <x:c r="C18" t="inlineStr">
        <x:is>
          <x:t xml:space="preserve">5. Friction &amp; Workarounds</x:t>
        </x:is>
      </x:c>
      <x:c r="D18" t="inlineStr">
        <x:is>
          <x:t xml:space="preserve">F</x:t>
        </x:is>
      </x:c>
      <x:c r="E18" t="n">
        <x:v>1</x:v>
      </x:c>
      <x:c r="F18" t="inlineStr">
        <x:is>
          <x:t xml:space="preserve">-</x:t>
        </x:is>
      </x:c>
      <x:c r="G18" t="inlineStr">
        <x:is>
          <x:t xml:space="preserve"/>
        </x:is>
      </x:c>
      <x:c r="H18" s="2" t="inlineStr">
        <x:is>
          <x:t xml:space="preserve">Do security controls create productivity issues that lead to workarounds, and is there a way to fix root causes quickly?</x:t>
        </x:is>
      </x:c>
      <x:c r="I18" s="2" t="inlineStr">
        <x:is>
          <x:t xml:space="preserve">Friction management = listen, prioritise fixes, reduce bypass pressure.</x:t>
        </x:is>
      </x:c>
      <x:c r="J18" s="2" t="inlineStr">
        <x:is>
          <x:t xml:space="preserve">Gatekeeper (If BaseScore &lt;2 → HR-D5-Q18; If ≥2 → HR-D5-Q19)</x:t>
        </x:is>
      </x:c>
      <x:c r="K18" t="inlineStr">
        <x:is>
          <x:t xml:space="preserve">OPS_STD</x:t>
        </x:is>
      </x:c>
    </x:row>
    <x:row r="19" ht="55" customHeight="1">
      <x:c r="A19" t="inlineStr">
        <x:is>
          <x:t xml:space="preserve">HR-D5-Q18</x:t>
        </x:is>
      </x:c>
      <x:c r="B19" t="inlineStr">
        <x:is>
          <x:t xml:space="preserve">T2</x:t>
        </x:is>
      </x:c>
      <x:c r="C19" t="inlineStr">
        <x:is>
          <x:t xml:space="preserve">5. Friction &amp; Workarounds</x:t>
        </x:is>
      </x:c>
      <x:c r="D19" t="inlineStr">
        <x:is>
          <x:t xml:space="preserve">F</x:t>
        </x:is>
      </x:c>
      <x:c r="E19" t="n">
        <x:v>0.5</x:v>
      </x:c>
      <x:c r="F19" t="inlineStr">
        <x:is>
          <x:t xml:space="preserve">E</x:t>
        </x:is>
      </x:c>
      <x:c r="G19" t="n">
        <x:v>0.5</x:v>
      </x:c>
      <x:c r="H19" s="2" t="inlineStr">
        <x:is>
          <x:t xml:space="preserve">(Shadow probe) If workarounds happen, do you learn about them and fix root causes (not just punish people)?</x:t>
        </x:is>
      </x:c>
      <x:c r="I19" s="2" t="inlineStr">
        <x:is>
          <x:t xml:space="preserve">Learning loops reduce bypass pressure.</x:t>
        </x:is>
      </x:c>
      <x:c r="J19" s="2" t="inlineStr">
        <x:is>
          <x:t xml:space="preserve">Shadow fallback (Then → HR-D6-Q20)</x:t>
        </x:is>
      </x:c>
      <x:c r="K19" t="inlineStr">
        <x:is>
          <x:t xml:space="preserve">OPS_STD</x:t>
        </x:is>
      </x:c>
    </x:row>
    <x:row r="20" ht="55" customHeight="1">
      <x:c r="A20" t="inlineStr">
        <x:is>
          <x:t xml:space="preserve">HR-D5-Q19</x:t>
        </x:is>
      </x:c>
      <x:c r="B20" t="inlineStr">
        <x:is>
          <x:t xml:space="preserve">T2</x:t>
        </x:is>
      </x:c>
      <x:c r="C20" t="inlineStr">
        <x:is>
          <x:t xml:space="preserve">5. Friction &amp; Workarounds</x:t>
        </x:is>
      </x:c>
      <x:c r="D20" t="inlineStr">
        <x:is>
          <x:t xml:space="preserve">G</x:t>
        </x:is>
      </x:c>
      <x:c r="E20" t="n">
        <x:v>0.5</x:v>
      </x:c>
      <x:c r="F20" t="inlineStr">
        <x:is>
          <x:t xml:space="preserve">F</x:t>
        </x:is>
      </x:c>
      <x:c r="G20" t="n">
        <x:v>0.5</x:v>
      </x:c>
      <x:c r="H20" s="2" t="inlineStr">
        <x:is>
          <x:t xml:space="preserve">Are policy exceptions tracked, time-bound, and reviewed so bypass doesn't become permanent?</x:t>
        </x:is>
      </x:c>
      <x:c r="I20" s="2" t="inlineStr">
        <x:is>
          <x:t xml:space="preserve">Exception governance is a key insider-risk control.</x:t>
        </x:is>
      </x:c>
      <x:c r="J20" s="2" t="inlineStr">
        <x:is>
          <x:t xml:space="preserve">Drill-down</x:t>
        </x:is>
      </x:c>
      <x:c r="K20" t="inlineStr">
        <x:is>
          <x:t xml:space="preserve">GOV_STD</x:t>
        </x:is>
      </x:c>
    </x:row>
    <x:row r="21" ht="55" customHeight="1">
      <x:c r="A21" t="inlineStr">
        <x:is>
          <x:t xml:space="preserve">HR-D6-Q20</x:t>
        </x:is>
      </x:c>
      <x:c r="B21" t="inlineStr">
        <x:is>
          <x:t xml:space="preserve">T1</x:t>
        </x:is>
      </x:c>
      <x:c r="C21" t="inlineStr">
        <x:is>
          <x:t xml:space="preserve">6. Change Events (Layoffs/M&amp;A/Re-org)</x:t>
        </x:is>
      </x:c>
      <x:c r="D21" t="inlineStr">
        <x:is>
          <x:t xml:space="preserve">W</x:t>
        </x:is>
      </x:c>
      <x:c r="E21" t="n">
        <x:v>1</x:v>
      </x:c>
      <x:c r="F21" t="inlineStr">
        <x:is>
          <x:t xml:space="preserve">-</x:t>
        </x:is>
      </x:c>
      <x:c r="G21" t="inlineStr">
        <x:is>
          <x:t xml:space="preserve"/>
        </x:is>
      </x:c>
      <x:c r="H21" s="2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I21" s="2" t="inlineStr">
        <x:is>
          <x:t xml:space="preserve">Control lag = how fast controls adapt to change.</x:t>
        </x:is>
      </x:c>
      <x:c r="J21" s="2" t="inlineStr">
        <x:is>
          <x:t xml:space="preserve">Gatekeeper (If BaseScore &lt;2 → HR-D6-Q21; If ≥2 → HR-D6-Q22)</x:t>
        </x:is>
      </x:c>
      <x:c r="K21" t="inlineStr">
        <x:is>
          <x:t xml:space="preserve">RISK_STD</x:t>
        </x:is>
      </x:c>
    </x:row>
    <x:row r="22" ht="55" customHeight="1">
      <x:c r="A22" t="inlineStr">
        <x:is>
          <x:t xml:space="preserve">HR-D6-Q21</x:t>
        </x:is>
      </x:c>
      <x:c r="B22" t="inlineStr">
        <x:is>
          <x:t xml:space="preserve">T2</x:t>
        </x:is>
      </x:c>
      <x:c r="C22" t="inlineStr">
        <x:is>
          <x:t xml:space="preserve">6. Change Events (Layoffs/M&amp;A/Re-org)</x:t>
        </x:is>
      </x:c>
      <x:c r="D22" t="inlineStr">
        <x:is>
          <x:t xml:space="preserve">E</x:t>
        </x:is>
      </x:c>
      <x:c r="E22" t="n">
        <x:v>1</x:v>
      </x:c>
      <x:c r="F22" t="inlineStr">
        <x:is>
          <x:t xml:space="preserve">-</x:t>
        </x:is>
      </x:c>
      <x:c r="G22" t="inlineStr">
        <x:is>
          <x:t xml:space="preserve"/>
        </x:is>
      </x:c>
      <x:c r="H22" s="2" t="inlineStr">
        <x:is>
          <x:t xml:space="preserve">(Shadow probe) How are change events communicated to IT/Security today, and how timely is the information?</x:t>
        </x:is>
      </x:c>
      <x:c r="I22" s="2" t="inlineStr">
        <x:is>
          <x:t xml:space="preserve">Think: leaver lists, role changes, org changes, contractor changes.</x:t>
        </x:is>
      </x:c>
      <x:c r="J22" s="2" t="inlineStr">
        <x:is>
          <x:t xml:space="preserve">Shadow fallback (Then → HR-D7-Q23)</x:t>
        </x:is>
      </x:c>
      <x:c r="K22" t="inlineStr">
        <x:is>
          <x:t xml:space="preserve">OPS_STD</x:t>
        </x:is>
      </x:c>
    </x:row>
    <x:row r="23" ht="55" customHeight="1">
      <x:c r="A23" t="inlineStr">
        <x:is>
          <x:t xml:space="preserve">HR-D6-Q22</x:t>
        </x:is>
      </x:c>
      <x:c r="B23" t="inlineStr">
        <x:is>
          <x:t xml:space="preserve">T2</x:t>
        </x:is>
      </x:c>
      <x:c r="C23" t="inlineStr">
        <x:is>
          <x:t xml:space="preserve">6. Change Events (Layoffs/M&amp;A/Re-org)</x:t>
        </x:is>
      </x:c>
      <x:c r="D23" t="inlineStr">
        <x:is>
          <x:t xml:space="preserve">G</x:t>
        </x:is>
      </x:c>
      <x:c r="E23" t="n">
        <x:v>0.5</x:v>
      </x:c>
      <x:c r="F23" t="inlineStr">
        <x:is>
          <x:t xml:space="preserve">W</x:t>
        </x:is>
      </x:c>
      <x:c r="G23" t="n">
        <x:v>0.5</x:v>
      </x:c>
      <x:c r="H23" s="2" t="inlineStr">
        <x:is>
          <x:t xml:space="preserve">Do you have a 'change event checklist' for people-risk controls (communications, access, monitoring approvals, support mechanisms)?</x:t>
        </x:is>
      </x:c>
      <x:c r="I23" s="2" t="inlineStr">
        <x:is>
          <x:t xml:space="preserve">Checklist should include legal/privacy review steps where required.</x:t>
        </x:is>
      </x:c>
      <x:c r="J23" s="2" t="inlineStr">
        <x:is>
          <x:t xml:space="preserve">Drill-down</x:t>
        </x:is>
      </x:c>
      <x:c r="K23" t="inlineStr">
        <x:is>
          <x:t xml:space="preserve">GOV_STD</x:t>
        </x:is>
      </x:c>
    </x:row>
    <x:row r="24" ht="55" customHeight="1">
      <x:c r="A24" t="inlineStr">
        <x:is>
          <x:t xml:space="preserve">HR-D7-Q23</x:t>
        </x:is>
      </x:c>
      <x:c r="B24" t="inlineStr">
        <x:is>
          <x:t xml:space="preserve">T1</x:t>
        </x:is>
      </x:c>
      <x:c r="C24" t="inlineStr">
        <x:is>
          <x:t xml:space="preserve">7. Investigations &amp; Fairness</x:t>
        </x:is>
      </x:c>
      <x:c r="D24" t="inlineStr">
        <x:is>
          <x:t xml:space="preserve">R</x:t>
        </x:is>
      </x:c>
      <x:c r="E24" t="n">
        <x:v>0.6</x:v>
      </x:c>
      <x:c r="F24" t="inlineStr">
        <x:is>
          <x:t xml:space="preserve">L</x:t>
        </x:is>
      </x:c>
      <x:c r="G24" t="n">
        <x:v>0.4</x:v>
      </x:c>
      <x:c r="H24" s="2" t="inlineStr">
        <x:is>
          <x:t xml:space="preserve">When a concern is raised, is there a fair, documented investigation process with HR, Legal/Privacy, and Security, including confidentiality boundaries?</x:t>
        </x:is>
      </x:c>
      <x:c r="I24" s="2" t="inlineStr">
        <x:is>
          <x:t xml:space="preserve">Fair = proportionate, consistent, documented, with privacy safeguards.</x:t>
        </x:is>
      </x:c>
      <x:c r="J24" s="2" t="inlineStr">
        <x:is>
          <x:t xml:space="preserve">Gatekeeper (If BaseScore &lt;2 → HR-D7-Q24; If ≥2 → HR-D7-Q25)</x:t>
        </x:is>
      </x:c>
      <x:c r="K24" t="inlineStr">
        <x:is>
          <x:t xml:space="preserve">LEG_STRICT</x:t>
        </x:is>
      </x:c>
    </x:row>
    <x:row r="25" ht="55" customHeight="1">
      <x:c r="A25" t="inlineStr">
        <x:is>
          <x:t xml:space="preserve">HR-D7-Q24</x:t>
        </x:is>
      </x:c>
      <x:c r="B25" t="inlineStr">
        <x:is>
          <x:t xml:space="preserve">T2</x:t>
        </x:is>
      </x:c>
      <x:c r="C25" t="inlineStr">
        <x:is>
          <x:t xml:space="preserve">7. Investigations &amp; Fairness</x:t>
        </x:is>
      </x:c>
      <x:c r="D25" t="inlineStr">
        <x:is>
          <x:t xml:space="preserve">L</x:t>
        </x:is>
      </x:c>
      <x:c r="E25" t="n">
        <x:v>0.5</x:v>
      </x:c>
      <x:c r="F25" t="inlineStr">
        <x:is>
          <x:t xml:space="preserve">R</x:t>
        </x:is>
      </x:c>
      <x:c r="G25" t="n">
        <x:v>0.5</x:v>
      </x:c>
      <x:c r="H25" s="2" t="inlineStr">
        <x:is>
          <x:t xml:space="preserve">(Shadow probe) If the process is ad-hoc, who decides what information is used and how confidentiality is protected?</x:t>
        </x:is>
      </x:c>
      <x:c r="I25" s="2" t="inlineStr">
        <x:is>
          <x:t xml:space="preserve">Checks for inconsistent decision-making and privacy fractures.</x:t>
        </x:is>
      </x:c>
      <x:c r="J25" s="2" t="inlineStr">
        <x:is>
          <x:t xml:space="preserve">Shadow fallback (Then → HR-D8-Q27)</x:t>
        </x:is>
      </x:c>
      <x:c r="K25" t="inlineStr">
        <x:is>
          <x:t xml:space="preserve">LEG_STRICT</x:t>
        </x:is>
      </x:c>
    </x:row>
    <x:row r="26" ht="55" customHeight="1">
      <x:c r="A26" t="inlineStr">
        <x:is>
          <x:t xml:space="preserve">HR-D7-Q25</x:t>
        </x:is>
      </x:c>
      <x:c r="B26" t="inlineStr">
        <x:is>
          <x:t xml:space="preserve">T2</x:t>
        </x:is>
      </x:c>
      <x:c r="C26" t="inlineStr">
        <x:is>
          <x:t xml:space="preserve">7. Investigations &amp; Fairness</x:t>
        </x:is>
      </x:c>
      <x:c r="D26" t="inlineStr">
        <x:is>
          <x:t xml:space="preserve">H</x:t>
        </x:is>
      </x:c>
      <x:c r="E26" t="n">
        <x:v>0.5</x:v>
      </x:c>
      <x:c r="F26" t="inlineStr">
        <x:is>
          <x:t xml:space="preserve">L</x:t>
        </x:is>
      </x:c>
      <x:c r="G26" t="n">
        <x:v>0.5</x:v>
      </x:c>
      <x:c r="H26" s="2" t="inlineStr">
        <x:is>
          <x:t xml:space="preserve">If someone feels unfairly targeted, is there an independent review or appeal route (e.g., ombuds, privacy review, works council input where applicable)?</x:t>
        </x:is>
      </x:c>
      <x:c r="I26" s="2" t="inlineStr">
        <x:is>
          <x:t xml:space="preserve">Reduces toxic-enforcer risk and increases trust.</x:t>
        </x:is>
      </x:c>
      <x:c r="J26" s="2" t="inlineStr">
        <x:is>
          <x:t xml:space="preserve">Drill-down</x:t>
        </x:is>
      </x:c>
      <x:c r="K26" t="inlineStr">
        <x:is>
          <x:t xml:space="preserve">LEG_STRICT</x:t>
        </x:is>
      </x:c>
    </x:row>
    <x:row r="27" ht="55" customHeight="1">
      <x:c r="A27" t="inlineStr">
        <x:is>
          <x:t xml:space="preserve">HR-D7-Q26</x:t>
        </x:is>
      </x:c>
      <x:c r="B27" t="inlineStr">
        <x:is>
          <x:t xml:space="preserve">T3</x:t>
        </x:is>
      </x:c>
      <x:c r="C27" t="inlineStr">
        <x:is>
          <x:t xml:space="preserve">7. Investigations &amp; Fairness</x:t>
        </x:is>
      </x:c>
      <x:c r="D27" t="inlineStr">
        <x:is>
          <x:t xml:space="preserve">R</x:t>
        </x:is>
      </x:c>
      <x:c r="E27" t="n">
        <x:v>0.6</x:v>
      </x:c>
      <x:c r="F27" t="inlineStr">
        <x:is>
          <x:t xml:space="preserve">H</x:t>
        </x:is>
      </x:c>
      <x:c r="G27" t="n">
        <x:v>0.4</x:v>
      </x:c>
      <x:c r="H27" s="2" t="inlineStr">
        <x:is>
          <x:t xml:space="preserve">After cases, do you translate outcomes into improvements (training, process, tooling) without creating blame or fear?</x:t>
        </x:is>
      </x:c>
      <x:c r="I27" s="2" t="inlineStr">
        <x:is>
          <x:t xml:space="preserve">Learning loop: reduce repeats while maintaining psychological safety.</x:t>
        </x:is>
      </x:c>
      <x:c r="J27" s="2" t="inlineStr">
        <x:is>
          <x:t xml:space="preserve">Business-proofing</x:t>
        </x:is>
      </x:c>
      <x:c r="K27" t="inlineStr">
        <x:is>
          <x:t xml:space="preserve">OPS_STD</x:t>
        </x:is>
      </x:c>
    </x:row>
    <x:row r="28" ht="55" customHeight="1">
      <x:c r="A28" t="inlineStr">
        <x:is>
          <x:t xml:space="preserve">HR-D8-Q27</x:t>
        </x:is>
      </x:c>
      <x:c r="B28" t="inlineStr">
        <x:is>
          <x:t xml:space="preserve">T1</x:t>
        </x:is>
      </x:c>
      <x:c r="C28" t="inlineStr">
        <x:is>
          <x:t xml:space="preserve">8. Reporting &amp; Metrics</x:t>
        </x:is>
      </x:c>
      <x:c r="D28" t="inlineStr">
        <x:is>
          <x:t xml:space="preserve">G</x:t>
        </x:is>
      </x:c>
      <x:c r="E28" t="n">
        <x:v>0.5</x:v>
      </x:c>
      <x:c r="F28" t="inlineStr">
        <x:is>
          <x:t xml:space="preserve">H</x:t>
        </x:is>
      </x:c>
      <x:c r="G28" t="n">
        <x:v>0.5</x:v>
      </x:c>
      <x:c r="H28" s="2" t="inlineStr">
        <x:is>
          <x:t xml:space="preserve">What does HR report to leadership about the people-side of insider risk (themes, training, reporting culture) in a way that supports trust?</x:t>
        </x:is>
      </x:c>
      <x:c r="I28" s="2" t="inlineStr">
        <x:is>
          <x:t xml:space="preserve">Aggregated and privacy-safe: focus on themes + improvement actions.</x:t>
        </x:is>
      </x:c>
      <x:c r="J28" s="2" t="inlineStr">
        <x:is>
          <x:t xml:space="preserve">Gatekeeper (If BaseScore &lt;2 → HR-D8-Q28; If ≥2 → HR-D8-Q29)</x:t>
        </x:is>
      </x:c>
      <x:c r="K28" t="inlineStr">
        <x:is>
          <x:t xml:space="preserve">GOV_STD</x:t>
        </x:is>
      </x:c>
    </x:row>
    <x:row r="29" ht="55" customHeight="1">
      <x:c r="A29" t="inlineStr">
        <x:is>
          <x:t xml:space="preserve">HR-D8-Q28</x:t>
        </x:is>
      </x:c>
      <x:c r="B29" t="inlineStr">
        <x:is>
          <x:t xml:space="preserve">T2</x:t>
        </x:is>
      </x:c>
      <x:c r="C29" t="inlineStr">
        <x:is>
          <x:t xml:space="preserve">8. Reporting &amp; Metrics</x:t>
        </x:is>
      </x:c>
      <x:c r="D29" t="inlineStr">
        <x:is>
          <x:t xml:space="preserve">H</x:t>
        </x:is>
      </x:c>
      <x:c r="E29" t="n">
        <x:v>1</x:v>
      </x:c>
      <x:c r="F29" t="inlineStr">
        <x:is>
          <x:t xml:space="preserve">-</x:t>
        </x:is>
      </x:c>
      <x:c r="G29" t="inlineStr">
        <x:is>
          <x:t xml:space="preserve"/>
        </x:is>
      </x:c>
      <x:c r="H29" s="2" t="inlineStr">
        <x:is>
          <x:t xml:space="preserve">(Shadow probe) Do you recognise and track 'near-misses' or early interventions as positive signals (without naming/shaming)?</x:t>
        </x:is>
      </x:c>
      <x:c r="I29" s="2" t="inlineStr">
        <x:is>
          <x:t xml:space="preserve">Near-miss = prevented escalation (e.g., someone flagged risky sharing).</x:t>
        </x:is>
      </x:c>
      <x:c r="J29" s="2" t="inlineStr">
        <x:is>
          <x:t xml:space="preserve">Shadow fallback (Then → END)</x:t>
        </x:is>
      </x:c>
      <x:c r="K29" t="inlineStr">
        <x:is>
          <x:t xml:space="preserve">CULT_SOFT</x:t>
        </x:is>
      </x:c>
    </x:row>
    <x:row r="30" ht="55" customHeight="1">
      <x:c r="A30" t="inlineStr">
        <x:is>
          <x:t xml:space="preserve">HR-D8-Q29</x:t>
        </x:is>
      </x:c>
      <x:c r="B30" t="inlineStr">
        <x:is>
          <x:t xml:space="preserve">T3</x:t>
        </x:is>
      </x:c>
      <x:c r="C30" t="inlineStr">
        <x:is>
          <x:t xml:space="preserve">8. Reporting &amp; Metrics</x:t>
        </x:is>
      </x:c>
      <x:c r="D30" t="inlineStr">
        <x:is>
          <x:t xml:space="preserve">E</x:t>
        </x:is>
      </x:c>
      <x:c r="E30" t="n">
        <x:v>1</x:v>
      </x:c>
      <x:c r="F30" t="inlineStr">
        <x:is>
          <x:t xml:space="preserve">-</x:t>
        </x:is>
      </x:c>
      <x:c r="G30" t="inlineStr">
        <x:is>
          <x:t xml:space="preserve"/>
        </x:is>
      </x:c>
      <x:c r="H30" s="2" t="inlineStr">
        <x:is>
          <x:t xml:space="preserve">Do you track timeliness and quality metrics for reports/cases and use them to improve?</x:t>
        </x:is>
      </x:c>
      <x:c r="I30" s="2" t="inlineStr">
        <x:is>
          <x:t xml:space="preserve">Use aggregated metrics only (no personal data).</x:t>
        </x:is>
      </x:c>
      <x:c r="J30" s="2" t="inlineStr">
        <x:is>
          <x:t xml:space="preserve">Business-proofing</x:t>
        </x:is>
      </x:c>
      <x:c r="K30" t="inlineStr">
        <x:is>
          <x:t xml:space="preserve">OPS_STD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customWidth="1"/>
    <x:col min="2" max="2" width="20" customWidth="1"/>
    <x:col min="3" max="3" width="78" customWidth="1"/>
    <x:col min="4" max="4" width="10" customWidth="1"/>
    <x:col min="5" max="5" width="30" customWidth="1"/>
    <x:col min="6" max="6" width="22" customWidth="1"/>
    <x:col min="7" max="7" width="28" customWidth="1"/>
    <x:col min="8" max="8" width="16" customWidth="1"/>
    <x:col min="9" max="9" width="50" customWidth="1"/>
  </x:cols>
  <x:sheetData>
    <x:row r="1" ht="28" customHeight="1">
      <x:c r="A1" s="1" t="inlineStr">
        <x:is>
          <x:t xml:space="preserve">Q-ID</x:t>
        </x:is>
      </x:c>
      <x:c r="B1" s="1" t="inlineStr">
        <x:is>
          <x:t xml:space="preserve">A-ID</x:t>
        </x:is>
      </x:c>
      <x:c r="C1" s="1" t="inlineStr">
        <x:is>
          <x:t xml:space="preserve">Answer Option Text</x:t>
        </x:is>
      </x:c>
      <x:c r="D1" s="1" t="inlineStr">
        <x:is>
          <x:t xml:space="preserve">BaseScore</x:t>
        </x:is>
      </x:c>
      <x:c r="E1" s="1" t="inlineStr">
        <x:is>
          <x:t xml:space="preserve">Tags</x:t>
        </x:is>
      </x:c>
      <x:c r="F1" s="1" t="inlineStr">
        <x:is>
          <x:t xml:space="preserve">FractureType</x:t>
        </x:is>
      </x:c>
      <x:c r="G1" s="1" t="inlineStr">
        <x:is>
          <x:t xml:space="preserve">FollowUpTrigger</x:t>
        </x:is>
      </x:c>
      <x:c r="H1" s="1" t="inlineStr">
        <x:is>
          <x:t xml:space="preserve">NegativeControl</x:t>
        </x:is>
      </x:c>
      <x:c r="I1" s="1" t="inlineStr">
        <x:is>
          <x:t xml:space="preserve">Evidence Hint</x:t>
        </x:is>
      </x:c>
    </x:row>
    <x:row r="2" ht="45" customHeight="1">
      <x:c r="A2" t="inlineStr">
        <x:is>
          <x:t xml:space="preserve">HR-D1-Q01</x:t>
        </x:is>
      </x:c>
      <x:c r="B2" t="inlineStr">
        <x:is>
          <x:t xml:space="preserve">HR-D1-Q01-A0</x:t>
        </x:is>
      </x:c>
      <x:c r="C2" s="2" t="inlineStr">
        <x:is>
          <x:t xml:space="preserve">I don't know / Not sure.</x:t>
        </x:is>
      </x:c>
      <x:c r="D2" t="n">
        <x:v>0</x:v>
      </x:c>
      <x:c r="E2" t="inlineStr">
        <x:is>
          <x:t xml:space="preserve">low-confidence</x:t>
        </x:is>
      </x:c>
      <x:c r="F2" t="inlineStr">
        <x:is>
          <x:t xml:space="preserve">Operating Model Gap</x:t>
        </x:is>
      </x:c>
      <x:c r="G2" t="inlineStr">
        <x:is>
          <x:t xml:space="preserve">Clarify roles</x:t>
        </x:is>
      </x:c>
      <x:c r="H2" t="inlineStr">
        <x:is>
          <x:t xml:space="preserve">N</x:t>
        </x:is>
      </x:c>
      <x:c r="I2" s="2" t="inlineStr">
        <x:is>
          <x:t xml:space="preserve"/>
        </x:is>
      </x:c>
    </x:row>
    <x:row r="3" ht="45" customHeight="1">
      <x:c r="A3" t="inlineStr">
        <x:is>
          <x:t xml:space="preserve">HR-D1-Q01</x:t>
        </x:is>
      </x:c>
      <x:c r="B3" t="inlineStr">
        <x:is>
          <x:t xml:space="preserve">HR-D1-Q01-A1</x:t>
        </x:is>
      </x:c>
      <x:c r="C3" s="2" t="inlineStr">
        <x:is>
          <x:t xml:space="preserve">None: HR treats these as 'IT problems' unless there is a major incident.</x:t>
        </x:is>
      </x:c>
      <x:c r="D3" t="n">
        <x:v>0</x:v>
      </x:c>
      <x:c r="E3" t="inlineStr">
        <x:is>
          <x:t xml:space="preserve">paper_dragon_signal</x:t>
        </x:is>
      </x:c>
      <x:c r="F3" t="inlineStr">
        <x:is>
          <x:t xml:space="preserve">Operating Model Gap</x:t>
        </x:is>
      </x:c>
      <x:c r="G3" t="inlineStr">
        <x:is>
          <x:t xml:space="preserve">Define operating model</x:t>
        </x:is>
      </x:c>
      <x:c r="H3" t="inlineStr">
        <x:is>
          <x:t xml:space="preserve">N</x:t>
        </x:is>
      </x:c>
      <x:c r="I3" s="2" t="inlineStr">
        <x:is>
          <x:t xml:space="preserve"/>
        </x:is>
      </x:c>
    </x:row>
    <x:row r="4" ht="45" customHeight="1">
      <x:c r="A4" t="inlineStr">
        <x:is>
          <x:t xml:space="preserve">HR-D1-Q01</x:t>
        </x:is>
      </x:c>
      <x:c r="B4" t="inlineStr">
        <x:is>
          <x:t xml:space="preserve">HR-D1-Q01-A2</x:t>
        </x:is>
      </x:c>
      <x:c r="C4" s="2" t="inlineStr">
        <x:is>
          <x:t xml:space="preserve">Ad-hoc: HR coordinates only when Security/Legal asks (case-by-case).</x:t>
        </x:is>
      </x:c>
      <x:c r="D4" t="n">
        <x:v>1</x:v>
      </x:c>
      <x:c r="E4" t="inlineStr">
        <x:is>
          <x:t xml:space="preserve">shadow_mature_signal</x:t>
        </x:is>
      </x:c>
      <x:c r="F4" t="inlineStr">
        <x:is>
          <x:t xml:space="preserve">Operating Model Gap</x:t>
        </x:is>
      </x:c>
      <x:c r="G4" t="inlineStr">
        <x:is>
          <x:t xml:space="preserve">Define coordination cadence</x:t>
        </x:is>
      </x:c>
      <x:c r="H4" t="inlineStr">
        <x:is>
          <x:t xml:space="preserve">N</x:t>
        </x:is>
      </x:c>
      <x:c r="I4" s="2" t="inlineStr">
        <x:is>
          <x:t xml:space="preserve">Example: last case HR was involved in.</x:t>
        </x:is>
      </x:c>
    </x:row>
    <x:row r="5" ht="45" customHeight="1">
      <x:c r="A5" t="inlineStr">
        <x:is>
          <x:t xml:space="preserve">HR-D1-Q01</x:t>
        </x:is>
      </x:c>
      <x:c r="B5" t="inlineStr">
        <x:is>
          <x:t xml:space="preserve">HR-D1-Q01-A3</x:t>
        </x:is>
      </x:c>
      <x:c r="C5" s="2" t="inlineStr">
        <x:is>
          <x:t xml:space="preserve">Defined: HR has a named contact and standard steps to coordinate with Security/Legal.</x:t>
        </x:is>
      </x:c>
      <x:c r="D5" t="n">
        <x:v>2</x:v>
      </x:c>
      <x:c r="E5" t="inlineStr">
        <x:is>
          <x:t xml:space="preserve"/>
        </x:is>
      </x:c>
      <x:c r="F5" t="inlineStr">
        <x:is>
          <x:t xml:space="preserve">Operating Model Gap</x:t>
        </x:is>
      </x:c>
      <x:c r="G5" t="inlineStr">
        <x:is>
          <x:t xml:space="preserve">Standardize workflow</x:t>
        </x:is>
      </x:c>
      <x:c r="H5" t="inlineStr">
        <x:is>
          <x:t xml:space="preserve">N</x:t>
        </x:is>
      </x:c>
      <x:c r="I5" s="2" t="inlineStr">
        <x:is>
          <x:t xml:space="preserve">Share the role name/title and a short process description.</x:t>
        </x:is>
      </x:c>
    </x:row>
    <x:row r="6" ht="45" customHeight="1">
      <x:c r="A6" t="inlineStr">
        <x:is>
          <x:t xml:space="preserve">HR-D1-Q01</x:t>
        </x:is>
      </x:c>
      <x:c r="B6" t="inlineStr">
        <x:is>
          <x:t xml:space="preserve">HR-D1-Q01-A4</x:t>
        </x:is>
      </x:c>
      <x:c r="C6" s="2" t="inlineStr">
        <x:is>
          <x:t xml:space="preserve">Managed: Regular cross-functional check-ins and agreed decision rights for people-risk cases.</x:t>
        </x:is>
      </x:c>
      <x:c r="D6" t="n">
        <x:v>3</x:v>
      </x:c>
      <x:c r="E6" t="inlineStr">
        <x:is>
          <x:t xml:space="preserve"/>
        </x:is>
      </x:c>
      <x:c r="F6" t="inlineStr">
        <x:is>
          <x:t xml:space="preserve">Operating Model Gap</x:t>
        </x:is>
      </x:c>
      <x:c r="G6" t="inlineStr">
        <x:is>
          <x:t xml:space="preserve">Formalize governance</x:t>
        </x:is>
      </x:c>
      <x:c r="H6" t="inlineStr">
        <x:is>
          <x:t xml:space="preserve">N</x:t>
        </x:is>
      </x:c>
      <x:c r="I6" s="2" t="inlineStr">
        <x:is>
          <x:t xml:space="preserve">Evidence: meeting cadence, terms of reference.</x:t>
        </x:is>
      </x:c>
    </x:row>
    <x:row r="7" ht="45" customHeight="1">
      <x:c r="A7" t="inlineStr">
        <x:is>
          <x:t xml:space="preserve">HR-D1-Q01</x:t>
        </x:is>
      </x:c>
      <x:c r="B7" t="inlineStr">
        <x:is>
          <x:t xml:space="preserve">HR-D1-Q01-A5</x:t>
        </x:is>
      </x:c>
      <x:c r="C7" s="2" t="inlineStr">
        <x:is>
          <x:t xml:space="preserve">Optimized: Exec sponsor expects HR/Security/Legal collaboration with KPIs and routine reporting.</x:t>
        </x:is>
      </x:c>
      <x:c r="D7" t="n">
        <x:v>4</x:v>
      </x:c>
      <x:c r="E7" t="inlineStr">
        <x:is>
          <x:t xml:space="preserve"/>
        </x:is>
      </x:c>
      <x:c r="F7" t="inlineStr">
        <x:is>
          <x:t xml:space="preserve">Operating Model Gap</x:t>
        </x:is>
      </x:c>
      <x:c r="G7" t="inlineStr">
        <x:is>
          <x:t xml:space="preserve">Maintain governance</x:t>
        </x:is>
      </x:c>
      <x:c r="H7" t="inlineStr">
        <x:is>
          <x:t xml:space="preserve">N</x:t>
        </x:is>
      </x:c>
      <x:c r="I7" s="2" t="inlineStr">
        <x:is>
          <x:t xml:space="preserve">Evidence: KPI pack, steering charter.</x:t>
        </x:is>
      </x:c>
    </x:row>
    <x:row r="8" ht="45" customHeight="1">
      <x:c r="A8" t="inlineStr">
        <x:is>
          <x:t xml:space="preserve">HR-D1-Q02</x:t>
        </x:is>
      </x:c>
      <x:c r="B8" t="inlineStr">
        <x:is>
          <x:t xml:space="preserve">HR-D1-Q02-A1</x:t>
        </x:is>
      </x:c>
      <x:c r="C8" s="2" t="inlineStr">
        <x:is>
          <x:t xml:space="preserve">No: HR and Security operate separately; coordination is slow or rare.</x:t>
        </x:is>
      </x:c>
      <x:c r="D8" t="n">
        <x:v>0</x:v>
      </x:c>
      <x:c r="E8" t="inlineStr">
        <x:is>
          <x:t xml:space="preserve">paper_dragon_signal</x:t>
        </x:is>
      </x:c>
      <x:c r="F8" t="inlineStr">
        <x:is>
          <x:t xml:space="preserve">Operating Model Gap</x:t>
        </x:is>
      </x:c>
      <x:c r="G8" t="inlineStr">
        <x:is>
          <x:t xml:space="preserve">Set coordination trigger</x:t>
        </x:is>
      </x:c>
      <x:c r="H8" t="inlineStr">
        <x:is>
          <x:t xml:space="preserve">N</x:t>
        </x:is>
      </x:c>
      <x:c r="I8" s="2" t="inlineStr">
        <x:is>
          <x:t xml:space="preserve"/>
        </x:is>
      </x:c>
    </x:row>
    <x:row r="9" ht="45" customHeight="1">
      <x:c r="A9" t="inlineStr">
        <x:is>
          <x:t xml:space="preserve">HR-D1-Q02</x:t>
        </x:is>
      </x:c>
      <x:c r="B9" t="inlineStr">
        <x:is>
          <x:t xml:space="preserve">HR-D1-Q02-A2</x:t>
        </x:is>
      </x:c>
      <x:c r="C9" s="2" t="inlineStr">
        <x:is>
          <x:t xml:space="preserve">Sometimes: depends on personal relationships; not consistent.</x:t>
        </x:is>
      </x:c>
      <x:c r="D9" t="n">
        <x:v>1</x:v>
      </x:c>
      <x:c r="E9" t="inlineStr">
        <x:is>
          <x:t xml:space="preserve">key_person_dependency,shadow_mature_signal</x:t>
        </x:is>
      </x:c>
      <x:c r="F9" t="inlineStr">
        <x:is>
          <x:t xml:space="preserve">Operating Model Gap</x:t>
        </x:is>
      </x:c>
      <x:c r="G9" t="inlineStr">
        <x:is>
          <x:t xml:space="preserve">Create standard escalation path</x:t>
        </x:is>
      </x:c>
      <x:c r="H9" t="inlineStr">
        <x:is>
          <x:t xml:space="preserve">N</x:t>
        </x:is>
      </x:c>
      <x:c r="I9" s="2" t="inlineStr">
        <x:is>
          <x:t xml:space="preserve"/>
        </x:is>
      </x:c>
    </x:row>
    <x:row r="10" ht="45" customHeight="1">
      <x:c r="A10" t="inlineStr">
        <x:is>
          <x:t xml:space="preserve">HR-D1-Q02</x:t>
        </x:is>
      </x:c>
      <x:c r="B10" t="inlineStr">
        <x:is>
          <x:t xml:space="preserve">HR-D1-Q02-A3</x:t>
        </x:is>
      </x:c>
      <x:c r="C10" s="2" t="inlineStr">
        <x:is>
          <x:t xml:space="preserve">Usually: HR and Security have an agreed way to connect within days.</x:t>
        </x:is>
      </x:c>
      <x:c r="D10" t="n">
        <x:v>2</x:v>
      </x:c>
      <x:c r="E10" t="inlineStr">
        <x:is>
          <x:t xml:space="preserve"/>
        </x:is>
      </x:c>
      <x:c r="F10" t="inlineStr">
        <x:is>
          <x:t xml:space="preserve">Operating Model Gap</x:t>
        </x:is>
      </x:c>
      <x:c r="G10" t="inlineStr">
        <x:is>
          <x:t xml:space="preserve">Document escalation</x:t>
        </x:is>
      </x:c>
      <x:c r="H10" t="inlineStr">
        <x:is>
          <x:t xml:space="preserve">N</x:t>
        </x:is>
      </x:c>
      <x:c r="I10" s="2" t="inlineStr">
        <x:is>
          <x:t xml:space="preserve">Example: typical response time.</x:t>
        </x:is>
      </x:c>
    </x:row>
    <x:row r="11" ht="45" customHeight="1">
      <x:c r="A11" t="inlineStr">
        <x:is>
          <x:t xml:space="preserve">HR-D1-Q02</x:t>
        </x:is>
      </x:c>
      <x:c r="B11" t="inlineStr">
        <x:is>
          <x:t xml:space="preserve">HR-D1-Q02-A4</x:t>
        </x:is>
      </x:c>
      <x:c r="C11" s="2" t="inlineStr">
        <x:is>
          <x:t xml:space="preserve">Yes: HR and Security coordinate within 24–48 hours for relevant concerns.</x:t>
        </x:is>
      </x:c>
      <x:c r="D11" t="n">
        <x:v>3</x:v>
      </x:c>
      <x:c r="E11" t="inlineStr">
        <x:is>
          <x:t xml:space="preserve"/>
        </x:is>
      </x:c>
      <x:c r="F11" t="inlineStr">
        <x:is>
          <x:t xml:space="preserve">Operating Model Gap</x:t>
        </x:is>
      </x:c>
      <x:c r="G11" t="inlineStr">
        <x:is>
          <x:t xml:space="preserve">Maintain and test workflow</x:t>
        </x:is>
      </x:c>
      <x:c r="H11" t="inlineStr">
        <x:is>
          <x:t xml:space="preserve">N</x:t>
        </x:is>
      </x:c>
      <x:c r="I11" s="2" t="inlineStr">
        <x:is>
          <x:t xml:space="preserve">Evidence: redacted case timeline or process.</x:t>
        </x:is>
      </x:c>
    </x:row>
    <x:row r="12" ht="45" customHeight="1">
      <x:c r="A12" t="inlineStr">
        <x:is>
          <x:t xml:space="preserve">HR-D1-Q03</x:t>
        </x:is>
      </x:c>
      <x:c r="B12" t="inlineStr">
        <x:is>
          <x:t xml:space="preserve">HR-D1-Q03-A1</x:t>
        </x:is>
      </x:c>
      <x:c r="C12" s="2" t="inlineStr">
        <x:is>
          <x:t xml:space="preserve">No one: responsibilities are split and unclear.</x:t>
        </x:is>
      </x:c>
      <x:c r="D12" t="n">
        <x:v>0</x:v>
      </x:c>
      <x:c r="E12" t="inlineStr">
        <x:is>
          <x:t xml:space="preserve">paper_dragon_signal</x:t>
        </x:is>
      </x:c>
      <x:c r="F12" t="inlineStr">
        <x:is>
          <x:t xml:space="preserve">Operating Model Gap</x:t>
        </x:is>
      </x:c>
      <x:c r="G12" t="inlineStr">
        <x:is>
          <x:t xml:space="preserve">Assign accountable owner</x:t>
        </x:is>
      </x:c>
      <x:c r="H12" t="inlineStr">
        <x:is>
          <x:t xml:space="preserve">N</x:t>
        </x:is>
      </x:c>
      <x:c r="I12" s="2" t="inlineStr">
        <x:is>
          <x:t xml:space="preserve"/>
        </x:is>
      </x:c>
    </x:row>
    <x:row r="13" ht="45" customHeight="1">
      <x:c r="A13" t="inlineStr">
        <x:is>
          <x:t xml:space="preserve">HR-D1-Q03</x:t>
        </x:is>
      </x:c>
      <x:c r="B13" t="inlineStr">
        <x:is>
          <x:t xml:space="preserve">HR-D1-Q03-A2</x:t>
        </x:is>
      </x:c>
      <x:c r="C13" s="2" t="inlineStr">
        <x:is>
          <x:t xml:space="preserve">Informal: a senior HR person handles it when needed, but it’s not in their role/KPIs.</x:t>
        </x:is>
      </x:c>
      <x:c r="D13" t="n">
        <x:v>1</x:v>
      </x:c>
      <x:c r="E13" t="inlineStr">
        <x:is>
          <x:t xml:space="preserve">key_person_dependency</x:t>
        </x:is>
      </x:c>
      <x:c r="F13" t="inlineStr">
        <x:is>
          <x:t xml:space="preserve">Operating Model Gap</x:t>
        </x:is>
      </x:c>
      <x:c r="G13" t="inlineStr">
        <x:is>
          <x:t xml:space="preserve">Formalize accountability</x:t>
        </x:is>
      </x:c>
      <x:c r="H13" t="inlineStr">
        <x:is>
          <x:t xml:space="preserve">N</x:t>
        </x:is>
      </x:c>
      <x:c r="I13" s="2" t="inlineStr">
        <x:is>
          <x:t xml:space="preserve"/>
        </x:is>
      </x:c>
    </x:row>
    <x:row r="14" ht="45" customHeight="1">
      <x:c r="A14" t="inlineStr">
        <x:is>
          <x:t xml:space="preserve">HR-D1-Q03</x:t>
        </x:is>
      </x:c>
      <x:c r="B14" t="inlineStr">
        <x:is>
          <x:t xml:space="preserve">HR-D1-Q03-A3</x:t>
        </x:is>
      </x:c>
      <x:c r="C14" s="2" t="inlineStr">
        <x:is>
          <x:t xml:space="preserve">Named: a role is responsible, with documented remit.</x:t>
        </x:is>
      </x:c>
      <x:c r="D14" t="n">
        <x:v>2</x:v>
      </x:c>
      <x:c r="E14" t="inlineStr">
        <x:is>
          <x:t xml:space="preserve"/>
        </x:is>
      </x:c>
      <x:c r="F14" t="inlineStr">
        <x:is>
          <x:t xml:space="preserve">Operating Model Gap</x:t>
        </x:is>
      </x:c>
      <x:c r="G14" t="inlineStr">
        <x:is>
          <x:t xml:space="preserve">Define KPIs</x:t>
        </x:is>
      </x:c>
      <x:c r="H14" t="inlineStr">
        <x:is>
          <x:t xml:space="preserve">N</x:t>
        </x:is>
      </x:c>
      <x:c r="I14" s="2" t="inlineStr">
        <x:is>
          <x:t xml:space="preserve">Evidence: role description or RACI.</x:t>
        </x:is>
      </x:c>
    </x:row>
    <x:row r="15" ht="45" customHeight="1">
      <x:c r="A15" t="inlineStr">
        <x:is>
          <x:t xml:space="preserve">HR-D1-Q03</x:t>
        </x:is>
      </x:c>
      <x:c r="B15" t="inlineStr">
        <x:is>
          <x:t xml:space="preserve">HR-D1-Q03-A4</x:t>
        </x:is>
      </x:c>
      <x:c r="C15" s="2" t="inlineStr">
        <x:is>
          <x:t xml:space="preserve">Named + empowered: role has decision rights and access to Legal/Security support.</x:t>
        </x:is>
      </x:c>
      <x:c r="D15" t="n">
        <x:v>3</x:v>
      </x:c>
      <x:c r="E15" t="inlineStr">
        <x:is>
          <x:t xml:space="preserve"/>
        </x:is>
      </x:c>
      <x:c r="F15" t="inlineStr">
        <x:is>
          <x:t xml:space="preserve">Operating Model Gap</x:t>
        </x:is>
      </x:c>
      <x:c r="G15" t="inlineStr">
        <x:is>
          <x:t xml:space="preserve">Maintain operating model</x:t>
        </x:is>
      </x:c>
      <x:c r="H15" t="inlineStr">
        <x:is>
          <x:t xml:space="preserve">N</x:t>
        </x:is>
      </x:c>
      <x:c r="I15" s="2" t="inlineStr">
        <x:is>
          <x:t xml:space="preserve">Evidence: RACI + escalation path.</x:t>
        </x:is>
      </x:c>
    </x:row>
    <x:row r="16" ht="45" customHeight="1">
      <x:c r="A16" t="inlineStr">
        <x:is>
          <x:t xml:space="preserve">HR-D1-Q03</x:t>
        </x:is>
      </x:c>
      <x:c r="B16" t="inlineStr">
        <x:is>
          <x:t xml:space="preserve">HR-D1-Q03-A5</x:t>
        </x:is>
      </x:c>
      <x:c r="C16" s="2" t="inlineStr">
        <x:is>
          <x:t xml:space="preserve">Governed: accountability embedded in HR KPIs and reviewed with exec sponsor.</x:t>
        </x:is>
      </x:c>
      <x:c r="D16" t="n">
        <x:v>4</x:v>
      </x:c>
      <x:c r="E16" t="inlineStr">
        <x:is>
          <x:t xml:space="preserve"/>
        </x:is>
      </x:c>
      <x:c r="F16" t="inlineStr">
        <x:is>
          <x:t xml:space="preserve">Operating Model Gap</x:t>
        </x:is>
      </x:c>
      <x:c r="G16" t="inlineStr">
        <x:is>
          <x:t xml:space="preserve">Maintain governance cadence</x:t>
        </x:is>
      </x:c>
      <x:c r="H16" t="inlineStr">
        <x:is>
          <x:t xml:space="preserve">N</x:t>
        </x:is>
      </x:c>
      <x:c r="I16" s="2" t="inlineStr">
        <x:is>
          <x:t xml:space="preserve">Evidence: KPI pack / steering minutes.</x:t>
        </x:is>
      </x:c>
    </x:row>
    <x:row r="17" ht="45" customHeight="1">
      <x:c r="A17" t="inlineStr">
        <x:is>
          <x:t xml:space="preserve">HR-D1-Q04</x:t>
        </x:is>
      </x:c>
      <x:c r="B17" t="inlineStr">
        <x:is>
          <x:t xml:space="preserve">HR-D1-Q04-A1</x:t>
        </x:is>
      </x:c>
      <x:c r="C17" s="2" t="inlineStr">
        <x:is>
          <x:t xml:space="preserve">None: every case is handled differently.</x:t>
        </x:is>
      </x:c>
      <x:c r="D17" t="n">
        <x:v>0</x:v>
      </x:c>
      <x:c r="E17" t="inlineStr">
        <x:is>
          <x:t xml:space="preserve">paper_dragon_signal</x:t>
        </x:is>
      </x:c>
      <x:c r="F17" t="inlineStr">
        <x:is>
          <x:t xml:space="preserve">Operating Model Gap</x:t>
        </x:is>
      </x:c>
      <x:c r="G17" t="inlineStr">
        <x:is>
          <x:t xml:space="preserve">Create case workflow</x:t>
        </x:is>
      </x:c>
      <x:c r="H17" t="inlineStr">
        <x:is>
          <x:t xml:space="preserve">N</x:t>
        </x:is>
      </x:c>
      <x:c r="I17" s="2" t="inlineStr">
        <x:is>
          <x:t xml:space="preserve"/>
        </x:is>
      </x:c>
    </x:row>
    <x:row r="18" ht="45" customHeight="1">
      <x:c r="A18" t="inlineStr">
        <x:is>
          <x:t xml:space="preserve">HR-D1-Q04</x:t>
        </x:is>
      </x:c>
      <x:c r="B18" t="inlineStr">
        <x:is>
          <x:t xml:space="preserve">HR-D1-Q04-A2</x:t>
        </x:is>
      </x:c>
      <x:c r="C18" s="2" t="inlineStr">
        <x:is>
          <x:t xml:space="preserve">Ad-hoc: teams collaborate via email/chats; decisions are unclear.</x:t>
        </x:is>
      </x:c>
      <x:c r="D18" t="n">
        <x:v>1</x:v>
      </x:c>
      <x:c r="E18" t="inlineStr">
        <x:is>
          <x:t xml:space="preserve">shadow_mature_signal</x:t>
        </x:is>
      </x:c>
      <x:c r="F18" t="inlineStr">
        <x:is>
          <x:t xml:space="preserve">Operating Model Gap</x:t>
        </x:is>
      </x:c>
      <x:c r="G18" t="inlineStr">
        <x:is>
          <x:t xml:space="preserve">Define roles &amp; steps</x:t>
        </x:is>
      </x:c>
      <x:c r="H18" t="inlineStr">
        <x:is>
          <x:t xml:space="preserve">N</x:t>
        </x:is>
      </x:c>
      <x:c r="I18" s="2" t="inlineStr">
        <x:is>
          <x:t xml:space="preserve">Example: last case workflow.</x:t>
        </x:is>
      </x:c>
    </x:row>
    <x:row r="19" ht="45" customHeight="1">
      <x:c r="A19" t="inlineStr">
        <x:is>
          <x:t xml:space="preserve">HR-D1-Q04</x:t>
        </x:is>
      </x:c>
      <x:c r="B19" t="inlineStr">
        <x:is>
          <x:t xml:space="preserve">HR-D1-Q04-A3</x:t>
        </x:is>
      </x:c>
      <x:c r="C19" s="2" t="inlineStr">
        <x:is>
          <x:t xml:space="preserve">Documented: workflow exists but not always followed.</x:t>
        </x:is>
      </x:c>
      <x:c r="D19" t="n">
        <x:v>2</x:v>
      </x:c>
      <x:c r="E19" t="inlineStr">
        <x:is>
          <x:t xml:space="preserve"/>
        </x:is>
      </x:c>
      <x:c r="F19" t="inlineStr">
        <x:is>
          <x:t xml:space="preserve">Operating Model Gap</x:t>
        </x:is>
      </x:c>
      <x:c r="G19" t="inlineStr">
        <x:is>
          <x:t xml:space="preserve">Improve adherence</x:t>
        </x:is>
      </x:c>
      <x:c r="H19" t="inlineStr">
        <x:is>
          <x:t xml:space="preserve">N</x:t>
        </x:is>
      </x:c>
      <x:c r="I19" s="2" t="inlineStr">
        <x:is>
          <x:t xml:space="preserve">Evidence: workflow doc, training.</x:t>
        </x:is>
      </x:c>
    </x:row>
    <x:row r="20" ht="45" customHeight="1">
      <x:c r="A20" t="inlineStr">
        <x:is>
          <x:t xml:space="preserve">HR-D1-Q04</x:t>
        </x:is>
      </x:c>
      <x:c r="B20" t="inlineStr">
        <x:is>
          <x:t xml:space="preserve">HR-D1-Q04-A4</x:t>
        </x:is>
      </x:c>
      <x:c r="C20" s="2" t="inlineStr">
        <x:is>
          <x:t xml:space="preserve">Used: consistently followed with privacy/legal checkpoints.</x:t>
        </x:is>
      </x:c>
      <x:c r="D20" t="n">
        <x:v>3</x:v>
      </x:c>
      <x:c r="E20" t="inlineStr">
        <x:is>
          <x:t xml:space="preserve"/>
        </x:is>
      </x:c>
      <x:c r="F20" t="inlineStr">
        <x:is>
          <x:t xml:space="preserve">Legal Exposure</x:t>
        </x:is>
      </x:c>
      <x:c r="G20" t="inlineStr">
        <x:is>
          <x:t xml:space="preserve">Maintain and audit workflow</x:t>
        </x:is>
      </x:c>
      <x:c r="H20" t="inlineStr">
        <x:is>
          <x:t xml:space="preserve">N</x:t>
        </x:is>
      </x:c>
      <x:c r="I20" s="2" t="inlineStr">
        <x:is>
          <x:t xml:space="preserve">Evidence: redacted case checklist.</x:t>
        </x:is>
      </x:c>
    </x:row>
    <x:row r="21" ht="45" customHeight="1">
      <x:c r="A21" t="inlineStr">
        <x:is>
          <x:t xml:space="preserve">HR-D1-Q04</x:t>
        </x:is>
      </x:c>
      <x:c r="B21" t="inlineStr">
        <x:is>
          <x:t xml:space="preserve">HR-D1-Q04-A5</x:t>
        </x:is>
      </x:c>
      <x:c r="C21" s="2" t="inlineStr">
        <x:is>
          <x:t xml:space="preserve">Audited: tested/audited and improved after cases or exercises.</x:t>
        </x:is>
      </x:c>
      <x:c r="D21" t="n">
        <x:v>4</x:v>
      </x:c>
      <x:c r="E21" t="inlineStr">
        <x:is>
          <x:t xml:space="preserve"/>
        </x:is>
      </x:c>
      <x:c r="F21" t="inlineStr">
        <x:is>
          <x:t xml:space="preserve">Legal Exposure</x:t>
        </x:is>
      </x:c>
      <x:c r="G21" t="inlineStr">
        <x:is>
          <x:t xml:space="preserve">Continue assurance</x:t>
        </x:is>
      </x:c>
      <x:c r="H21" t="inlineStr">
        <x:is>
          <x:t xml:space="preserve">N</x:t>
        </x:is>
      </x:c>
      <x:c r="I21" s="2" t="inlineStr">
        <x:is>
          <x:t xml:space="preserve">Evidence: audit/exercise notes.</x:t>
        </x:is>
      </x:c>
    </x:row>
    <x:row r="22" ht="45" customHeight="1">
      <x:c r="A22" t="inlineStr">
        <x:is>
          <x:t xml:space="preserve">HR-D2-Q05</x:t>
        </x:is>
      </x:c>
      <x:c r="B22" t="inlineStr">
        <x:is>
          <x:t xml:space="preserve">HR-D2-Q05-A0</x:t>
        </x:is>
      </x:c>
      <x:c r="C22" s="2" t="inlineStr">
        <x:is>
          <x:t xml:space="preserve">I don't know / Not sure.</x:t>
        </x:is>
      </x:c>
      <x:c r="D22" t="n">
        <x:v>0</x:v>
      </x:c>
      <x:c r="E22" t="inlineStr">
        <x:is>
          <x:t xml:space="preserve">low-confidence</x:t>
        </x:is>
      </x:c>
      <x:c r="F22" t="inlineStr">
        <x:is>
          <x:t xml:space="preserve">Culture Risk</x:t>
        </x:is>
      </x:c>
      <x:c r="G22" t="inlineStr">
        <x:is>
          <x:t xml:space="preserve">Clarify channels</x:t>
        </x:is>
      </x:c>
      <x:c r="H22" t="inlineStr">
        <x:is>
          <x:t xml:space="preserve">N</x:t>
        </x:is>
      </x:c>
      <x:c r="I22" s="2" t="inlineStr">
        <x:is>
          <x:t xml:space="preserve"/>
        </x:is>
      </x:c>
    </x:row>
    <x:row r="23" ht="45" customHeight="1">
      <x:c r="A23" t="inlineStr">
        <x:is>
          <x:t xml:space="preserve">HR-D2-Q05</x:t>
        </x:is>
      </x:c>
      <x:c r="B23" t="inlineStr">
        <x:is>
          <x:t xml:space="preserve">HR-D2-Q05-A1</x:t>
        </x:is>
      </x:c>
      <x:c r="C23" s="2" t="inlineStr">
        <x:is>
          <x:t xml:space="preserve">No: people mostly stay silent or only talk informally.</x:t>
        </x:is>
      </x:c>
      <x:c r="D23" t="n">
        <x:v>0</x:v>
      </x:c>
      <x:c r="E23" t="inlineStr">
        <x:is>
          <x:t xml:space="preserve">culture_risk,toxic_enforcer_signal</x:t>
        </x:is>
      </x:c>
      <x:c r="F23" t="inlineStr">
        <x:is>
          <x:t xml:space="preserve">Culture Risk</x:t>
        </x:is>
      </x:c>
      <x:c r="G23" t="inlineStr">
        <x:is>
          <x:t xml:space="preserve">Design protected reporting</x:t>
        </x:is>
      </x:c>
      <x:c r="H23" t="inlineStr">
        <x:is>
          <x:t xml:space="preserve">N</x:t>
        </x:is>
      </x:c>
      <x:c r="I23" s="2" t="inlineStr">
        <x:is>
          <x:t xml:space="preserve"/>
        </x:is>
      </x:c>
    </x:row>
    <x:row r="24" ht="45" customHeight="1">
      <x:c r="A24" t="inlineStr">
        <x:is>
          <x:t xml:space="preserve">HR-D2-Q05</x:t>
        </x:is>
      </x:c>
      <x:c r="B24" t="inlineStr">
        <x:is>
          <x:t xml:space="preserve">HR-D2-Q05-A2</x:t>
        </x:is>
      </x:c>
      <x:c r="C24" s="2" t="inlineStr">
        <x:is>
          <x:t xml:space="preserve">Basic: a channel exists, but people fear consequences or don't trust it.</x:t>
        </x:is>
      </x:c>
      <x:c r="D24" t="n">
        <x:v>1</x:v>
      </x:c>
      <x:c r="E24" t="inlineStr">
        <x:is>
          <x:t xml:space="preserve">culture_risk</x:t>
        </x:is>
      </x:c>
      <x:c r="F24" t="inlineStr">
        <x:is>
          <x:t xml:space="preserve">Culture Risk</x:t>
        </x:is>
      </x:c>
      <x:c r="G24" t="inlineStr">
        <x:is>
          <x:t xml:space="preserve">Improve trust &amp; protections</x:t>
        </x:is>
      </x:c>
      <x:c r="H24" t="inlineStr">
        <x:is>
          <x:t xml:space="preserve">N</x:t>
        </x:is>
      </x:c>
      <x:c r="I24" s="2" t="inlineStr">
        <x:is>
          <x:t xml:space="preserve">Evidence: channel description, communications.</x:t>
        </x:is>
      </x:c>
    </x:row>
    <x:row r="25" ht="45" customHeight="1">
      <x:c r="A25" t="inlineStr">
        <x:is>
          <x:t xml:space="preserve">HR-D2-Q05</x:t>
        </x:is>
      </x:c>
      <x:c r="B25" t="inlineStr">
        <x:is>
          <x:t xml:space="preserve">HR-D2-Q05-A3</x:t>
        </x:is>
      </x:c>
      <x:c r="C25" s="2" t="inlineStr">
        <x:is>
          <x:t xml:space="preserve">Defined: multiple channels exist and non-retaliation is communicated, but quality varies.</x:t>
        </x:is>
      </x:c>
      <x:c r="D25" t="n">
        <x:v>2</x:v>
      </x:c>
      <x:c r="E25" t="inlineStr">
        <x:is>
          <x:t xml:space="preserve"/>
        </x:is>
      </x:c>
      <x:c r="F25" t="inlineStr">
        <x:is>
          <x:t xml:space="preserve">Culture Risk</x:t>
        </x:is>
      </x:c>
      <x:c r="G25" t="inlineStr">
        <x:is>
          <x:t xml:space="preserve">Strengthen triage &amp; feedback</x:t>
        </x:is>
      </x:c>
      <x:c r="H25" t="inlineStr">
        <x:is>
          <x:t xml:space="preserve">N</x:t>
        </x:is>
      </x:c>
      <x:c r="I25" s="2" t="inlineStr">
        <x:is>
          <x:t xml:space="preserve">Evidence: policy + comms.</x:t>
        </x:is>
      </x:c>
    </x:row>
    <x:row r="26" ht="45" customHeight="1">
      <x:c r="A26" t="inlineStr">
        <x:is>
          <x:t xml:space="preserve">HR-D2-Q05</x:t>
        </x:is>
      </x:c>
      <x:c r="B26" t="inlineStr">
        <x:is>
          <x:t xml:space="preserve">HR-D2-Q05-A4</x:t>
        </x:is>
      </x:c>
      <x:c r="C26" s="2" t="inlineStr">
        <x:is>
          <x:t xml:space="preserve">Trusted: channels are used; confidentiality respected; retaliation investigated.</x:t>
        </x:is>
      </x:c>
      <x:c r="D26" t="n">
        <x:v>3</x:v>
      </x:c>
      <x:c r="E26" t="inlineStr">
        <x:is>
          <x:t xml:space="preserve"/>
        </x:is>
      </x:c>
      <x:c r="F26" t="inlineStr">
        <x:is>
          <x:t xml:space="preserve">Culture Risk</x:t>
        </x:is>
      </x:c>
      <x:c r="G26" t="inlineStr">
        <x:is>
          <x:t xml:space="preserve">Maintain and measure trust</x:t>
        </x:is>
      </x:c>
      <x:c r="H26" t="inlineStr">
        <x:is>
          <x:t xml:space="preserve">N</x:t>
        </x:is>
      </x:c>
      <x:c r="I26" s="2" t="inlineStr">
        <x:is>
          <x:t xml:space="preserve">Evidence: anonymized metrics on reports/retaliation.</x:t>
        </x:is>
      </x:c>
    </x:row>
    <x:row r="27" ht="45" customHeight="1">
      <x:c r="A27" t="inlineStr">
        <x:is>
          <x:t xml:space="preserve">HR-D2-Q05</x:t>
        </x:is>
      </x:c>
      <x:c r="B27" t="inlineStr">
        <x:is>
          <x:t xml:space="preserve">HR-D2-Q05-A5</x:t>
        </x:is>
      </x:c>
      <x:c r="C27" s="2" t="inlineStr">
        <x:is>
          <x:t xml:space="preserve">High trust: people report early; outcomes drive improvements; trust is measured.</x:t>
        </x:is>
      </x:c>
      <x:c r="D27" t="n">
        <x:v>4</x:v>
      </x:c>
      <x:c r="E27" t="inlineStr">
        <x:is>
          <x:t xml:space="preserve"/>
        </x:is>
      </x:c>
      <x:c r="F27" t="inlineStr">
        <x:is>
          <x:t xml:space="preserve">Culture Risk</x:t>
        </x:is>
      </x:c>
      <x:c r="G27" t="inlineStr">
        <x:is>
          <x:t xml:space="preserve">Maintain maturity</x:t>
        </x:is>
      </x:c>
      <x:c r="H27" t="inlineStr">
        <x:is>
          <x:t xml:space="preserve">N</x:t>
        </x:is>
      </x:c>
      <x:c r="I27" s="2" t="inlineStr">
        <x:is>
          <x:t xml:space="preserve">Evidence: trends + action plans.</x:t>
        </x:is>
      </x:c>
    </x:row>
    <x:row r="28" ht="45" customHeight="1">
      <x:c r="A28" t="inlineStr">
        <x:is>
          <x:t xml:space="preserve">HR-D2-Q06</x:t>
        </x:is>
      </x:c>
      <x:c r="B28" t="inlineStr">
        <x:is>
          <x:t xml:space="preserve">HR-D2-Q06-A1</x:t>
        </x:is>
      </x:c>
      <x:c r="C28" s="2" t="inlineStr">
        <x:is>
          <x:t xml:space="preserve">They usually aren’t raised; people avoid speaking up.</x:t>
        </x:is>
      </x:c>
      <x:c r="D28" t="n">
        <x:v>0</x:v>
      </x:c>
      <x:c r="E28" t="inlineStr">
        <x:is>
          <x:t xml:space="preserve">culture_risk</x:t>
        </x:is>
      </x:c>
      <x:c r="F28" t="inlineStr">
        <x:is>
          <x:t xml:space="preserve">Culture Risk</x:t>
        </x:is>
      </x:c>
      <x:c r="G28" t="inlineStr">
        <x:is>
          <x:t xml:space="preserve">Implement channels</x:t>
        </x:is>
      </x:c>
      <x:c r="H28" t="inlineStr">
        <x:is>
          <x:t xml:space="preserve">N</x:t>
        </x:is>
      </x:c>
      <x:c r="I28" s="2" t="inlineStr">
        <x:is>
          <x:t xml:space="preserve"/>
        </x:is>
      </x:c>
    </x:row>
    <x:row r="29" ht="45" customHeight="1">
      <x:c r="A29" t="inlineStr">
        <x:is>
          <x:t xml:space="preserve">HR-D2-Q06</x:t>
        </x:is>
      </x:c>
      <x:c r="B29" t="inlineStr">
        <x:is>
          <x:t xml:space="preserve">HR-D2-Q06-A2</x:t>
        </x:is>
      </x:c>
      <x:c r="C29" s="2" t="inlineStr">
        <x:is>
          <x:t xml:space="preserve">Only to a trusted manager/HR contact; depends on relationships.</x:t>
        </x:is>
      </x:c>
      <x:c r="D29" t="n">
        <x:v>1</x:v>
      </x:c>
      <x:c r="E29" t="inlineStr">
        <x:is>
          <x:t xml:space="preserve">key_person_dependency</x:t>
        </x:is>
      </x:c>
      <x:c r="F29" t="inlineStr">
        <x:is>
          <x:t xml:space="preserve">Culture Risk</x:t>
        </x:is>
      </x:c>
      <x:c r="G29" t="inlineStr">
        <x:is>
          <x:t xml:space="preserve">Create consistent process</x:t>
        </x:is>
      </x:c>
      <x:c r="H29" t="inlineStr">
        <x:is>
          <x:t xml:space="preserve">N</x:t>
        </x:is>
      </x:c>
      <x:c r="I29" s="2" t="inlineStr">
        <x:is>
          <x:t xml:space="preserve"/>
        </x:is>
      </x:c>
    </x:row>
    <x:row r="30" ht="45" customHeight="1">
      <x:c r="A30" t="inlineStr">
        <x:is>
          <x:t xml:space="preserve">HR-D2-Q06</x:t>
        </x:is>
      </x:c>
      <x:c r="B30" t="inlineStr">
        <x:is>
          <x:t xml:space="preserve">HR-D2-Q06-A3</x:t>
        </x:is>
      </x:c>
      <x:c r="C30" s="2" t="inlineStr">
        <x:is>
          <x:t xml:space="preserve">Sometimes reported, but follow-up is inconsistent and not documented.</x:t>
        </x:is>
      </x:c>
      <x:c r="D30" t="n">
        <x:v>2</x:v>
      </x:c>
      <x:c r="E30" t="inlineStr">
        <x:is>
          <x:t xml:space="preserve">shadow_mature_signal</x:t>
        </x:is>
      </x:c>
      <x:c r="F30" t="inlineStr">
        <x:is>
          <x:t xml:space="preserve">Operating Model Gap</x:t>
        </x:is>
      </x:c>
      <x:c r="G30" t="inlineStr">
        <x:is>
          <x:t xml:space="preserve">Standardize triage</x:t>
        </x:is>
      </x:c>
      <x:c r="H30" t="inlineStr">
        <x:is>
          <x:t xml:space="preserve">N</x:t>
        </x:is>
      </x:c>
      <x:c r="I30" s="2" t="inlineStr">
        <x:is>
          <x:t xml:space="preserve"/>
        </x:is>
      </x:c>
    </x:row>
    <x:row r="31" ht="45" customHeight="1">
      <x:c r="A31" t="inlineStr">
        <x:is>
          <x:t xml:space="preserve">HR-D2-Q06</x:t>
        </x:is>
      </x:c>
      <x:c r="B31" t="inlineStr">
        <x:is>
          <x:t xml:space="preserve">HR-D2-Q06-A4</x:t>
        </x:is>
      </x:c>
      <x:c r="C31" s="2" t="inlineStr">
        <x:is>
          <x:t xml:space="preserve">Raised and acted on quickly even if informal; patterns discussed.</x:t>
        </x:is>
      </x:c>
      <x:c r="D31" t="n">
        <x:v>3</x:v>
      </x:c>
      <x:c r="E31" t="inlineStr">
        <x:is>
          <x:t xml:space="preserve">shadow_mature_signal</x:t>
        </x:is>
      </x:c>
      <x:c r="F31" t="inlineStr">
        <x:is>
          <x:t xml:space="preserve">Culture Risk</x:t>
        </x:is>
      </x:c>
      <x:c r="G31" t="inlineStr">
        <x:is>
          <x:t xml:space="preserve">Formalize without harming trust</x:t>
        </x:is>
      </x:c>
      <x:c r="H31" t="inlineStr">
        <x:is>
          <x:t xml:space="preserve">N</x:t>
        </x:is>
      </x:c>
      <x:c r="I31" s="2" t="inlineStr">
        <x:is>
          <x:t xml:space="preserve">Example: concerns per quarter.</x:t>
        </x:is>
      </x:c>
    </x:row>
    <x:row r="32" ht="45" customHeight="1">
      <x:c r="A32" t="inlineStr">
        <x:is>
          <x:t xml:space="preserve">HR-D2-Q07</x:t>
        </x:is>
      </x:c>
      <x:c r="B32" t="inlineStr">
        <x:is>
          <x:t xml:space="preserve">HR-D2-Q07-A1</x:t>
        </x:is>
      </x:c>
      <x:c r="C32" s="2" t="inlineStr">
        <x:is>
          <x:t xml:space="preserve">No explicit protection; handled like any other conflict.</x:t>
        </x:is>
      </x:c>
      <x:c r="D32" t="n">
        <x:v>0</x:v>
      </x:c>
      <x:c r="E32" t="inlineStr">
        <x:is>
          <x:t xml:space="preserve">legal_exposure,culture_risk</x:t>
        </x:is>
      </x:c>
      <x:c r="F32" t="inlineStr">
        <x:is>
          <x:t xml:space="preserve">Legal Exposure</x:t>
        </x:is>
      </x:c>
      <x:c r="G32" t="inlineStr">
        <x:is>
          <x:t xml:space="preserve">Define non-retaliation policy</x:t>
        </x:is>
      </x:c>
      <x:c r="H32" t="inlineStr">
        <x:is>
          <x:t xml:space="preserve">N</x:t>
        </x:is>
      </x:c>
      <x:c r="I32" s="2" t="inlineStr">
        <x:is>
          <x:t xml:space="preserve"/>
        </x:is>
      </x:c>
    </x:row>
    <x:row r="33" ht="45" customHeight="1">
      <x:c r="A33" t="inlineStr">
        <x:is>
          <x:t xml:space="preserve">HR-D2-Q07</x:t>
        </x:is>
      </x:c>
      <x:c r="B33" t="inlineStr">
        <x:is>
          <x:t xml:space="preserve">HR-D2-Q07-A2</x:t>
        </x:is>
      </x:c>
      <x:c r="C33" s="2" t="inlineStr">
        <x:is>
          <x:t xml:space="preserve">Policy exists but not well-known; enforcement inconsistent.</x:t>
        </x:is>
      </x:c>
      <x:c r="D33" t="n">
        <x:v>1</x:v>
      </x:c>
      <x:c r="E33" t="inlineStr">
        <x:is>
          <x:t xml:space="preserve">paper_dragon_signal</x:t>
        </x:is>
      </x:c>
      <x:c r="F33" t="inlineStr">
        <x:is>
          <x:t xml:space="preserve">Paper Dragon</x:t>
        </x:is>
      </x:c>
      <x:c r="G33" t="inlineStr">
        <x:is>
          <x:t xml:space="preserve">Improve training &amp; enforcement</x:t>
        </x:is>
      </x:c>
      <x:c r="H33" t="inlineStr">
        <x:is>
          <x:t xml:space="preserve">N</x:t>
        </x:is>
      </x:c>
      <x:c r="I33" s="2" t="inlineStr">
        <x:is>
          <x:t xml:space="preserve">Evidence: policy and comms.</x:t>
        </x:is>
      </x:c>
    </x:row>
    <x:row r="34" ht="45" customHeight="1">
      <x:c r="A34" t="inlineStr">
        <x:is>
          <x:t xml:space="preserve">HR-D2-Q07</x:t>
        </x:is>
      </x:c>
      <x:c r="B34" t="inlineStr">
        <x:is>
          <x:t xml:space="preserve">HR-D2-Q07-A3</x:t>
        </x:is>
      </x:c>
      <x:c r="C34" s="2" t="inlineStr">
        <x:is>
          <x:t xml:space="preserve">Managers trained; retaliation checks part of investigations.</x:t>
        </x:is>
      </x:c>
      <x:c r="D34" t="n">
        <x:v>2</x:v>
      </x:c>
      <x:c r="E34" t="inlineStr">
        <x:is>
          <x:t xml:space="preserve"/>
        </x:is>
      </x:c>
      <x:c r="F34" t="inlineStr">
        <x:is>
          <x:t xml:space="preserve">Culture Risk</x:t>
        </x:is>
      </x:c>
      <x:c r="G34" t="inlineStr">
        <x:is>
          <x:t xml:space="preserve">Improve monitoring &amp; metrics</x:t>
        </x:is>
      </x:c>
      <x:c r="H34" t="inlineStr">
        <x:is>
          <x:t xml:space="preserve">N</x:t>
        </x:is>
      </x:c>
      <x:c r="I34" s="2" t="inlineStr">
        <x:is>
          <x:t xml:space="preserve">Evidence: training completion.</x:t>
        </x:is>
      </x:c>
    </x:row>
    <x:row r="35" ht="45" customHeight="1">
      <x:c r="A35" t="inlineStr">
        <x:is>
          <x:t xml:space="preserve">HR-D2-Q07</x:t>
        </x:is>
      </x:c>
      <x:c r="B35" t="inlineStr">
        <x:is>
          <x:t xml:space="preserve">HR-D2-Q07-A4</x:t>
        </x:is>
      </x:c>
      <x:c r="C35" s="2" t="inlineStr">
        <x:is>
          <x:t xml:space="preserve">Active monitoring: retaliation claims tracked and escalated; outcomes documented.</x:t>
        </x:is>
      </x:c>
      <x:c r="D35" t="n">
        <x:v>3</x:v>
      </x:c>
      <x:c r="E35" t="inlineStr">
        <x:is>
          <x:t xml:space="preserve"/>
        </x:is>
      </x:c>
      <x:c r="F35" t="inlineStr">
        <x:is>
          <x:t xml:space="preserve">Culture Risk</x:t>
        </x:is>
      </x:c>
      <x:c r="G35" t="inlineStr">
        <x:is>
          <x:t xml:space="preserve">Maintain assurance</x:t>
        </x:is>
      </x:c>
      <x:c r="H35" t="inlineStr">
        <x:is>
          <x:t xml:space="preserve">N</x:t>
        </x:is>
      </x:c>
      <x:c r="I35" s="2" t="inlineStr">
        <x:is>
          <x:t xml:space="preserve">Evidence: anonymized retaliation metrics.</x:t>
        </x:is>
      </x:c>
    </x:row>
    <x:row r="36" ht="45" customHeight="1">
      <x:c r="A36" t="inlineStr">
        <x:is>
          <x:t xml:space="preserve">HR-D2-Q07</x:t>
        </x:is>
      </x:c>
      <x:c r="B36" t="inlineStr">
        <x:is>
          <x:t xml:space="preserve">HR-D2-Q07-A5</x:t>
        </x:is>
      </x:c>
      <x:c r="C36" s="2" t="inlineStr">
        <x:is>
          <x:t xml:space="preserve">Independent oversight reviews retaliation handling.</x:t>
        </x:is>
      </x:c>
      <x:c r="D36" t="n">
        <x:v>4</x:v>
      </x:c>
      <x:c r="E36" t="inlineStr">
        <x:is>
          <x:t xml:space="preserve"/>
        </x:is>
      </x:c>
      <x:c r="F36" t="inlineStr">
        <x:is>
          <x:t xml:space="preserve">Culture Risk</x:t>
        </x:is>
      </x:c>
      <x:c r="G36" t="inlineStr">
        <x:is>
          <x:t xml:space="preserve">Maintain oversight</x:t>
        </x:is>
      </x:c>
      <x:c r="H36" t="inlineStr">
        <x:is>
          <x:t xml:space="preserve">N</x:t>
        </x:is>
      </x:c>
      <x:c r="I36" s="2" t="inlineStr">
        <x:is>
          <x:t xml:space="preserve">Evidence: oversight process.</x:t>
        </x:is>
      </x:c>
    </x:row>
    <x:row r="37" ht="45" customHeight="1">
      <x:c r="A37" t="inlineStr">
        <x:is>
          <x:t xml:space="preserve">HR-D2-Q08</x:t>
        </x:is>
      </x:c>
      <x:c r="B37" t="inlineStr">
        <x:is>
          <x:t xml:space="preserve">HR-D2-Q08-A1</x:t>
        </x:is>
      </x:c>
      <x:c r="C37" s="2" t="inlineStr">
        <x:is>
          <x:t xml:space="preserve">Unclear: reporters often hear nothing back.</x:t>
        </x:is>
      </x:c>
      <x:c r="D37" t="n">
        <x:v>0</x:v>
      </x:c>
      <x:c r="E37" t="inlineStr">
        <x:is>
          <x:t xml:space="preserve">culture_risk</x:t>
        </x:is>
      </x:c>
      <x:c r="F37" t="inlineStr">
        <x:is>
          <x:t xml:space="preserve">Culture Risk</x:t>
        </x:is>
      </x:c>
      <x:c r="G37" t="inlineStr">
        <x:is>
          <x:t xml:space="preserve">Define SLAs and tracking</x:t>
        </x:is>
      </x:c>
      <x:c r="H37" t="inlineStr">
        <x:is>
          <x:t xml:space="preserve">N</x:t>
        </x:is>
      </x:c>
      <x:c r="I37" s="2" t="inlineStr">
        <x:is>
          <x:t xml:space="preserve"/>
        </x:is>
      </x:c>
    </x:row>
    <x:row r="38" ht="45" customHeight="1">
      <x:c r="A38" t="inlineStr">
        <x:is>
          <x:t xml:space="preserve">HR-D2-Q08</x:t>
        </x:is>
      </x:c>
      <x:c r="B38" t="inlineStr">
        <x:is>
          <x:t xml:space="preserve">HR-D2-Q08-A2</x:t>
        </x:is>
      </x:c>
      <x:c r="C38" s="2" t="inlineStr">
        <x:is>
          <x:t xml:space="preserve">Slow: depends on workload; no tracking.</x:t>
        </x:is>
      </x:c>
      <x:c r="D38" t="n">
        <x:v>1</x:v>
      </x:c>
      <x:c r="E38" t="inlineStr">
        <x:is>
          <x:t xml:space="preserve">operating_model_gap</x:t>
        </x:is>
      </x:c>
      <x:c r="F38" t="inlineStr">
        <x:is>
          <x:t xml:space="preserve">Operating Model Gap</x:t>
        </x:is>
      </x:c>
      <x:c r="G38" t="inlineStr">
        <x:is>
          <x:t xml:space="preserve">Introduce case tracking</x:t>
        </x:is>
      </x:c>
      <x:c r="H38" t="inlineStr">
        <x:is>
          <x:t xml:space="preserve">N</x:t>
        </x:is>
      </x:c>
      <x:c r="I38" s="2" t="inlineStr">
        <x:is>
          <x:t xml:space="preserve"/>
        </x:is>
      </x:c>
    </x:row>
    <x:row r="39" ht="45" customHeight="1">
      <x:c r="A39" t="inlineStr">
        <x:is>
          <x:t xml:space="preserve">HR-D2-Q08</x:t>
        </x:is>
      </x:c>
      <x:c r="B39" t="inlineStr">
        <x:is>
          <x:t xml:space="preserve">HR-D2-Q08-A3</x:t>
        </x:is>
      </x:c>
      <x:c r="C39" s="2" t="inlineStr">
        <x:is>
          <x:t xml:space="preserve">Basic: acknowledgement within ~1–2 weeks; tracking not consistent.</x:t>
        </x:is>
      </x:c>
      <x:c r="D39" t="n">
        <x:v>2</x:v>
      </x:c>
      <x:c r="E39" t="inlineStr">
        <x:is>
          <x:t xml:space="preserve"/>
        </x:is>
      </x:c>
      <x:c r="F39" t="inlineStr">
        <x:is>
          <x:t xml:space="preserve">Operating Model Gap</x:t>
        </x:is>
      </x:c>
      <x:c r="G39" t="inlineStr">
        <x:is>
          <x:t xml:space="preserve">Improve SLAs</x:t>
        </x:is>
      </x:c>
      <x:c r="H39" t="inlineStr">
        <x:is>
          <x:t xml:space="preserve">N</x:t>
        </x:is>
      </x:c>
      <x:c r="I39" s="2" t="inlineStr">
        <x:is>
          <x:t xml:space="preserve">Evidence: redacted timestamps.</x:t>
        </x:is>
      </x:c>
    </x:row>
    <x:row r="40" ht="45" customHeight="1">
      <x:c r="A40" t="inlineStr">
        <x:is>
          <x:t xml:space="preserve">HR-D2-Q08</x:t>
        </x:is>
      </x:c>
      <x:c r="B40" t="inlineStr">
        <x:is>
          <x:t xml:space="preserve">HR-D2-Q08-A4</x:t>
        </x:is>
      </x:c>
      <x:c r="C40" s="2" t="inlineStr">
        <x:is>
          <x:t xml:space="preserve">Managed: acknowledgement within 2–3 days; triage within a week; documented routing.</x:t>
        </x:is>
      </x:c>
      <x:c r="D40" t="n">
        <x:v>3</x:v>
      </x:c>
      <x:c r="E40" t="inlineStr">
        <x:is>
          <x:t xml:space="preserve"/>
        </x:is>
      </x:c>
      <x:c r="F40" t="inlineStr">
        <x:is>
          <x:t xml:space="preserve">Operating Model Gap</x:t>
        </x:is>
      </x:c>
      <x:c r="G40" t="inlineStr">
        <x:is>
          <x:t xml:space="preserve">Maintain and monitor</x:t>
        </x:is>
      </x:c>
      <x:c r="H40" t="inlineStr">
        <x:is>
          <x:t xml:space="preserve">N</x:t>
        </x:is>
      </x:c>
      <x:c r="I40" s="2" t="inlineStr">
        <x:is>
          <x:t xml:space="preserve">Evidence: workflow metrics.</x:t>
        </x:is>
      </x:c>
    </x:row>
    <x:row r="41" ht="45" customHeight="1">
      <x:c r="A41" t="inlineStr">
        <x:is>
          <x:t xml:space="preserve">HR-D2-Q08</x:t>
        </x:is>
      </x:c>
      <x:c r="B41" t="inlineStr">
        <x:is>
          <x:t xml:space="preserve">HR-D2-Q08-A5</x:t>
        </x:is>
      </x:c>
      <x:c r="C41" s="2" t="inlineStr">
        <x:is>
          <x:t xml:space="preserve">Optimized: SLAs monitored; backlog managed; appropriate status updates provided.</x:t>
        </x:is>
      </x:c>
      <x:c r="D41" t="n">
        <x:v>4</x:v>
      </x:c>
      <x:c r="E41" t="inlineStr">
        <x:is>
          <x:t xml:space="preserve"/>
        </x:is>
      </x:c>
      <x:c r="F41" t="inlineStr">
        <x:is>
          <x:t xml:space="preserve">Operating Model Gap</x:t>
        </x:is>
      </x:c>
      <x:c r="G41" t="inlineStr">
        <x:is>
          <x:t xml:space="preserve">Continuous improvement</x:t>
        </x:is>
      </x:c>
      <x:c r="H41" t="inlineStr">
        <x:is>
          <x:t xml:space="preserve">N</x:t>
        </x:is>
      </x:c>
      <x:c r="I41" s="2" t="inlineStr">
        <x:is>
          <x:t xml:space="preserve">Evidence: anonymized KPI dashboard.</x:t>
        </x:is>
      </x:c>
    </x:row>
    <x:row r="42" ht="45" customHeight="1">
      <x:c r="A42" t="inlineStr">
        <x:is>
          <x:t xml:space="preserve">HR-D3-Q09</x:t>
        </x:is>
      </x:c>
      <x:c r="B42" t="inlineStr">
        <x:is>
          <x:t xml:space="preserve">HR-D3-Q09-A0</x:t>
        </x:is>
      </x:c>
      <x:c r="C42" s="2" t="inlineStr">
        <x:is>
          <x:t xml:space="preserve">I don't know / Not sure.</x:t>
        </x:is>
      </x:c>
      <x:c r="D42" t="n">
        <x:v>0</x:v>
      </x:c>
      <x:c r="E42" t="inlineStr">
        <x:is>
          <x:t xml:space="preserve">low-confidence</x:t>
        </x:is>
      </x:c>
      <x:c r="F42" t="inlineStr">
        <x:is>
          <x:t xml:space="preserve">Culture Risk</x:t>
        </x:is>
      </x:c>
      <x:c r="G42" t="inlineStr">
        <x:is>
          <x:t xml:space="preserve">Clarify manager support</x:t>
        </x:is>
      </x:c>
      <x:c r="H42" t="inlineStr">
        <x:is>
          <x:t xml:space="preserve">N</x:t>
        </x:is>
      </x:c>
      <x:c r="I42" s="2" t="inlineStr">
        <x:is>
          <x:t xml:space="preserve"/>
        </x:is>
      </x:c>
    </x:row>
    <x:row r="43" ht="45" customHeight="1">
      <x:c r="A43" t="inlineStr">
        <x:is>
          <x:t xml:space="preserve">HR-D3-Q09</x:t>
        </x:is>
      </x:c>
      <x:c r="B43" t="inlineStr">
        <x:is>
          <x:t xml:space="preserve">HR-D3-Q09-A1</x:t>
        </x:is>
      </x:c>
      <x:c r="C43" s="2" t="inlineStr">
        <x:is>
          <x:t xml:space="preserve">No: managers handle issues individually; escalation is rare or avoided.</x:t>
        </x:is>
      </x:c>
      <x:c r="D43" t="n">
        <x:v>0</x:v>
      </x:c>
      <x:c r="E43" t="inlineStr">
        <x:is>
          <x:t xml:space="preserve">culture_risk</x:t>
        </x:is>
      </x:c>
      <x:c r="F43" t="inlineStr">
        <x:is>
          <x:t xml:space="preserve">Culture Risk</x:t>
        </x:is>
      </x:c>
      <x:c r="G43" t="inlineStr">
        <x:is>
          <x:t xml:space="preserve">Design escalation pathways</x:t>
        </x:is>
      </x:c>
      <x:c r="H43" t="inlineStr">
        <x:is>
          <x:t xml:space="preserve">N</x:t>
        </x:is>
      </x:c>
      <x:c r="I43" s="2" t="inlineStr">
        <x:is>
          <x:t xml:space="preserve"/>
        </x:is>
      </x:c>
    </x:row>
    <x:row r="44" ht="45" customHeight="1">
      <x:c r="A44" t="inlineStr">
        <x:is>
          <x:t xml:space="preserve">HR-D3-Q09</x:t>
        </x:is>
      </x:c>
      <x:c r="B44" t="inlineStr">
        <x:is>
          <x:t xml:space="preserve">HR-D3-Q09-A2</x:t>
        </x:is>
      </x:c>
      <x:c r="C44" s="2" t="inlineStr">
        <x:is>
          <x:t xml:space="preserve">Ad-hoc: some escalate, others don’t; no shared guidance.</x:t>
        </x:is>
      </x:c>
      <x:c r="D44" t="n">
        <x:v>1</x:v>
      </x:c>
      <x:c r="E44" t="inlineStr">
        <x:is>
          <x:t xml:space="preserve">key_person_dependency</x:t>
        </x:is>
      </x:c>
      <x:c r="F44" t="inlineStr">
        <x:is>
          <x:t xml:space="preserve">Operating Model Gap</x:t>
        </x:is>
      </x:c>
      <x:c r="G44" t="inlineStr">
        <x:is>
          <x:t xml:space="preserve">Standardize guidance</x:t>
        </x:is>
      </x:c>
      <x:c r="H44" t="inlineStr">
        <x:is>
          <x:t xml:space="preserve">N</x:t>
        </x:is>
      </x:c>
      <x:c r="I44" s="2" t="inlineStr">
        <x:is>
          <x:t xml:space="preserve"/>
        </x:is>
      </x:c>
    </x:row>
    <x:row r="45" ht="45" customHeight="1">
      <x:c r="A45" t="inlineStr">
        <x:is>
          <x:t xml:space="preserve">HR-D3-Q09</x:t>
        </x:is>
      </x:c>
      <x:c r="B45" t="inlineStr">
        <x:is>
          <x:t xml:space="preserve">HR-D3-Q09-A3</x:t>
        </x:is>
      </x:c>
      <x:c r="C45" s="2" t="inlineStr">
        <x:is>
          <x:t xml:space="preserve">Defined: guidance exists but training is limited.</x:t>
        </x:is>
      </x:c>
      <x:c r="D45" t="n">
        <x:v>2</x:v>
      </x:c>
      <x:c r="E45" t="inlineStr">
        <x:is>
          <x:t xml:space="preserve">paper_dragon_signal</x:t>
        </x:is>
      </x:c>
      <x:c r="F45" t="inlineStr">
        <x:is>
          <x:t xml:space="preserve">Paper Dragon</x:t>
        </x:is>
      </x:c>
      <x:c r="G45" t="inlineStr">
        <x:is>
          <x:t xml:space="preserve">Expand training</x:t>
        </x:is>
      </x:c>
      <x:c r="H45" t="inlineStr">
        <x:is>
          <x:t xml:space="preserve">N</x:t>
        </x:is>
      </x:c>
      <x:c r="I45" s="2" t="inlineStr">
        <x:is>
          <x:t xml:space="preserve">Evidence: guidance doc.</x:t>
        </x:is>
      </x:c>
    </x:row>
    <x:row r="46" ht="45" customHeight="1">
      <x:c r="A46" t="inlineStr">
        <x:is>
          <x:t xml:space="preserve">HR-D3-Q09</x:t>
        </x:is>
      </x:c>
      <x:c r="B46" t="inlineStr">
        <x:is>
          <x:t xml:space="preserve">HR-D3-Q09-A4</x:t>
        </x:is>
      </x:c>
      <x:c r="C46" s="2" t="inlineStr">
        <x:is>
          <x:t xml:space="preserve">Trained: managers receive training and use a clear escalation path.</x:t>
        </x:is>
      </x:c>
      <x:c r="D46" t="n">
        <x:v>3</x:v>
      </x:c>
      <x:c r="E46" t="inlineStr">
        <x:is>
          <x:t xml:space="preserve"/>
        </x:is>
      </x:c>
      <x:c r="F46" t="inlineStr">
        <x:is>
          <x:t xml:space="preserve">Culture Risk</x:t>
        </x:is>
      </x:c>
      <x:c r="G46" t="inlineStr">
        <x:is>
          <x:t xml:space="preserve">Maintain training cadence</x:t>
        </x:is>
      </x:c>
      <x:c r="H46" t="inlineStr">
        <x:is>
          <x:t xml:space="preserve">N</x:t>
        </x:is>
      </x:c>
      <x:c r="I46" s="2" t="inlineStr">
        <x:is>
          <x:t xml:space="preserve">Evidence: training completion.</x:t>
        </x:is>
      </x:c>
    </x:row>
    <x:row r="47" ht="45" customHeight="1">
      <x:c r="A47" t="inlineStr">
        <x:is>
          <x:t xml:space="preserve">HR-D3-Q09</x:t>
        </x:is>
      </x:c>
      <x:c r="B47" t="inlineStr">
        <x:is>
          <x:t xml:space="preserve">HR-D3-Q09-A5</x:t>
        </x:is>
      </x:c>
      <x:c r="C47" s="2" t="inlineStr">
        <x:is>
          <x:t xml:space="preserve">Embedded: escalation expectations in manager KPIs; audited for consistency.</x:t>
        </x:is>
      </x:c>
      <x:c r="D47" t="n">
        <x:v>4</x:v>
      </x:c>
      <x:c r="E47" t="inlineStr">
        <x:is>
          <x:t xml:space="preserve"/>
        </x:is>
      </x:c>
      <x:c r="F47" t="inlineStr">
        <x:is>
          <x:t xml:space="preserve">Culture Risk</x:t>
        </x:is>
      </x:c>
      <x:c r="G47" t="inlineStr">
        <x:is>
          <x:t xml:space="preserve">Maintain assurance</x:t>
        </x:is>
      </x:c>
      <x:c r="H47" t="inlineStr">
        <x:is>
          <x:t xml:space="preserve">N</x:t>
        </x:is>
      </x:c>
      <x:c r="I47" s="2" t="inlineStr">
        <x:is>
          <x:t xml:space="preserve">Evidence: KPI or audit outputs.</x:t>
        </x:is>
      </x:c>
    </x:row>
    <x:row r="48" ht="45" customHeight="1">
      <x:c r="A48" t="inlineStr">
        <x:is>
          <x:t xml:space="preserve">HR-D3-Q10</x:t>
        </x:is>
      </x:c>
      <x:c r="B48" t="inlineStr">
        <x:is>
          <x:t xml:space="preserve">HR-D3-Q10-A1</x:t>
        </x:is>
      </x:c>
      <x:c r="C48" s="2" t="inlineStr">
        <x:is>
          <x:t xml:space="preserve">No: escalation unclear; handled locally or ignored.</x:t>
        </x:is>
      </x:c>
      <x:c r="D48" t="n">
        <x:v>0</x:v>
      </x:c>
      <x:c r="E48" t="inlineStr">
        <x:is>
          <x:t xml:space="preserve">culture_risk</x:t>
        </x:is>
      </x:c>
      <x:c r="F48" t="inlineStr">
        <x:is>
          <x:t xml:space="preserve">Operating Model Gap</x:t>
        </x:is>
      </x:c>
      <x:c r="G48" t="inlineStr">
        <x:is>
          <x:t xml:space="preserve">Define escalation route</x:t>
        </x:is>
      </x:c>
      <x:c r="H48" t="inlineStr">
        <x:is>
          <x:t xml:space="preserve">N</x:t>
        </x:is>
      </x:c>
      <x:c r="I48" s="2" t="inlineStr">
        <x:is>
          <x:t xml:space="preserve"/>
        </x:is>
      </x:c>
    </x:row>
    <x:row r="49" ht="45" customHeight="1">
      <x:c r="A49" t="inlineStr">
        <x:is>
          <x:t xml:space="preserve">HR-D3-Q10</x:t>
        </x:is>
      </x:c>
      <x:c r="B49" t="inlineStr">
        <x:is>
          <x:t xml:space="preserve">HR-D3-Q10-A2</x:t>
        </x:is>
      </x:c>
      <x:c r="C49" s="2" t="inlineStr">
        <x:is>
          <x:t xml:space="preserve">Sometimes: depends on networks; not documented.</x:t>
        </x:is>
      </x:c>
      <x:c r="D49" t="n">
        <x:v>1</x:v>
      </x:c>
      <x:c r="E49" t="inlineStr">
        <x:is>
          <x:t xml:space="preserve">key_person_dependency,shadow_mature_signal</x:t>
        </x:is>
      </x:c>
      <x:c r="F49" t="inlineStr">
        <x:is>
          <x:t xml:space="preserve">Operating Model Gap</x:t>
        </x:is>
      </x:c>
      <x:c r="G49" t="inlineStr">
        <x:is>
          <x:t xml:space="preserve">Document and socialize path</x:t>
        </x:is>
      </x:c>
      <x:c r="H49" t="inlineStr">
        <x:is>
          <x:t xml:space="preserve">N</x:t>
        </x:is>
      </x:c>
      <x:c r="I49" s="2" t="inlineStr">
        <x:is>
          <x:t xml:space="preserve"/>
        </x:is>
      </x:c>
    </x:row>
    <x:row r="50" ht="45" customHeight="1">
      <x:c r="A50" t="inlineStr">
        <x:is>
          <x:t xml:space="preserve">HR-D3-Q10</x:t>
        </x:is>
      </x:c>
      <x:c r="B50" t="inlineStr">
        <x:is>
          <x:t xml:space="preserve">HR-D3-Q10-A3</x:t>
        </x:is>
      </x:c>
      <x:c r="C50" s="2" t="inlineStr">
        <x:is>
          <x:t xml:space="preserve">Yes, usually: managers know contacts and escalate within a reasonable time.</x:t>
        </x:is>
      </x:c>
      <x:c r="D50" t="n">
        <x:v>2</x:v>
      </x:c>
      <x:c r="E50" t="inlineStr">
        <x:is>
          <x:t xml:space="preserve">shadow_mature_signal</x:t>
        </x:is>
      </x:c>
      <x:c r="F50" t="inlineStr">
        <x:is>
          <x:t xml:space="preserve">Operating Model Gap</x:t>
        </x:is>
      </x:c>
      <x:c r="G50" t="inlineStr">
        <x:is>
          <x:t xml:space="preserve">Formalize and measure</x:t>
        </x:is>
      </x:c>
      <x:c r="H50" t="inlineStr">
        <x:is>
          <x:t xml:space="preserve">N</x:t>
        </x:is>
      </x:c>
      <x:c r="I50" s="2" t="inlineStr">
        <x:is>
          <x:t xml:space="preserve">Typical time to escalate.</x:t>
        </x:is>
      </x:c>
    </x:row>
    <x:row r="51" ht="45" customHeight="1">
      <x:c r="A51" t="inlineStr">
        <x:is>
          <x:t xml:space="preserve">HR-D3-Q10</x:t>
        </x:is>
      </x:c>
      <x:c r="B51" t="inlineStr">
        <x:is>
          <x:t xml:space="preserve">HR-D3-Q10-A4</x:t>
        </x:is>
      </x:c>
      <x:c r="C51" s="2" t="inlineStr">
        <x:is>
          <x:t xml:space="preserve">Yes, consistently: escalation is used and tracked (without over-monitoring).</x:t>
        </x:is>
      </x:c>
      <x:c r="D51" t="n">
        <x:v>3</x:v>
      </x:c>
      <x:c r="E51" t="inlineStr">
        <x:is>
          <x:t xml:space="preserve"/>
        </x:is>
      </x:c>
      <x:c r="F51" t="inlineStr">
        <x:is>
          <x:t xml:space="preserve">Operating Model Gap</x:t>
        </x:is>
      </x:c>
      <x:c r="G51" t="inlineStr">
        <x:is>
          <x:t xml:space="preserve">Maintain tracking</x:t>
        </x:is>
      </x:c>
      <x:c r="H51" t="inlineStr">
        <x:is>
          <x:t xml:space="preserve">N</x:t>
        </x:is>
      </x:c>
      <x:c r="I51" s="2" t="inlineStr">
        <x:is>
          <x:t xml:space="preserve">Evidence: anonymized escalation metrics.</x:t>
        </x:is>
      </x:c>
    </x:row>
    <x:row r="52" ht="45" customHeight="1">
      <x:c r="A52" t="inlineStr">
        <x:is>
          <x:t xml:space="preserve">HR-D3-Q11</x:t>
        </x:is>
      </x:c>
      <x:c r="B52" t="inlineStr">
        <x:is>
          <x:t xml:space="preserve">HR-D3-Q11-A1</x:t>
        </x:is>
      </x:c>
      <x:c r="C52" s="2" t="inlineStr">
        <x:is>
          <x:t xml:space="preserve">No measurement; leadership relies on anecdotes.</x:t>
        </x:is>
      </x:c>
      <x:c r="D52" t="n">
        <x:v>0</x:v>
      </x:c>
      <x:c r="E52" t="inlineStr">
        <x:is>
          <x:t xml:space="preserve">culture_risk</x:t>
        </x:is>
      </x:c>
      <x:c r="F52" t="inlineStr">
        <x:is>
          <x:t xml:space="preserve">Culture Risk</x:t>
        </x:is>
      </x:c>
      <x:c r="G52" t="inlineStr">
        <x:is>
          <x:t xml:space="preserve">Introduce measurement</x:t>
        </x:is>
      </x:c>
      <x:c r="H52" t="inlineStr">
        <x:is>
          <x:t xml:space="preserve">N</x:t>
        </x:is>
      </x:c>
      <x:c r="I52" s="2" t="inlineStr">
        <x:is>
          <x:t xml:space="preserve"/>
        </x:is>
      </x:c>
    </x:row>
    <x:row r="53" ht="45" customHeight="1">
      <x:c r="A53" t="inlineStr">
        <x:is>
          <x:t xml:space="preserve">HR-D3-Q11</x:t>
        </x:is>
      </x:c>
      <x:c r="B53" t="inlineStr">
        <x:is>
          <x:t xml:space="preserve">HR-D3-Q11-A2</x:t>
        </x:is>
      </x:c>
      <x:c r="C53" s="2" t="inlineStr">
        <x:is>
          <x:t xml:space="preserve">Occasional survey; results not acted on.</x:t>
        </x:is>
      </x:c>
      <x:c r="D53" t="n">
        <x:v>1</x:v>
      </x:c>
      <x:c r="E53" t="inlineStr">
        <x:is>
          <x:t xml:space="preserve">paper_dragon_signal</x:t>
        </x:is>
      </x:c>
      <x:c r="F53" t="inlineStr">
        <x:is>
          <x:t xml:space="preserve">Paper Dragon</x:t>
        </x:is>
      </x:c>
      <x:c r="G53" t="inlineStr">
        <x:is>
          <x:t xml:space="preserve">Create action plan cycle</x:t>
        </x:is>
      </x:c>
      <x:c r="H53" t="inlineStr">
        <x:is>
          <x:t xml:space="preserve">N</x:t>
        </x:is>
      </x:c>
      <x:c r="I53" s="2" t="inlineStr">
        <x:is>
          <x:t xml:space="preserve">Evidence: last survey date.</x:t>
        </x:is>
      </x:c>
    </x:row>
    <x:row r="54" ht="45" customHeight="1">
      <x:c r="A54" t="inlineStr">
        <x:is>
          <x:t xml:space="preserve">HR-D3-Q11</x:t>
        </x:is>
      </x:c>
      <x:c r="B54" t="inlineStr">
        <x:is>
          <x:t xml:space="preserve">HR-D3-Q11-A3</x:t>
        </x:is>
      </x:c>
      <x:c r="C54" s="2" t="inlineStr">
        <x:is>
          <x:t xml:space="preserve">Regular survey; some actions taken; follow-through varies.</x:t>
        </x:is>
      </x:c>
      <x:c r="D54" t="n">
        <x:v>2</x:v>
      </x:c>
      <x:c r="E54" t="inlineStr">
        <x:is>
          <x:t xml:space="preserve"/>
        </x:is>
      </x:c>
      <x:c r="F54" t="inlineStr">
        <x:is>
          <x:t xml:space="preserve">Culture Risk</x:t>
        </x:is>
      </x:c>
      <x:c r="G54" t="inlineStr">
        <x:is>
          <x:t xml:space="preserve">Strengthen action tracking</x:t>
        </x:is>
      </x:c>
      <x:c r="H54" t="inlineStr">
        <x:is>
          <x:t xml:space="preserve">N</x:t>
        </x:is>
      </x:c>
      <x:c r="I54" s="2" t="inlineStr">
        <x:is>
          <x:t xml:space="preserve">Evidence: action plan examples.</x:t>
        </x:is>
      </x:c>
    </x:row>
    <x:row r="55" ht="45" customHeight="1">
      <x:c r="A55" t="inlineStr">
        <x:is>
          <x:t xml:space="preserve">HR-D3-Q11</x:t>
        </x:is>
      </x:c>
      <x:c r="B55" t="inlineStr">
        <x:is>
          <x:t xml:space="preserve">HR-D3-Q11-A4</x:t>
        </x:is>
      </x:c>
      <x:c r="C55" s="2" t="inlineStr">
        <x:is>
          <x:t xml:space="preserve">Measured + managed: results drive actions and progress is communicated.</x:t>
        </x:is>
      </x:c>
      <x:c r="D55" t="n">
        <x:v>3</x:v>
      </x:c>
      <x:c r="E55" t="inlineStr">
        <x:is>
          <x:t xml:space="preserve"/>
        </x:is>
      </x:c>
      <x:c r="F55" t="inlineStr">
        <x:is>
          <x:t xml:space="preserve">Culture Risk</x:t>
        </x:is>
      </x:c>
      <x:c r="G55" t="inlineStr">
        <x:is>
          <x:t xml:space="preserve">Maintain cadence</x:t>
        </x:is>
      </x:c>
      <x:c r="H55" t="inlineStr">
        <x:is>
          <x:t xml:space="preserve">N</x:t>
        </x:is>
      </x:c>
      <x:c r="I55" s="2" t="inlineStr">
        <x:is>
          <x:t xml:space="preserve">Evidence: action tracker.</x:t>
        </x:is>
      </x:c>
    </x:row>
    <x:row r="56" ht="45" customHeight="1">
      <x:c r="A56" t="inlineStr">
        <x:is>
          <x:t xml:space="preserve">HR-D3-Q11</x:t>
        </x:is>
      </x:c>
      <x:c r="B56" t="inlineStr">
        <x:is>
          <x:t xml:space="preserve">HR-D3-Q11-A5</x:t>
        </x:is>
      </x:c>
      <x:c r="C56" s="2" t="inlineStr">
        <x:is>
          <x:t xml:space="preserve">Optimized: metrics tied to leadership objectives and continuous improvement.</x:t>
        </x:is>
      </x:c>
      <x:c r="D56" t="n">
        <x:v>4</x:v>
      </x:c>
      <x:c r="E56" t="inlineStr">
        <x:is>
          <x:t xml:space="preserve"/>
        </x:is>
      </x:c>
      <x:c r="F56" t="inlineStr">
        <x:is>
          <x:t xml:space="preserve">Culture Risk</x:t>
        </x:is>
      </x:c>
      <x:c r="G56" t="inlineStr">
        <x:is>
          <x:t xml:space="preserve">Maintain maturity</x:t>
        </x:is>
      </x:c>
      <x:c r="H56" t="inlineStr">
        <x:is>
          <x:t xml:space="preserve">N</x:t>
        </x:is>
      </x:c>
      <x:c r="I56" s="2" t="inlineStr">
        <x:is>
          <x:t xml:space="preserve">Evidence: KPI trends.</x:t>
        </x:is>
      </x:c>
    </x:row>
    <x:row r="57" ht="45" customHeight="1">
      <x:c r="A57" t="inlineStr">
        <x:is>
          <x:t xml:space="preserve">HR-D3-Q12</x:t>
        </x:is>
      </x:c>
      <x:c r="B57" t="inlineStr">
        <x:is>
          <x:t xml:space="preserve">HR-D3-Q12-A1</x:t>
        </x:is>
      </x:c>
      <x:c r="C57" s="2" t="inlineStr">
        <x:is>
          <x:t xml:space="preserve">Punitive: only bad behavior highlighted; people avoid reporting.</x:t>
        </x:is>
      </x:c>
      <x:c r="D57" t="n">
        <x:v>0</x:v>
      </x:c>
      <x:c r="E57" t="inlineStr">
        <x:is>
          <x:t xml:space="preserve">toxic_enforcer_signal,culture_risk</x:t>
        </x:is>
      </x:c>
      <x:c r="F57" t="inlineStr">
        <x:is>
          <x:t xml:space="preserve">Culture Risk</x:t>
        </x:is>
      </x:c>
      <x:c r="G57" t="inlineStr">
        <x:is>
          <x:t xml:space="preserve">Shift to positive reinforcement</x:t>
        </x:is>
      </x:c>
      <x:c r="H57" t="inlineStr">
        <x:is>
          <x:t xml:space="preserve">N</x:t>
        </x:is>
      </x:c>
      <x:c r="I57" s="2" t="inlineStr">
        <x:is>
          <x:t xml:space="preserve"/>
        </x:is>
      </x:c>
    </x:row>
    <x:row r="58" ht="45" customHeight="1">
      <x:c r="A58" t="inlineStr">
        <x:is>
          <x:t xml:space="preserve">HR-D3-Q12</x:t>
        </x:is>
      </x:c>
      <x:c r="B58" t="inlineStr">
        <x:is>
          <x:t xml:space="preserve">HR-D3-Q12-A2</x:t>
        </x:is>
      </x:c>
      <x:c r="C58" s="2" t="inlineStr">
        <x:is>
          <x:t xml:space="preserve">Informal thanks by managers; no consistent approach.</x:t>
        </x:is>
      </x:c>
      <x:c r="D58" t="n">
        <x:v>1</x:v>
      </x:c>
      <x:c r="E58" t="inlineStr">
        <x:is>
          <x:t xml:space="preserve">key_person_dependency</x:t>
        </x:is>
      </x:c>
      <x:c r="F58" t="inlineStr">
        <x:is>
          <x:t xml:space="preserve">Culture Risk</x:t>
        </x:is>
      </x:c>
      <x:c r="G58" t="inlineStr">
        <x:is>
          <x:t xml:space="preserve">Create lightweight recognition</x:t>
        </x:is>
      </x:c>
      <x:c r="H58" t="inlineStr">
        <x:is>
          <x:t xml:space="preserve">N</x:t>
        </x:is>
      </x:c>
      <x:c r="I58" s="2" t="inlineStr">
        <x:is>
          <x:t xml:space="preserve"/>
        </x:is>
      </x:c>
    </x:row>
    <x:row r="59" ht="45" customHeight="1">
      <x:c r="A59" t="inlineStr">
        <x:is>
          <x:t xml:space="preserve">HR-D3-Q12</x:t>
        </x:is>
      </x:c>
      <x:c r="B59" t="inlineStr">
        <x:is>
          <x:t xml:space="preserve">HR-D3-Q12-A3</x:t>
        </x:is>
      </x:c>
      <x:c r="C59" s="2" t="inlineStr">
        <x:is>
          <x:t xml:space="preserve">Campaigns exist but limited ongoing reinforcement.</x:t>
        </x:is>
      </x:c>
      <x:c r="D59" t="n">
        <x:v>2</x:v>
      </x:c>
      <x:c r="E59" t="inlineStr">
        <x:is>
          <x:t xml:space="preserve">paper_dragon_signal</x:t>
        </x:is>
      </x:c>
      <x:c r="F59" t="inlineStr">
        <x:is>
          <x:t xml:space="preserve">Paper Dragon</x:t>
        </x:is>
      </x:c>
      <x:c r="G59" t="inlineStr">
        <x:is>
          <x:t xml:space="preserve">Build continuous reinforcement</x:t>
        </x:is>
      </x:c>
      <x:c r="H59" t="inlineStr">
        <x:is>
          <x:t xml:space="preserve">N</x:t>
        </x:is>
      </x:c>
      <x:c r="I59" s="2" t="inlineStr">
        <x:is>
          <x:t xml:space="preserve"/>
        </x:is>
      </x:c>
    </x:row>
    <x:row r="60" ht="45" customHeight="1">
      <x:c r="A60" t="inlineStr">
        <x:is>
          <x:t xml:space="preserve">HR-D3-Q12</x:t>
        </x:is>
      </x:c>
      <x:c r="B60" t="inlineStr">
        <x:is>
          <x:t xml:space="preserve">HR-D3-Q12-A4</x:t>
        </x:is>
      </x:c>
      <x:c r="C60" s="2" t="inlineStr">
        <x:is>
          <x:t xml:space="preserve">Formal recognition for reporting concerns/near-misses; lessons shared.</x:t>
        </x:is>
      </x:c>
      <x:c r="D60" t="n">
        <x:v>3</x:v>
      </x:c>
      <x:c r="E60" t="inlineStr">
        <x:is>
          <x:t xml:space="preserve"/>
        </x:is>
      </x:c>
      <x:c r="F60" t="inlineStr">
        <x:is>
          <x:t xml:space="preserve">Culture Risk</x:t>
        </x:is>
      </x:c>
      <x:c r="G60" t="inlineStr">
        <x:is>
          <x:t xml:space="preserve">Maintain and measure</x:t>
        </x:is>
      </x:c>
      <x:c r="H60" t="inlineStr">
        <x:is>
          <x:t xml:space="preserve">N</x:t>
        </x:is>
      </x:c>
      <x:c r="I60" s="2" t="inlineStr">
        <x:is>
          <x:t xml:space="preserve">Evidence: comms examples.</x:t>
        </x:is>
      </x:c>
    </x:row>
    <x:row r="61" ht="45" customHeight="1">
      <x:c r="A61" t="inlineStr">
        <x:is>
          <x:t xml:space="preserve">HR-D3-Q12</x:t>
        </x:is>
      </x:c>
      <x:c r="B61" t="inlineStr">
        <x:is>
          <x:t xml:space="preserve">HR-D3-Q12-A5</x:t>
        </x:is>
      </x:c>
      <x:c r="C61" s="2" t="inlineStr">
        <x:is>
          <x:t xml:space="preserve">Mutual accountability; reporting is normal and psychologically safe.</x:t>
        </x:is>
      </x:c>
      <x:c r="D61" t="n">
        <x:v>4</x:v>
      </x:c>
      <x:c r="E61" t="inlineStr">
        <x:is>
          <x:t xml:space="preserve"/>
        </x:is>
      </x:c>
      <x:c r="F61" t="inlineStr">
        <x:is>
          <x:t xml:space="preserve">Culture Risk</x:t>
        </x:is>
      </x:c>
      <x:c r="G61" t="inlineStr">
        <x:is>
          <x:t xml:space="preserve">Maintain maturity</x:t>
        </x:is>
      </x:c>
      <x:c r="H61" t="inlineStr">
        <x:is>
          <x:t xml:space="preserve">N</x:t>
        </x:is>
      </x:c>
      <x:c r="I61" s="2" t="inlineStr">
        <x:is>
          <x:t xml:space="preserve">Evidence: survey + reporting trends.</x:t>
        </x:is>
      </x:c>
    </x:row>
    <x:row r="62" ht="45" customHeight="1">
      <x:c r="A62" t="inlineStr">
        <x:is>
          <x:t xml:space="preserve">HR-D4-Q13</x:t>
        </x:is>
      </x:c>
      <x:c r="B62" t="inlineStr">
        <x:is>
          <x:t xml:space="preserve">HR-D4-Q13-A0</x:t>
        </x:is>
      </x:c>
      <x:c r="C62" s="2" t="inlineStr">
        <x:is>
          <x:t xml:space="preserve">I don't know / Not sure.</x:t>
        </x:is>
      </x:c>
      <x:c r="D62" t="n">
        <x:v>0</x:v>
      </x:c>
      <x:c r="E62" t="inlineStr">
        <x:is>
          <x:t xml:space="preserve">low-confidence</x:t>
        </x:is>
      </x:c>
      <x:c r="F62" t="inlineStr">
        <x:is>
          <x:t xml:space="preserve">Operating Model Gap</x:t>
        </x:is>
      </x:c>
      <x:c r="G62" t="inlineStr">
        <x:is>
          <x:t xml:space="preserve">Clarify JML process</x:t>
        </x:is>
      </x:c>
      <x:c r="H62" t="inlineStr">
        <x:is>
          <x:t xml:space="preserve">N</x:t>
        </x:is>
      </x:c>
      <x:c r="I62" s="2" t="inlineStr">
        <x:is>
          <x:t xml:space="preserve"/>
        </x:is>
      </x:c>
    </x:row>
    <x:row r="63" ht="45" customHeight="1">
      <x:c r="A63" t="inlineStr">
        <x:is>
          <x:t xml:space="preserve">HR-D4-Q13</x:t>
        </x:is>
      </x:c>
      <x:c r="B63" t="inlineStr">
        <x:is>
          <x:t xml:space="preserve">HR-D4-Q13-A1</x:t>
        </x:is>
      </x:c>
      <x:c r="C63" s="2" t="inlineStr">
        <x:is>
          <x:t xml:space="preserve">Unreliable: access often stays too long or changes are missed.</x:t>
        </x:is>
      </x:c>
      <x:c r="D63" t="n">
        <x:v>0</x:v>
      </x:c>
      <x:c r="E63" t="inlineStr">
        <x:is>
          <x:t xml:space="preserve">control_lag,bypass_pressure</x:t>
        </x:is>
      </x:c>
      <x:c r="F63" t="inlineStr">
        <x:is>
          <x:t xml:space="preserve">Control Lag</x:t>
        </x:is>
      </x:c>
      <x:c r="G63" t="inlineStr">
        <x:is>
          <x:t xml:space="preserve">Stabilize JML</x:t>
        </x:is>
      </x:c>
      <x:c r="H63" t="inlineStr">
        <x:is>
          <x:t xml:space="preserve">N</x:t>
        </x:is>
      </x:c>
      <x:c r="I63" s="2" t="inlineStr">
        <x:is>
          <x:t xml:space="preserve"/>
        </x:is>
      </x:c>
    </x:row>
    <x:row r="64" ht="45" customHeight="1">
      <x:c r="A64" t="inlineStr">
        <x:is>
          <x:t xml:space="preserve">HR-D4-Q13</x:t>
        </x:is>
      </x:c>
      <x:c r="B64" t="inlineStr">
        <x:is>
          <x:t xml:space="preserve">HR-D4-Q13-A2</x:t>
        </x:is>
      </x:c>
      <x:c r="C64" s="2" t="inlineStr">
        <x:is>
          <x:t xml:space="preserve">Basic: HR notifies IT by email/spreadsheet; timeliness varies.</x:t>
        </x:is>
      </x:c>
      <x:c r="D64" t="n">
        <x:v>1</x:v>
      </x:c>
      <x:c r="E64" t="inlineStr">
        <x:is>
          <x:t xml:space="preserve">shadow_mature_signal</x:t>
        </x:is>
      </x:c>
      <x:c r="F64" t="inlineStr">
        <x:is>
          <x:t xml:space="preserve">Operating Model Gap</x:t>
        </x:is>
      </x:c>
      <x:c r="G64" t="inlineStr">
        <x:is>
          <x:t xml:space="preserve">Standardize and track</x:t>
        </x:is>
      </x:c>
      <x:c r="H64" t="inlineStr">
        <x:is>
          <x:t xml:space="preserve">N</x:t>
        </x:is>
      </x:c>
      <x:c r="I64" s="2" t="inlineStr">
        <x:is>
          <x:t xml:space="preserve"/>
        </x:is>
      </x:c>
    </x:row>
    <x:row r="65" ht="45" customHeight="1">
      <x:c r="A65" t="inlineStr">
        <x:is>
          <x:t xml:space="preserve">HR-D4-Q13</x:t>
        </x:is>
      </x:c>
      <x:c r="B65" t="inlineStr">
        <x:is>
          <x:t xml:space="preserve">HR-D4-Q13-A3</x:t>
        </x:is>
      </x:c>
      <x:c r="C65" s="2" t="inlineStr">
        <x:is>
          <x:t xml:space="preserve">Defined: standard forms/HRIS triggers; most changes processed within days.</x:t>
        </x:is>
      </x:c>
      <x:c r="D65" t="n">
        <x:v>2</x:v>
      </x:c>
      <x:c r="E65" t="inlineStr">
        <x:is>
          <x:t xml:space="preserve"/>
        </x:is>
      </x:c>
      <x:c r="F65" t="inlineStr">
        <x:is>
          <x:t xml:space="preserve">Operating Model Gap</x:t>
        </x:is>
      </x:c>
      <x:c r="G65" t="inlineStr">
        <x:is>
          <x:t xml:space="preserve">Improve SLAs</x:t>
        </x:is>
      </x:c>
      <x:c r="H65" t="inlineStr">
        <x:is>
          <x:t xml:space="preserve">N</x:t>
        </x:is>
      </x:c>
      <x:c r="I65" s="2" t="inlineStr">
        <x:is>
          <x:t xml:space="preserve">Evidence: process or SLA.</x:t>
        </x:is>
      </x:c>
    </x:row>
    <x:row r="66" ht="45" customHeight="1">
      <x:c r="A66" t="inlineStr">
        <x:is>
          <x:t xml:space="preserve">HR-D4-Q13</x:t>
        </x:is>
      </x:c>
      <x:c r="B66" t="inlineStr">
        <x:is>
          <x:t xml:space="preserve">HR-D4-Q13-A4</x:t>
        </x:is>
      </x:c>
      <x:c r="C66" s="2" t="inlineStr">
        <x:is>
          <x:t xml:space="preserve">Managed: SLAs monitored; leaver removal time-bound and audited.</x:t>
        </x:is>
      </x:c>
      <x:c r="D66" t="n">
        <x:v>3</x:v>
      </x:c>
      <x:c r="E66" t="inlineStr">
        <x:is>
          <x:t xml:space="preserve"/>
        </x:is>
      </x:c>
      <x:c r="F66" t="inlineStr">
        <x:is>
          <x:t xml:space="preserve">Operating Model Gap</x:t>
        </x:is>
      </x:c>
      <x:c r="G66" t="inlineStr">
        <x:is>
          <x:t xml:space="preserve">Maintain assurance</x:t>
        </x:is>
      </x:c>
      <x:c r="H66" t="inlineStr">
        <x:is>
          <x:t xml:space="preserve">N</x:t>
        </x:is>
      </x:c>
      <x:c r="I66" s="2" t="inlineStr">
        <x:is>
          <x:t xml:space="preserve">Evidence: audit sample.</x:t>
        </x:is>
      </x:c>
    </x:row>
    <x:row r="67" ht="45" customHeight="1">
      <x:c r="A67" t="inlineStr">
        <x:is>
          <x:t xml:space="preserve">HR-D4-Q13</x:t>
        </x:is>
      </x:c>
      <x:c r="B67" t="inlineStr">
        <x:is>
          <x:t xml:space="preserve">HR-D4-Q13-A5</x:t>
        </x:is>
      </x:c>
      <x:c r="C67" s="2" t="inlineStr">
        <x:is>
          <x:t xml:space="preserve">Optimized: near-real-time updates for critical roles; exceptions controlled.</x:t>
        </x:is>
      </x:c>
      <x:c r="D67" t="n">
        <x:v>4</x:v>
      </x:c>
      <x:c r="E67" t="inlineStr">
        <x:is>
          <x:t xml:space="preserve"/>
        </x:is>
      </x:c>
      <x:c r="F67" t="inlineStr">
        <x:is>
          <x:t xml:space="preserve">Operating Model Gap</x:t>
        </x:is>
      </x:c>
      <x:c r="G67" t="inlineStr">
        <x:is>
          <x:t xml:space="preserve">Maintain maturity</x:t>
        </x:is>
      </x:c>
      <x:c r="H67" t="inlineStr">
        <x:is>
          <x:t xml:space="preserve">N</x:t>
        </x:is>
      </x:c>
      <x:c r="I67" s="2" t="inlineStr">
        <x:is>
          <x:t xml:space="preserve">Evidence: timeliness metrics.</x:t>
        </x:is>
      </x:c>
    </x:row>
    <x:row r="68" ht="45" customHeight="1">
      <x:c r="A68" t="inlineStr">
        <x:is>
          <x:t xml:space="preserve">HR-D4-Q14</x:t>
        </x:is>
      </x:c>
      <x:c r="B68" t="inlineStr">
        <x:is>
          <x:t xml:space="preserve">HR-D4-Q14-A1</x:t>
        </x:is>
      </x:c>
      <x:c r="C68" s="2" t="inlineStr">
        <x:is>
          <x:t xml:space="preserve">Not reliable; depends on someone noticing.</x:t>
        </x:is>
      </x:c>
      <x:c r="D68" t="n">
        <x:v>0</x:v>
      </x:c>
      <x:c r="E68" t="inlineStr">
        <x:is>
          <x:t xml:space="preserve">control_lag</x:t>
        </x:is>
      </x:c>
      <x:c r="F68" t="inlineStr">
        <x:is>
          <x:t xml:space="preserve">Control Lag</x:t>
        </x:is>
      </x:c>
      <x:c r="G68" t="inlineStr">
        <x:is>
          <x:t xml:space="preserve">Implement leaver checklist</x:t>
        </x:is>
      </x:c>
      <x:c r="H68" t="inlineStr">
        <x:is>
          <x:t xml:space="preserve">N</x:t>
        </x:is>
      </x:c>
      <x:c r="I68" s="2" t="inlineStr">
        <x:is>
          <x:t xml:space="preserve"/>
        </x:is>
      </x:c>
    </x:row>
    <x:row r="69" ht="45" customHeight="1">
      <x:c r="A69" t="inlineStr">
        <x:is>
          <x:t xml:space="preserve">HR-D4-Q14</x:t>
        </x:is>
      </x:c>
      <x:c r="B69" t="inlineStr">
        <x:is>
          <x:t xml:space="preserve">HR-D4-Q14-A2</x:t>
        </x:is>
      </x:c>
      <x:c r="C69" s="2" t="inlineStr">
        <x:is>
          <x:t xml:space="preserve">Managers/HR call IT when they remember; timing varies widely.</x:t>
        </x:is>
      </x:c>
      <x:c r="D69" t="n">
        <x:v>1</x:v>
      </x:c>
      <x:c r="E69" t="inlineStr">
        <x:is>
          <x:t xml:space="preserve">key_person_dependency,shadow_mature_signal</x:t>
        </x:is>
      </x:c>
      <x:c r="F69" t="inlineStr">
        <x:is>
          <x:t xml:space="preserve">Control Lag</x:t>
        </x:is>
      </x:c>
      <x:c r="G69" t="inlineStr">
        <x:is>
          <x:t xml:space="preserve">Create triggers and SLAs</x:t>
        </x:is>
      </x:c>
      <x:c r="H69" t="inlineStr">
        <x:is>
          <x:t xml:space="preserve">N</x:t>
        </x:is>
      </x:c>
      <x:c r="I69" s="2" t="inlineStr">
        <x:is>
          <x:t xml:space="preserve"/>
        </x:is>
      </x:c>
    </x:row>
    <x:row r="70" ht="45" customHeight="1">
      <x:c r="A70" t="inlineStr">
        <x:is>
          <x:t xml:space="preserve">HR-D4-Q14</x:t>
        </x:is>
      </x:c>
      <x:c r="B70" t="inlineStr">
        <x:is>
          <x:t xml:space="preserve">HR-D4-Q14-A3</x:t>
        </x:is>
      </x:c>
      <x:c r="C70" s="2" t="inlineStr">
        <x:is>
          <x:t xml:space="preserve">HR sends a daily/weekly leaver list; not always complete.</x:t>
        </x:is>
      </x:c>
      <x:c r="D70" t="n">
        <x:v>2</x:v>
      </x:c>
      <x:c r="E70" t="inlineStr">
        <x:is>
          <x:t xml:space="preserve"/>
        </x:is>
      </x:c>
      <x:c r="F70" t="inlineStr">
        <x:is>
          <x:t xml:space="preserve">Operating Model Gap</x:t>
        </x:is>
      </x:c>
      <x:c r="G70" t="inlineStr">
        <x:is>
          <x:t xml:space="preserve">Improve completeness</x:t>
        </x:is>
      </x:c>
      <x:c r="H70" t="inlineStr">
        <x:is>
          <x:t xml:space="preserve">N</x:t>
        </x:is>
      </x:c>
      <x:c r="I70" s="2" t="inlineStr">
        <x:is>
          <x:t xml:space="preserve">Evidence: sample leaver list.</x:t>
        </x:is>
      </x:c>
    </x:row>
    <x:row r="71" ht="45" customHeight="1">
      <x:c r="A71" t="inlineStr">
        <x:is>
          <x:t xml:space="preserve">HR-D4-Q14</x:t>
        </x:is>
      </x:c>
      <x:c r="B71" t="inlineStr">
        <x:is>
          <x:t xml:space="preserve">HR-D4-Q14-A4</x:t>
        </x:is>
      </x:c>
      <x:c r="C71" s="2" t="inlineStr">
        <x:is>
          <x:t xml:space="preserve">Consistent same-day/next-day removal for most cases.</x:t>
        </x:is>
      </x:c>
      <x:c r="D71" t="n">
        <x:v>3</x:v>
      </x:c>
      <x:c r="E71" t="inlineStr">
        <x:is>
          <x:t xml:space="preserve"/>
        </x:is>
      </x:c>
      <x:c r="F71" t="inlineStr">
        <x:is>
          <x:t xml:space="preserve">Operating Model Gap</x:t>
        </x:is>
      </x:c>
      <x:c r="G71" t="inlineStr">
        <x:is>
          <x:t xml:space="preserve">Formalize and audit</x:t>
        </x:is>
      </x:c>
      <x:c r="H71" t="inlineStr">
        <x:is>
          <x:t xml:space="preserve">N</x:t>
        </x:is>
      </x:c>
      <x:c r="I71" s="2" t="inlineStr">
        <x:is>
          <x:t xml:space="preserve">Evidence: ticket timestamps (redacted).</x:t>
        </x:is>
      </x:c>
    </x:row>
    <x:row r="72" ht="45" customHeight="1">
      <x:c r="A72" t="inlineStr">
        <x:is>
          <x:t xml:space="preserve">HR-D4-Q15</x:t>
        </x:is>
      </x:c>
      <x:c r="B72" t="inlineStr">
        <x:is>
          <x:t xml:space="preserve">HR-D4-Q15-A1</x:t>
        </x:is>
      </x:c>
      <x:c r="C72" s="2" t="inlineStr">
        <x:is>
          <x:t xml:space="preserve">No: all departures treated the same.</x:t>
        </x:is>
      </x:c>
      <x:c r="D72" t="n">
        <x:v>0</x:v>
      </x:c>
      <x:c r="E72" t="inlineStr">
        <x:is>
          <x:t xml:space="preserve">control_lag</x:t>
        </x:is>
      </x:c>
      <x:c r="F72" t="inlineStr">
        <x:is>
          <x:t xml:space="preserve">Control Lag</x:t>
        </x:is>
      </x:c>
      <x:c r="G72" t="inlineStr">
        <x:is>
          <x:t xml:space="preserve">Define risk-based leaver process</x:t>
        </x:is>
      </x:c>
      <x:c r="H72" t="inlineStr">
        <x:is>
          <x:t xml:space="preserve">N</x:t>
        </x:is>
      </x:c>
      <x:c r="I72" s="2" t="inlineStr">
        <x:is>
          <x:t xml:space="preserve"/>
        </x:is>
      </x:c>
    </x:row>
    <x:row r="73" ht="45" customHeight="1">
      <x:c r="A73" t="inlineStr">
        <x:is>
          <x:t xml:space="preserve">HR-D4-Q15</x:t>
        </x:is>
      </x:c>
      <x:c r="B73" t="inlineStr">
        <x:is>
          <x:t xml:space="preserve">HR-D4-Q15-A2</x:t>
        </x:is>
      </x:c>
      <x:c r="C73" s="2" t="inlineStr">
        <x:is>
          <x:t xml:space="preserve">Ad-hoc: extra checks sometimes happen; no criteria.</x:t>
        </x:is>
      </x:c>
      <x:c r="D73" t="n">
        <x:v>1</x:v>
      </x:c>
      <x:c r="E73" t="inlineStr">
        <x:is>
          <x:t xml:space="preserve">shadow_mature_signal</x:t>
        </x:is>
      </x:c>
      <x:c r="F73" t="inlineStr">
        <x:is>
          <x:t xml:space="preserve">Operating Model Gap</x:t>
        </x:is>
      </x:c>
      <x:c r="G73" t="inlineStr">
        <x:is>
          <x:t xml:space="preserve">Define criteria and approvals</x:t>
        </x:is>
      </x:c>
      <x:c r="H73" t="inlineStr">
        <x:is>
          <x:t xml:space="preserve">N</x:t>
        </x:is>
      </x:c>
      <x:c r="I73" s="2" t="inlineStr">
        <x:is>
          <x:t xml:space="preserve"/>
        </x:is>
      </x:c>
    </x:row>
    <x:row r="74" ht="45" customHeight="1">
      <x:c r="A74" t="inlineStr">
        <x:is>
          <x:t xml:space="preserve">HR-D4-Q15</x:t>
        </x:is>
      </x:c>
      <x:c r="B74" t="inlineStr">
        <x:is>
          <x:t xml:space="preserve">HR-D4-Q15-A3</x:t>
        </x:is>
      </x:c>
      <x:c r="C74" s="2" t="inlineStr">
        <x:is>
          <x:t xml:space="preserve">Criteria exist but execution inconsistent.</x:t>
        </x:is>
      </x:c>
      <x:c r="D74" t="n">
        <x:v>2</x:v>
      </x:c>
      <x:c r="E74" t="inlineStr">
        <x:is>
          <x:t xml:space="preserve">paper_dragon_signal</x:t>
        </x:is>
      </x:c>
      <x:c r="F74" t="inlineStr">
        <x:is>
          <x:t xml:space="preserve">Paper Dragon</x:t>
        </x:is>
      </x:c>
      <x:c r="G74" t="inlineStr">
        <x:is>
          <x:t xml:space="preserve">Improve adherence</x:t>
        </x:is>
      </x:c>
      <x:c r="H74" t="inlineStr">
        <x:is>
          <x:t xml:space="preserve">N</x:t>
        </x:is>
      </x:c>
      <x:c r="I74" s="2" t="inlineStr">
        <x:is>
          <x:t xml:space="preserve">Evidence: criteria list.</x:t>
        </x:is>
      </x:c>
    </x:row>
    <x:row r="75" ht="45" customHeight="1">
      <x:c r="A75" t="inlineStr">
        <x:is>
          <x:t xml:space="preserve">HR-D4-Q15</x:t>
        </x:is>
      </x:c>
      <x:c r="B75" t="inlineStr">
        <x:is>
          <x:t xml:space="preserve">HR-D4-Q15-A4</x:t>
        </x:is>
      </x:c>
      <x:c r="C75" s="2" t="inlineStr">
        <x:is>
          <x:t xml:space="preserve">Risk-based steps applied consistently and proportionately.</x:t>
        </x:is>
      </x:c>
      <x:c r="D75" t="n">
        <x:v>3</x:v>
      </x:c>
      <x:c r="E75" t="inlineStr">
        <x:is>
          <x:t xml:space="preserve"/>
        </x:is>
      </x:c>
      <x:c r="F75" t="inlineStr">
        <x:is>
          <x:t xml:space="preserve">Control Lag</x:t>
        </x:is>
      </x:c>
      <x:c r="G75" t="inlineStr">
        <x:is>
          <x:t xml:space="preserve">Maintain and audit</x:t>
        </x:is>
      </x:c>
      <x:c r="H75" t="inlineStr">
        <x:is>
          <x:t xml:space="preserve">N</x:t>
        </x:is>
      </x:c>
      <x:c r="I75" s="2" t="inlineStr">
        <x:is>
          <x:t xml:space="preserve">Evidence: checklist sample.</x:t>
        </x:is>
      </x:c>
    </x:row>
    <x:row r="76" ht="45" customHeight="1">
      <x:c r="A76" t="inlineStr">
        <x:is>
          <x:t xml:space="preserve">HR-D4-Q15</x:t>
        </x:is>
      </x:c>
      <x:c r="B76" t="inlineStr">
        <x:is>
          <x:t xml:space="preserve">HR-D4-Q15-A5</x:t>
        </x:is>
      </x:c>
      <x:c r="C76" s="2" t="inlineStr">
        <x:is>
          <x:t xml:space="preserve">Optimized: rapid access changes + comms + legal/privacy review when needed.</x:t>
        </x:is>
      </x:c>
      <x:c r="D76" t="n">
        <x:v>4</x:v>
      </x:c>
      <x:c r="E76" t="inlineStr">
        <x:is>
          <x:t xml:space="preserve"/>
        </x:is>
      </x:c>
      <x:c r="F76" t="inlineStr">
        <x:is>
          <x:t xml:space="preserve">Legal Exposure</x:t>
        </x:is>
      </x:c>
      <x:c r="G76" t="inlineStr">
        <x:is>
          <x:t xml:space="preserve">Maintain maturity</x:t>
        </x:is>
      </x:c>
      <x:c r="H76" t="inlineStr">
        <x:is>
          <x:t xml:space="preserve">N</x:t>
        </x:is>
      </x:c>
      <x:c r="I76" s="2" t="inlineStr">
        <x:is>
          <x:t xml:space="preserve">Evidence: playbook.</x:t>
        </x:is>
      </x:c>
    </x:row>
    <x:row r="77" ht="45" customHeight="1">
      <x:c r="A77" t="inlineStr">
        <x:is>
          <x:t xml:space="preserve">HR-D4-Q16</x:t>
        </x:is>
      </x:c>
      <x:c r="B77" t="inlineStr">
        <x:is>
          <x:t xml:space="preserve">HR-D4-Q16-A1</x:t>
        </x:is>
      </x:c>
      <x:c r="C77" s="2" t="inlineStr">
        <x:is>
          <x:t xml:space="preserve">We don't address this explicitly.</x:t>
        </x:is>
      </x:c>
      <x:c r="D77" t="n">
        <x:v>0</x:v>
      </x:c>
      <x:c r="E77" t="inlineStr">
        <x:is>
          <x:t xml:space="preserve">legal_exposure</x:t>
        </x:is>
      </x:c>
      <x:c r="F77" t="inlineStr">
        <x:is>
          <x:t xml:space="preserve">Legal Exposure</x:t>
        </x:is>
      </x:c>
      <x:c r="G77" t="inlineStr">
        <x:is>
          <x:t xml:space="preserve">Add plain-language offboarding comms</x:t>
        </x:is>
      </x:c>
      <x:c r="H77" t="inlineStr">
        <x:is>
          <x:t xml:space="preserve">N</x:t>
        </x:is>
      </x:c>
      <x:c r="I77" s="2" t="inlineStr">
        <x:is>
          <x:t xml:space="preserve"/>
        </x:is>
      </x:c>
    </x:row>
    <x:row r="78" ht="45" customHeight="1">
      <x:c r="A78" t="inlineStr">
        <x:is>
          <x:t xml:space="preserve">HR-D4-Q16</x:t>
        </x:is>
      </x:c>
      <x:c r="B78" t="inlineStr">
        <x:is>
          <x:t xml:space="preserve">HR-D4-Q16-A2</x:t>
        </x:is>
      </x:c>
      <x:c r="C78" s="2" t="inlineStr">
        <x:is>
          <x:t xml:space="preserve">Buried in contracts/policies; no explicit conversation.</x:t>
        </x:is>
      </x:c>
      <x:c r="D78" t="n">
        <x:v>1</x:v>
      </x:c>
      <x:c r="E78" t="inlineStr">
        <x:is>
          <x:t xml:space="preserve">paper_dragon_signal</x:t>
        </x:is>
      </x:c>
      <x:c r="F78" t="inlineStr">
        <x:is>
          <x:t xml:space="preserve">Paper Dragon</x:t>
        </x:is>
      </x:c>
      <x:c r="G78" t="inlineStr">
        <x:is>
          <x:t xml:space="preserve">Improve clarity and acknowledgment</x:t>
        </x:is>
      </x:c>
      <x:c r="H78" t="inlineStr">
        <x:is>
          <x:t xml:space="preserve">N</x:t>
        </x:is>
      </x:c>
      <x:c r="I78" s="2" t="inlineStr">
        <x:is>
          <x:t xml:space="preserve">Evidence: clause reference.</x:t>
        </x:is>
      </x:c>
    </x:row>
    <x:row r="79" ht="45" customHeight="1">
      <x:c r="A79" t="inlineStr">
        <x:is>
          <x:t xml:space="preserve">HR-D4-Q16</x:t>
        </x:is>
      </x:c>
      <x:c r="B79" t="inlineStr">
        <x:is>
          <x:t xml:space="preserve">HR-D4-Q16-A3</x:t>
        </x:is>
      </x:c>
      <x:c r="C79" s="2" t="inlineStr">
        <x:is>
          <x:t xml:space="preserve">Exit reminder exists but not consistently documented.</x:t>
        </x:is>
      </x:c>
      <x:c r="D79" t="n">
        <x:v>2</x:v>
      </x:c>
      <x:c r="E79" t="inlineStr">
        <x:is>
          <x:t xml:space="preserve"/>
        </x:is>
      </x:c>
      <x:c r="F79" t="inlineStr">
        <x:is>
          <x:t xml:space="preserve">Legal Exposure</x:t>
        </x:is>
      </x:c>
      <x:c r="G79" t="inlineStr">
        <x:is>
          <x:t xml:space="preserve">Standardize exit acknowledgment</x:t>
        </x:is>
      </x:c>
      <x:c r="H79" t="inlineStr">
        <x:is>
          <x:t xml:space="preserve">N</x:t>
        </x:is>
      </x:c>
      <x:c r="I79" s="2" t="inlineStr">
        <x:is>
          <x:t xml:space="preserve"/>
        </x:is>
      </x:c>
    </x:row>
    <x:row r="80" ht="45" customHeight="1">
      <x:c r="A80" t="inlineStr">
        <x:is>
          <x:t xml:space="preserve">HR-D4-Q16</x:t>
        </x:is>
      </x:c>
      <x:c r="B80" t="inlineStr">
        <x:is>
          <x:t xml:space="preserve">HR-D4-Q16-A4</x:t>
        </x:is>
      </x:c>
      <x:c r="C80" s="2" t="inlineStr">
        <x:is>
          <x:t xml:space="preserve">Exit checklist with acknowledgement and asset/data return steps.</x:t>
        </x:is>
      </x:c>
      <x:c r="D80" t="n">
        <x:v>3</x:v>
      </x:c>
      <x:c r="E80" t="inlineStr">
        <x:is>
          <x:t xml:space="preserve"/>
        </x:is>
      </x:c>
      <x:c r="F80" t="inlineStr">
        <x:is>
          <x:t xml:space="preserve">Legal Exposure</x:t>
        </x:is>
      </x:c>
      <x:c r="G80" t="inlineStr">
        <x:is>
          <x:t xml:space="preserve">Maintain adherence</x:t>
        </x:is>
      </x:c>
      <x:c r="H80" t="inlineStr">
        <x:is>
          <x:t xml:space="preserve">N</x:t>
        </x:is>
      </x:c>
      <x:c r="I80" s="2" t="inlineStr">
        <x:is>
          <x:t xml:space="preserve">Evidence: checklist template.</x:t>
        </x:is>
      </x:c>
    </x:row>
    <x:row r="81" ht="45" customHeight="1">
      <x:c r="A81" t="inlineStr">
        <x:is>
          <x:t xml:space="preserve">HR-D4-Q16</x:t>
        </x:is>
      </x:c>
      <x:c r="B81" t="inlineStr">
        <x:is>
          <x:t xml:space="preserve">HR-D4-Q16-A5</x:t>
        </x:is>
      </x:c>
      <x:c r="C81" s="2" t="inlineStr">
        <x:is>
          <x:t xml:space="preserve">Optimized: tailored reminders for high-risk roles + verified return/handover.</x:t>
        </x:is>
      </x:c>
      <x:c r="D81" t="n">
        <x:v>4</x:v>
      </x:c>
      <x:c r="E81" t="inlineStr">
        <x:is>
          <x:t xml:space="preserve"/>
        </x:is>
      </x:c>
      <x:c r="F81" t="inlineStr">
        <x:is>
          <x:t xml:space="preserve">Legal Exposure</x:t>
        </x:is>
      </x:c>
      <x:c r="G81" t="inlineStr">
        <x:is>
          <x:t xml:space="preserve">Maintain maturity</x:t>
        </x:is>
      </x:c>
      <x:c r="H81" t="inlineStr">
        <x:is>
          <x:t xml:space="preserve">N</x:t>
        </x:is>
      </x:c>
      <x:c r="I81" s="2" t="inlineStr">
        <x:is>
          <x:t xml:space="preserve">Evidence: role-based checklist.</x:t>
        </x:is>
      </x:c>
    </x:row>
    <x:row r="82" ht="45" customHeight="1">
      <x:c r="A82" t="inlineStr">
        <x:is>
          <x:t xml:space="preserve">HR-D5-Q17</x:t>
        </x:is>
      </x:c>
      <x:c r="B82" t="inlineStr">
        <x:is>
          <x:t xml:space="preserve">HR-D5-Q17-A0</x:t>
        </x:is>
      </x:c>
      <x:c r="C82" s="2" t="inlineStr">
        <x:is>
          <x:t xml:space="preserve">I don't know / Not sure.</x:t>
        </x:is>
      </x:c>
      <x:c r="D82" t="n">
        <x:v>0</x:v>
      </x:c>
      <x:c r="E82" t="inlineStr">
        <x:is>
          <x:t xml:space="preserve">low-confidence</x:t>
        </x:is>
      </x:c>
      <x:c r="F82" t="inlineStr">
        <x:is>
          <x:t xml:space="preserve">Bypass Pressure</x:t>
        </x:is>
      </x:c>
      <x:c r="G82" t="inlineStr">
        <x:is>
          <x:t xml:space="preserve">Clarify bypass signals</x:t>
        </x:is>
      </x:c>
      <x:c r="H82" t="inlineStr">
        <x:is>
          <x:t xml:space="preserve">N</x:t>
        </x:is>
      </x:c>
      <x:c r="I82" s="2" t="inlineStr">
        <x:is>
          <x:t xml:space="preserve"/>
        </x:is>
      </x:c>
    </x:row>
    <x:row r="83" ht="45" customHeight="1">
      <x:c r="A83" t="inlineStr">
        <x:is>
          <x:t xml:space="preserve">HR-D5-Q17</x:t>
        </x:is>
      </x:c>
      <x:c r="B83" t="inlineStr">
        <x:is>
          <x:t xml:space="preserve">HR-D5-Q17-A1</x:t>
        </x:is>
      </x:c>
      <x:c r="C83" s="2" t="inlineStr">
        <x:is>
          <x:t xml:space="preserve">No process: workarounds happen and are 'normal'.</x:t>
        </x:is>
      </x:c>
      <x:c r="D83" t="n">
        <x:v>0</x:v>
      </x:c>
      <x:c r="E83" t="inlineStr">
        <x:is>
          <x:t xml:space="preserve">bypass_pressure</x:t>
        </x:is>
      </x:c>
      <x:c r="F83" t="inlineStr">
        <x:is>
          <x:t xml:space="preserve">Bypass Pressure</x:t>
        </x:is>
      </x:c>
      <x:c r="G83" t="inlineStr">
        <x:is>
          <x:t xml:space="preserve">Implement friction intake</x:t>
        </x:is>
      </x:c>
      <x:c r="H83" t="inlineStr">
        <x:is>
          <x:t xml:space="preserve">N</x:t>
        </x:is>
      </x:c>
      <x:c r="I83" s="2" t="inlineStr">
        <x:is>
          <x:t xml:space="preserve"/>
        </x:is>
      </x:c>
    </x:row>
    <x:row r="84" ht="45" customHeight="1">
      <x:c r="A84" t="inlineStr">
        <x:is>
          <x:t xml:space="preserve">HR-D5-Q17</x:t>
        </x:is>
      </x:c>
      <x:c r="B84" t="inlineStr">
        <x:is>
          <x:t xml:space="preserve">HR-D5-Q17-A2</x:t>
        </x:is>
      </x:c>
      <x:c r="C84" s="2" t="inlineStr">
        <x:is>
          <x:t xml:space="preserve">Ad-hoc: complaints handled case-by-case; root causes rarely fixed.</x:t>
        </x:is>
      </x:c>
      <x:c r="D84" t="n">
        <x:v>1</x:v>
      </x:c>
      <x:c r="E84" t="inlineStr">
        <x:is>
          <x:t xml:space="preserve">shadow_mature_signal</x:t>
        </x:is>
      </x:c>
      <x:c r="F84" t="inlineStr">
        <x:is>
          <x:t xml:space="preserve">Bypass Pressure</x:t>
        </x:is>
      </x:c>
      <x:c r="G84" t="inlineStr">
        <x:is>
          <x:t xml:space="preserve">Create backlog and owners</x:t>
        </x:is>
      </x:c>
      <x:c r="H84" t="inlineStr">
        <x:is>
          <x:t xml:space="preserve">N</x:t>
        </x:is>
      </x:c>
      <x:c r="I84" s="2" t="inlineStr">
        <x:is>
          <x:t xml:space="preserve"/>
        </x:is>
      </x:c>
    </x:row>
    <x:row r="85" ht="45" customHeight="1">
      <x:c r="A85" t="inlineStr">
        <x:is>
          <x:t xml:space="preserve">HR-D5-Q17</x:t>
        </x:is>
      </x:c>
      <x:c r="B85" t="inlineStr">
        <x:is>
          <x:t xml:space="preserve">HR-D5-Q17-A3</x:t>
        </x:is>
      </x:c>
      <x:c r="C85" s="2" t="inlineStr">
        <x:is>
          <x:t xml:space="preserve">Defined: a channel exists; some fixes prioritised.</x:t>
        </x:is>
      </x:c>
      <x:c r="D85" t="n">
        <x:v>2</x:v>
      </x:c>
      <x:c r="E85" t="inlineStr">
        <x:is>
          <x:t xml:space="preserve"/>
        </x:is>
      </x:c>
      <x:c r="F85" t="inlineStr">
        <x:is>
          <x:t xml:space="preserve">Bypass Pressure</x:t>
        </x:is>
      </x:c>
      <x:c r="G85" t="inlineStr">
        <x:is>
          <x:t xml:space="preserve">Strengthen prioritisation</x:t>
        </x:is>
      </x:c>
      <x:c r="H85" t="inlineStr">
        <x:is>
          <x:t xml:space="preserve">N</x:t>
        </x:is>
      </x:c>
      <x:c r="I85" s="2" t="inlineStr">
        <x:is>
          <x:t xml:space="preserve">Evidence: tickets/backlog.</x:t>
        </x:is>
      </x:c>
    </x:row>
    <x:row r="86" ht="45" customHeight="1">
      <x:c r="A86" t="inlineStr">
        <x:is>
          <x:t xml:space="preserve">HR-D5-Q17</x:t>
        </x:is>
      </x:c>
      <x:c r="B86" t="inlineStr">
        <x:is>
          <x:t xml:space="preserve">HR-D5-Q17-A4</x:t>
        </x:is>
      </x:c>
      <x:c r="C86" s="2" t="inlineStr">
        <x:is>
          <x:t xml:space="preserve">Managed: friction metrics tracked; fixes reduce repeated workarounds.</x:t>
        </x:is>
      </x:c>
      <x:c r="D86" t="n">
        <x:v>3</x:v>
      </x:c>
      <x:c r="E86" t="inlineStr">
        <x:is>
          <x:t xml:space="preserve"/>
        </x:is>
      </x:c>
      <x:c r="F86" t="inlineStr">
        <x:is>
          <x:t xml:space="preserve">Bypass Pressure</x:t>
        </x:is>
      </x:c>
      <x:c r="G86" t="inlineStr">
        <x:is>
          <x:t xml:space="preserve">Maintain metrics</x:t>
        </x:is>
      </x:c>
      <x:c r="H86" t="inlineStr">
        <x:is>
          <x:t xml:space="preserve">N</x:t>
        </x:is>
      </x:c>
      <x:c r="I86" s="2" t="inlineStr">
        <x:is>
          <x:t xml:space="preserve">Evidence: before/after examples.</x:t>
        </x:is>
      </x:c>
    </x:row>
    <x:row r="87" ht="45" customHeight="1">
      <x:c r="A87" t="inlineStr">
        <x:is>
          <x:t xml:space="preserve">HR-D5-Q17</x:t>
        </x:is>
      </x:c>
      <x:c r="B87" t="inlineStr">
        <x:is>
          <x:t xml:space="preserve">HR-D5-Q17-A5</x:t>
        </x:is>
      </x:c>
      <x:c r="C87" s="2" t="inlineStr">
        <x:is>
          <x:t xml:space="preserve">Optimized: low bypass pressure; usability designed in; exceptions rare/time-bound.</x:t>
        </x:is>
      </x:c>
      <x:c r="D87" t="n">
        <x:v>4</x:v>
      </x:c>
      <x:c r="E87" t="inlineStr">
        <x:is>
          <x:t xml:space="preserve"/>
        </x:is>
      </x:c>
      <x:c r="F87" t="inlineStr">
        <x:is>
          <x:t xml:space="preserve">Bypass Pressure</x:t>
        </x:is>
      </x:c>
      <x:c r="G87" t="inlineStr">
        <x:is>
          <x:t xml:space="preserve">Maintain maturity</x:t>
        </x:is>
      </x:c>
      <x:c r="H87" t="inlineStr">
        <x:is>
          <x:t xml:space="preserve">N</x:t>
        </x:is>
      </x:c>
      <x:c r="I87" s="2" t="inlineStr">
        <x:is>
          <x:t xml:space="preserve">Evidence: exception rates.</x:t>
        </x:is>
      </x:c>
    </x:row>
    <x:row r="88" ht="45" customHeight="1">
      <x:c r="A88" t="inlineStr">
        <x:is>
          <x:t xml:space="preserve">HR-D5-Q18</x:t>
        </x:is>
      </x:c>
      <x:c r="B88" t="inlineStr">
        <x:is>
          <x:t xml:space="preserve">HR-D5-Q18-A1</x:t>
        </x:is>
      </x:c>
      <x:c r="C88" s="2" t="inlineStr">
        <x:is>
          <x:t xml:space="preserve">No: bypass discovered only after incidents/audits.</x:t>
        </x:is>
      </x:c>
      <x:c r="D88" t="n">
        <x:v>0</x:v>
      </x:c>
      <x:c r="E88" t="inlineStr">
        <x:is>
          <x:t xml:space="preserve">bypass_pressure,paper_dragon_signal</x:t>
        </x:is>
      </x:c>
      <x:c r="F88" t="inlineStr">
        <x:is>
          <x:t xml:space="preserve">Bypass Pressure</x:t>
        </x:is>
      </x:c>
      <x:c r="G88" t="inlineStr">
        <x:is>
          <x:t xml:space="preserve">Create feedback loop</x:t>
        </x:is>
      </x:c>
      <x:c r="H88" t="inlineStr">
        <x:is>
          <x:t xml:space="preserve">N</x:t>
        </x:is>
      </x:c>
      <x:c r="I88" s="2" t="inlineStr">
        <x:is>
          <x:t xml:space="preserve"/>
        </x:is>
      </x:c>
    </x:row>
    <x:row r="89" ht="45" customHeight="1">
      <x:c r="A89" t="inlineStr">
        <x:is>
          <x:t xml:space="preserve">HR-D5-Q18</x:t>
        </x:is>
      </x:c>
      <x:c r="B89" t="inlineStr">
        <x:is>
          <x:t xml:space="preserve">HR-D5-Q18-A2</x:t>
        </x:is>
      </x:c>
      <x:c r="C89" s="2" t="inlineStr">
        <x:is>
          <x:t xml:space="preserve">Sometimes: managers/HR hear about it; actions vary.</x:t>
        </x:is>
      </x:c>
      <x:c r="D89" t="n">
        <x:v>1</x:v>
      </x:c>
      <x:c r="E89" t="inlineStr">
        <x:is>
          <x:t xml:space="preserve">key_person_dependency</x:t>
        </x:is>
      </x:c>
      <x:c r="F89" t="inlineStr">
        <x:is>
          <x:t xml:space="preserve">Bypass Pressure</x:t>
        </x:is>
      </x:c>
      <x:c r="G89" t="inlineStr">
        <x:is>
          <x:t xml:space="preserve">Define triage and fixes</x:t>
        </x:is>
      </x:c>
      <x:c r="H89" t="inlineStr">
        <x:is>
          <x:t xml:space="preserve">N</x:t>
        </x:is>
      </x:c>
      <x:c r="I89" s="2" t="inlineStr">
        <x:is>
          <x:t xml:space="preserve"/>
        </x:is>
      </x:c>
    </x:row>
    <x:row r="90" ht="45" customHeight="1">
      <x:c r="A90" t="inlineStr">
        <x:is>
          <x:t xml:space="preserve">HR-D5-Q18</x:t>
        </x:is>
      </x:c>
      <x:c r="B90" t="inlineStr">
        <x:is>
          <x:t xml:space="preserve">HR-D5-Q18-A3</x:t>
        </x:is>
      </x:c>
      <x:c r="C90" s="2" t="inlineStr">
        <x:is>
          <x:t xml:space="preserve">Usually: signals collected and discussed; some fixes implemented.</x:t>
        </x:is>
      </x:c>
      <x:c r="D90" t="n">
        <x:v>2</x:v>
      </x:c>
      <x:c r="E90" t="inlineStr">
        <x:is>
          <x:t xml:space="preserve"/>
        </x:is>
      </x:c>
      <x:c r="F90" t="inlineStr">
        <x:is>
          <x:t xml:space="preserve">Bypass Pressure</x:t>
        </x:is>
      </x:c>
      <x:c r="G90" t="inlineStr">
        <x:is>
          <x:t xml:space="preserve">Formalize backlog</x:t>
        </x:is>
      </x:c>
      <x:c r="H90" t="inlineStr">
        <x:is>
          <x:t xml:space="preserve">N</x:t>
        </x:is>
      </x:c>
      <x:c r="I90" s="2" t="inlineStr">
        <x:is>
          <x:t xml:space="preserve"/>
        </x:is>
      </x:c>
    </x:row>
    <x:row r="91" ht="45" customHeight="1">
      <x:c r="A91" t="inlineStr">
        <x:is>
          <x:t xml:space="preserve">HR-D5-Q18</x:t>
        </x:is>
      </x:c>
      <x:c r="B91" t="inlineStr">
        <x:is>
          <x:t xml:space="preserve">HR-D5-Q18-A4</x:t>
        </x:is>
      </x:c>
      <x:c r="C91" s="2" t="inlineStr">
        <x:is>
          <x:t xml:space="preserve">Yes: consistent intake, root-cause analysis, and prioritised remediation.</x:t>
        </x:is>
      </x:c>
      <x:c r="D91" t="n">
        <x:v>3</x:v>
      </x:c>
      <x:c r="E91" t="inlineStr">
        <x:is>
          <x:t xml:space="preserve"/>
        </x:is>
      </x:c>
      <x:c r="F91" t="inlineStr">
        <x:is>
          <x:t xml:space="preserve">Bypass Pressure</x:t>
        </x:is>
      </x:c>
      <x:c r="G91" t="inlineStr">
        <x:is>
          <x:t xml:space="preserve">Maintain and measure</x:t>
        </x:is>
      </x:c>
      <x:c r="H91" t="inlineStr">
        <x:is>
          <x:t xml:space="preserve">N</x:t>
        </x:is>
      </x:c>
      <x:c r="I91" s="2" t="inlineStr">
        <x:is>
          <x:t xml:space="preserve">Evidence: RCA examples.</x:t>
        </x:is>
      </x:c>
    </x:row>
    <x:row r="92" ht="45" customHeight="1">
      <x:c r="A92" t="inlineStr">
        <x:is>
          <x:t xml:space="preserve">HR-D5-Q19</x:t>
        </x:is>
      </x:c>
      <x:c r="B92" t="inlineStr">
        <x:is>
          <x:t xml:space="preserve">HR-D5-Q19-A1</x:t>
        </x:is>
      </x:c>
      <x:c r="C92" s="2" t="inlineStr">
        <x:is>
          <x:t xml:space="preserve">No: exceptions are informal and not tracked.</x:t>
        </x:is>
      </x:c>
      <x:c r="D92" t="n">
        <x:v>0</x:v>
      </x:c>
      <x:c r="E92" t="inlineStr">
        <x:is>
          <x:t xml:space="preserve">bypass_pressure</x:t>
        </x:is>
      </x:c>
      <x:c r="F92" t="inlineStr">
        <x:is>
          <x:t xml:space="preserve">Bypass Pressure</x:t>
        </x:is>
      </x:c>
      <x:c r="G92" t="inlineStr">
        <x:is>
          <x:t xml:space="preserve">Introduce exception register</x:t>
        </x:is>
      </x:c>
      <x:c r="H92" t="inlineStr">
        <x:is>
          <x:t xml:space="preserve">N</x:t>
        </x:is>
      </x:c>
      <x:c r="I92" s="2" t="inlineStr">
        <x:is>
          <x:t xml:space="preserve"/>
        </x:is>
      </x:c>
    </x:row>
    <x:row r="93" ht="45" customHeight="1">
      <x:c r="A93" t="inlineStr">
        <x:is>
          <x:t xml:space="preserve">HR-D5-Q19</x:t>
        </x:is>
      </x:c>
      <x:c r="B93" t="inlineStr">
        <x:is>
          <x:t xml:space="preserve">HR-D5-Q19-A2</x:t>
        </x:is>
      </x:c>
      <x:c r="C93" s="2" t="inlineStr">
        <x:is>
          <x:t xml:space="preserve">Some tracking, but no expiry/review; exceptions accumulate.</x:t>
        </x:is>
      </x:c>
      <x:c r="D93" t="n">
        <x:v>1</x:v>
      </x:c>
      <x:c r="E93" t="inlineStr">
        <x:is>
          <x:t xml:space="preserve">paper_dragon_signal</x:t>
        </x:is>
      </x:c>
      <x:c r="F93" t="inlineStr">
        <x:is>
          <x:t xml:space="preserve">Paper Dragon</x:t>
        </x:is>
      </x:c>
      <x:c r="G93" t="inlineStr">
        <x:is>
          <x:t xml:space="preserve">Add expiry and review cadence</x:t>
        </x:is>
      </x:c>
      <x:c r="H93" t="inlineStr">
        <x:is>
          <x:t xml:space="preserve">N</x:t>
        </x:is>
      </x:c>
      <x:c r="I93" s="2" t="inlineStr">
        <x:is>
          <x:t xml:space="preserve"/>
        </x:is>
      </x:c>
    </x:row>
    <x:row r="94" ht="45" customHeight="1">
      <x:c r="A94" t="inlineStr">
        <x:is>
          <x:t xml:space="preserve">HR-D5-Q19</x:t>
        </x:is>
      </x:c>
      <x:c r="B94" t="inlineStr">
        <x:is>
          <x:t xml:space="preserve">HR-D5-Q19-A3</x:t>
        </x:is>
      </x:c>
      <x:c r="C94" s="2" t="inlineStr">
        <x:is>
          <x:t xml:space="preserve">Register exists; most exceptions have owners/expiry, but reviews inconsistent.</x:t>
        </x:is>
      </x:c>
      <x:c r="D94" t="n">
        <x:v>2</x:v>
      </x:c>
      <x:c r="E94" t="inlineStr">
        <x:is>
          <x:t xml:space="preserve"/>
        </x:is>
      </x:c>
      <x:c r="F94" t="inlineStr">
        <x:is>
          <x:t xml:space="preserve">Bypass Pressure</x:t>
        </x:is>
      </x:c>
      <x:c r="G94" t="inlineStr">
        <x:is>
          <x:t xml:space="preserve">Improve governance cadence</x:t>
        </x:is>
      </x:c>
      <x:c r="H94" t="inlineStr">
        <x:is>
          <x:t xml:space="preserve">N</x:t>
        </x:is>
      </x:c>
      <x:c r="I94" s="2" t="inlineStr">
        <x:is>
          <x:t xml:space="preserve">Evidence: register sample.</x:t>
        </x:is>
      </x:c>
    </x:row>
    <x:row r="95" ht="45" customHeight="1">
      <x:c r="A95" t="inlineStr">
        <x:is>
          <x:t xml:space="preserve">HR-D5-Q19</x:t>
        </x:is>
      </x:c>
      <x:c r="B95" t="inlineStr">
        <x:is>
          <x:t xml:space="preserve">HR-D5-Q19-A4</x:t>
        </x:is>
      </x:c>
      <x:c r="C95" s="2" t="inlineStr">
        <x:is>
          <x:t xml:space="preserve">Tracked + reviewed; exceptions reduced over time.</x:t>
        </x:is>
      </x:c>
      <x:c r="D95" t="n">
        <x:v>3</x:v>
      </x:c>
      <x:c r="E95" t="inlineStr">
        <x:is>
          <x:t xml:space="preserve"/>
        </x:is>
      </x:c>
      <x:c r="F95" t="inlineStr">
        <x:is>
          <x:t xml:space="preserve">Bypass Pressure</x:t>
        </x:is>
      </x:c>
      <x:c r="G95" t="inlineStr">
        <x:is>
          <x:t xml:space="preserve">Maintain governance</x:t>
        </x:is>
      </x:c>
      <x:c r="H95" t="inlineStr">
        <x:is>
          <x:t xml:space="preserve">N</x:t>
        </x:is>
      </x:c>
      <x:c r="I95" s="2" t="inlineStr">
        <x:is>
          <x:t xml:space="preserve">Evidence: trend metrics.</x:t>
        </x:is>
      </x:c>
    </x:row>
    <x:row r="96" ht="45" customHeight="1">
      <x:c r="A96" t="inlineStr">
        <x:is>
          <x:t xml:space="preserve">HR-D5-Q19</x:t>
        </x:is>
      </x:c>
      <x:c r="B96" t="inlineStr">
        <x:is>
          <x:t xml:space="preserve">HR-D5-Q19-A5</x:t>
        </x:is>
      </x:c>
      <x:c r="C96" s="2" t="inlineStr">
        <x:is>
          <x:t xml:space="preserve">Optimized: exceptions rare; systemic fixes remove need for bypass.</x:t>
        </x:is>
      </x:c>
      <x:c r="D96" t="n">
        <x:v>4</x:v>
      </x:c>
      <x:c r="E96" t="inlineStr">
        <x:is>
          <x:t xml:space="preserve"/>
        </x:is>
      </x:c>
      <x:c r="F96" t="inlineStr">
        <x:is>
          <x:t xml:space="preserve">Bypass Pressure</x:t>
        </x:is>
      </x:c>
      <x:c r="G96" t="inlineStr">
        <x:is>
          <x:t xml:space="preserve">Maintain maturity</x:t>
        </x:is>
      </x:c>
      <x:c r="H96" t="inlineStr">
        <x:is>
          <x:t xml:space="preserve">N</x:t>
        </x:is>
      </x:c>
      <x:c r="I96" s="2" t="inlineStr">
        <x:is>
          <x:t xml:space="preserve">Evidence: low exception rate.</x:t>
        </x:is>
      </x:c>
    </x:row>
    <x:row r="97" ht="45" customHeight="1">
      <x:c r="A97" t="inlineStr">
        <x:is>
          <x:t xml:space="preserve">HR-D6-Q20</x:t>
        </x:is>
      </x:c>
      <x:c r="B97" t="inlineStr">
        <x:is>
          <x:t xml:space="preserve">HR-D6-Q20-A0</x:t>
        </x:is>
      </x:c>
      <x:c r="C97" s="2" t="inlineStr">
        <x:is>
          <x:t xml:space="preserve">I don't know / Not sure.</x:t>
        </x:is>
      </x:c>
      <x:c r="D97" t="n">
        <x:v>0</x:v>
      </x:c>
      <x:c r="E97" t="inlineStr">
        <x:is>
          <x:t xml:space="preserve">low-confidence</x:t>
        </x:is>
      </x:c>
      <x:c r="F97" t="inlineStr">
        <x:is>
          <x:t xml:space="preserve">Control Lag</x:t>
        </x:is>
      </x:c>
      <x:c r="G97" t="inlineStr">
        <x:is>
          <x:t xml:space="preserve">Clarify change-event process</x:t>
        </x:is>
      </x:c>
      <x:c r="H97" t="inlineStr">
        <x:is>
          <x:t xml:space="preserve">N</x:t>
        </x:is>
      </x:c>
      <x:c r="I97" s="2" t="inlineStr">
        <x:is>
          <x:t xml:space="preserve"/>
        </x:is>
      </x:c>
    </x:row>
    <x:row r="98" ht="45" customHeight="1">
      <x:c r="A98" t="inlineStr">
        <x:is>
          <x:t xml:space="preserve">HR-D6-Q20</x:t>
        </x:is>
      </x:c>
      <x:c r="B98" t="inlineStr">
        <x:is>
          <x:t xml:space="preserve">HR-D6-Q20-A1</x:t>
        </x:is>
      </x:c>
      <x:c r="C98" s="2" t="inlineStr">
        <x:is>
          <x:t xml:space="preserve">Static: controls rarely change; respond after issues appear.</x:t>
        </x:is>
      </x:c>
      <x:c r="D98" t="n">
        <x:v>0</x:v>
      </x:c>
      <x:c r="E98" t="inlineStr">
        <x:is>
          <x:t xml:space="preserve">control_lag</x:t>
        </x:is>
      </x:c>
      <x:c r="F98" t="inlineStr">
        <x:is>
          <x:t xml:space="preserve">Control Lag</x:t>
        </x:is>
      </x:c>
      <x:c r="G98" t="inlineStr">
        <x:is>
          <x:t xml:space="preserve">Introduce change-event checklist</x:t>
        </x:is>
      </x:c>
      <x:c r="H98" t="inlineStr">
        <x:is>
          <x:t xml:space="preserve">N</x:t>
        </x:is>
      </x:c>
      <x:c r="I98" s="2" t="inlineStr">
        <x:is>
          <x:t xml:space="preserve"/>
        </x:is>
      </x:c>
    </x:row>
    <x:row r="99" ht="45" customHeight="1">
      <x:c r="A99" t="inlineStr">
        <x:is>
          <x:t xml:space="preserve">HR-D6-Q20</x:t>
        </x:is>
      </x:c>
      <x:c r="B99" t="inlineStr">
        <x:is>
          <x:t xml:space="preserve">HR-D6-Q20-A2</x:t>
        </x:is>
      </x:c>
      <x:c r="C99" s="2" t="inlineStr">
        <x:is>
          <x:t xml:space="preserve">Manual: HR informs others, but timing varies; no checklist.</x:t>
        </x:is>
      </x:c>
      <x:c r="D99" t="n">
        <x:v>1</x:v>
      </x:c>
      <x:c r="E99" t="inlineStr">
        <x:is>
          <x:t xml:space="preserve">shadow_mature_signal</x:t>
        </x:is>
      </x:c>
      <x:c r="F99" t="inlineStr">
        <x:is>
          <x:t xml:space="preserve">Control Lag</x:t>
        </x:is>
      </x:c>
      <x:c r="G99" t="inlineStr">
        <x:is>
          <x:t xml:space="preserve">Standardize and measure lag</x:t>
        </x:is>
      </x:c>
      <x:c r="H99" t="inlineStr">
        <x:is>
          <x:t xml:space="preserve">N</x:t>
        </x:is>
      </x:c>
      <x:c r="I99" s="2" t="inlineStr">
        <x:is>
          <x:t xml:space="preserve"/>
        </x:is>
      </x:c>
    </x:row>
    <x:row r="100" ht="45" customHeight="1">
      <x:c r="A100" t="inlineStr">
        <x:is>
          <x:t xml:space="preserve">HR-D6-Q20</x:t>
        </x:is>
      </x:c>
      <x:c r="B100" t="inlineStr">
        <x:is>
          <x:t xml:space="preserve">HR-D6-Q20-A3</x:t>
        </x:is>
      </x:c>
      <x:c r="C100" s="2" t="inlineStr">
        <x:is>
          <x:t xml:space="preserve">Defined: process exists; critical updates happen within weeks.</x:t>
        </x:is>
      </x:c>
      <x:c r="D100" t="n">
        <x:v>2</x:v>
      </x:c>
      <x:c r="E100" t="inlineStr">
        <x:is>
          <x:t xml:space="preserve"/>
        </x:is>
      </x:c>
      <x:c r="F100" t="inlineStr">
        <x:is>
          <x:t xml:space="preserve">Control Lag</x:t>
        </x:is>
      </x:c>
      <x:c r="G100" t="inlineStr">
        <x:is>
          <x:t xml:space="preserve">Reduce lag for critical roles</x:t>
        </x:is>
      </x:c>
      <x:c r="H100" t="inlineStr">
        <x:is>
          <x:t xml:space="preserve">N</x:t>
        </x:is>
      </x:c>
      <x:c r="I100" s="2" t="inlineStr">
        <x:is>
          <x:t xml:space="preserve">Evidence: checklist/comms.</x:t>
        </x:is>
      </x:c>
    </x:row>
    <x:row r="101" ht="45" customHeight="1">
      <x:c r="A101" t="inlineStr">
        <x:is>
          <x:t xml:space="preserve">HR-D6-Q20</x:t>
        </x:is>
      </x:c>
      <x:c r="B101" t="inlineStr">
        <x:is>
          <x:t xml:space="preserve">HR-D6-Q20-A4</x:t>
        </x:is>
      </x:c>
      <x:c r="C101" s="2" t="inlineStr">
        <x:is>
          <x:t xml:space="preserve">Managed: critical updates happen within days; responsibilities clear.</x:t>
        </x:is>
      </x:c>
      <x:c r="D101" t="n">
        <x:v>3</x:v>
      </x:c>
      <x:c r="E101" t="inlineStr">
        <x:is>
          <x:t xml:space="preserve"/>
        </x:is>
      </x:c>
      <x:c r="F101" t="inlineStr">
        <x:is>
          <x:t xml:space="preserve">Control Lag</x:t>
        </x:is>
      </x:c>
      <x:c r="G101" t="inlineStr">
        <x:is>
          <x:t xml:space="preserve">Maintain and test</x:t>
        </x:is>
      </x:c>
      <x:c r="H101" t="inlineStr">
        <x:is>
          <x:t xml:space="preserve">N</x:t>
        </x:is>
      </x:c>
      <x:c r="I101" s="2" t="inlineStr">
        <x:is>
          <x:t xml:space="preserve">Evidence: timelines from recent event.</x:t>
        </x:is>
      </x:c>
    </x:row>
    <x:row r="102" ht="45" customHeight="1">
      <x:c r="A102" t="inlineStr">
        <x:is>
          <x:t xml:space="preserve">HR-D6-Q20</x:t>
        </x:is>
      </x:c>
      <x:c r="B102" t="inlineStr">
        <x:is>
          <x:t xml:space="preserve">HR-D6-Q20-A5</x:t>
        </x:is>
      </x:c>
      <x:c r="C102" s="2" t="inlineStr">
        <x:is>
          <x:t xml:space="preserve">Optimized: triggers and measurable lag; lessons learned applied each event.</x:t>
        </x:is>
      </x:c>
      <x:c r="D102" t="n">
        <x:v>4</x:v>
      </x:c>
      <x:c r="E102" t="inlineStr">
        <x:is>
          <x:t xml:space="preserve"/>
        </x:is>
      </x:c>
      <x:c r="F102" t="inlineStr">
        <x:is>
          <x:t xml:space="preserve">Control Lag</x:t>
        </x:is>
      </x:c>
      <x:c r="G102" t="inlineStr">
        <x:is>
          <x:t xml:space="preserve">Continuous improvement</x:t>
        </x:is>
      </x:c>
      <x:c r="H102" t="inlineStr">
        <x:is>
          <x:t xml:space="preserve">N</x:t>
        </x:is>
      </x:c>
      <x:c r="I102" s="2" t="inlineStr">
        <x:is>
          <x:t xml:space="preserve">Evidence: lag metrics.</x:t>
        </x:is>
      </x:c>
    </x:row>
    <x:row r="103" ht="45" customHeight="1">
      <x:c r="A103" t="inlineStr">
        <x:is>
          <x:t xml:space="preserve">HR-D6-Q21</x:t>
        </x:is>
      </x:c>
      <x:c r="B103" t="inlineStr">
        <x:is>
          <x:t xml:space="preserve">HR-D6-Q21-A1</x:t>
        </x:is>
      </x:c>
      <x:c r="C103" s="2" t="inlineStr">
        <x:is>
          <x:t xml:space="preserve">Unreliable: updates are late or incomplete.</x:t>
        </x:is>
      </x:c>
      <x:c r="D103" t="n">
        <x:v>0</x:v>
      </x:c>
      <x:c r="E103" t="inlineStr">
        <x:is>
          <x:t xml:space="preserve">control_lag</x:t>
        </x:is>
      </x:c>
      <x:c r="F103" t="inlineStr">
        <x:is>
          <x:t xml:space="preserve">Control Lag</x:t>
        </x:is>
      </x:c>
      <x:c r="G103" t="inlineStr">
        <x:is>
          <x:t xml:space="preserve">Improve timeliness</x:t>
        </x:is>
      </x:c>
      <x:c r="H103" t="inlineStr">
        <x:is>
          <x:t xml:space="preserve">N</x:t>
        </x:is>
      </x:c>
      <x:c r="I103" s="2" t="inlineStr">
        <x:is>
          <x:t xml:space="preserve"/>
        </x:is>
      </x:c>
    </x:row>
    <x:row r="104" ht="45" customHeight="1">
      <x:c r="A104" t="inlineStr">
        <x:is>
          <x:t xml:space="preserve">HR-D6-Q21</x:t>
        </x:is>
      </x:c>
      <x:c r="B104" t="inlineStr">
        <x:is>
          <x:t xml:space="preserve">HR-D6-Q21-A2</x:t>
        </x:is>
      </x:c>
      <x:c r="C104" s="2" t="inlineStr">
        <x:is>
          <x:t xml:space="preserve">Email/spreadsheets: provided but often delayed.</x:t>
        </x:is>
      </x:c>
      <x:c r="D104" t="n">
        <x:v>1</x:v>
      </x:c>
      <x:c r="E104" t="inlineStr">
        <x:is>
          <x:t xml:space="preserve">shadow_mature_signal</x:t>
        </x:is>
      </x:c>
      <x:c r="F104" t="inlineStr">
        <x:is>
          <x:t xml:space="preserve">Control Lag</x:t>
        </x:is>
      </x:c>
      <x:c r="G104" t="inlineStr">
        <x:is>
          <x:t xml:space="preserve">Create standard cadence</x:t>
        </x:is>
      </x:c>
      <x:c r="H104" t="inlineStr">
        <x:is>
          <x:t xml:space="preserve">N</x:t>
        </x:is>
      </x:c>
      <x:c r="I104" s="2" t="inlineStr">
        <x:is>
          <x:t xml:space="preserve"/>
        </x:is>
      </x:c>
    </x:row>
    <x:row r="105" ht="45" customHeight="1">
      <x:c r="A105" t="inlineStr">
        <x:is>
          <x:t xml:space="preserve">HR-D6-Q21</x:t>
        </x:is>
      </x:c>
      <x:c r="B105" t="inlineStr">
        <x:is>
          <x:t xml:space="preserve">HR-D6-Q21-A3</x:t>
        </x:is>
      </x:c>
      <x:c r="C105" s="2" t="inlineStr">
        <x:is>
          <x:t xml:space="preserve">Regular cadence; still delays for urgent changes.</x:t>
        </x:is>
      </x:c>
      <x:c r="D105" t="n">
        <x:v>2</x:v>
      </x:c>
      <x:c r="E105" t="inlineStr">
        <x:is>
          <x:t xml:space="preserve"/>
        </x:is>
      </x:c>
      <x:c r="F105" t="inlineStr">
        <x:is>
          <x:t xml:space="preserve">Control Lag</x:t>
        </x:is>
      </x:c>
      <x:c r="G105" t="inlineStr">
        <x:is>
          <x:t xml:space="preserve">Add urgent escalation</x:t>
        </x:is>
      </x:c>
      <x:c r="H105" t="inlineStr">
        <x:is>
          <x:t xml:space="preserve">N</x:t>
        </x:is>
      </x:c>
      <x:c r="I105" s="2" t="inlineStr">
        <x:is>
          <x:t xml:space="preserve"/>
        </x:is>
      </x:c>
    </x:row>
    <x:row r="106" ht="45" customHeight="1">
      <x:c r="A106" t="inlineStr">
        <x:is>
          <x:t xml:space="preserve">HR-D6-Q21</x:t>
        </x:is>
      </x:c>
      <x:c r="B106" t="inlineStr">
        <x:is>
          <x:t xml:space="preserve">HR-D6-Q21-A4</x:t>
        </x:is>
      </x:c>
      <x:c r="C106" s="2" t="inlineStr">
        <x:is>
          <x:t xml:space="preserve">Timely: critical updates within 24–48 hours with clear ownership.</x:t>
        </x:is>
      </x:c>
      <x:c r="D106" t="n">
        <x:v>3</x:v>
      </x:c>
      <x:c r="E106" t="inlineStr">
        <x:is>
          <x:t xml:space="preserve"/>
        </x:is>
      </x:c>
      <x:c r="F106" t="inlineStr">
        <x:is>
          <x:t xml:space="preserve">Control Lag</x:t>
        </x:is>
      </x:c>
      <x:c r="G106" t="inlineStr">
        <x:is>
          <x:t xml:space="preserve">Maintain</x:t>
        </x:is>
      </x:c>
      <x:c r="H106" t="inlineStr">
        <x:is>
          <x:t xml:space="preserve">N</x:t>
        </x:is>
      </x:c>
      <x:c r="I106" s="2" t="inlineStr">
        <x:is>
          <x:t xml:space="preserve">Evidence: sample comms.</x:t>
        </x:is>
      </x:c>
    </x:row>
    <x:row r="107" ht="45" customHeight="1">
      <x:c r="A107" t="inlineStr">
        <x:is>
          <x:t xml:space="preserve">HR-D6-Q22</x:t>
        </x:is>
      </x:c>
      <x:c r="B107" t="inlineStr">
        <x:is>
          <x:t xml:space="preserve">HR-D6-Q22-A1</x:t>
        </x:is>
      </x:c>
      <x:c r="C107" s="2" t="inlineStr">
        <x:is>
          <x:t xml:space="preserve">No checklist; teams improvise each time.</x:t>
        </x:is>
      </x:c>
      <x:c r="D107" t="n">
        <x:v>0</x:v>
      </x:c>
      <x:c r="E107" t="inlineStr">
        <x:is>
          <x:t xml:space="preserve">control_lag</x:t>
        </x:is>
      </x:c>
      <x:c r="F107" t="inlineStr">
        <x:is>
          <x:t xml:space="preserve">Control Lag</x:t>
        </x:is>
      </x:c>
      <x:c r="G107" t="inlineStr">
        <x:is>
          <x:t xml:space="preserve">Create checklist</x:t>
        </x:is>
      </x:c>
      <x:c r="H107" t="inlineStr">
        <x:is>
          <x:t xml:space="preserve">N</x:t>
        </x:is>
      </x:c>
      <x:c r="I107" s="2" t="inlineStr">
        <x:is>
          <x:t xml:space="preserve"/>
        </x:is>
      </x:c>
    </x:row>
    <x:row r="108" ht="45" customHeight="1">
      <x:c r="A108" t="inlineStr">
        <x:is>
          <x:t xml:space="preserve">HR-D6-Q22</x:t>
        </x:is>
      </x:c>
      <x:c r="B108" t="inlineStr">
        <x:is>
          <x:t xml:space="preserve">HR-D6-Q22-A2</x:t>
        </x:is>
      </x:c>
      <x:c r="C108" s="2" t="inlineStr">
        <x:is>
          <x:t xml:space="preserve">Checklist exists but not used consistently.</x:t>
        </x:is>
      </x:c>
      <x:c r="D108" t="n">
        <x:v>1</x:v>
      </x:c>
      <x:c r="E108" t="inlineStr">
        <x:is>
          <x:t xml:space="preserve">paper_dragon_signal</x:t>
        </x:is>
      </x:c>
      <x:c r="F108" t="inlineStr">
        <x:is>
          <x:t xml:space="preserve">Paper Dragon</x:t>
        </x:is>
      </x:c>
      <x:c r="G108" t="inlineStr">
        <x:is>
          <x:t xml:space="preserve">Embed into change management</x:t>
        </x:is>
      </x:c>
      <x:c r="H108" t="inlineStr">
        <x:is>
          <x:t xml:space="preserve">N</x:t>
        </x:is>
      </x:c>
      <x:c r="I108" s="2" t="inlineStr">
        <x:is>
          <x:t xml:space="preserve">Evidence: checklist doc.</x:t>
        </x:is>
      </x:c>
    </x:row>
    <x:row r="109" ht="45" customHeight="1">
      <x:c r="A109" t="inlineStr">
        <x:is>
          <x:t xml:space="preserve">HR-D6-Q22</x:t>
        </x:is>
      </x:c>
      <x:c r="B109" t="inlineStr">
        <x:is>
          <x:t xml:space="preserve">HR-D6-Q22-A3</x:t>
        </x:is>
      </x:c>
      <x:c r="C109" s="2" t="inlineStr">
        <x:is>
          <x:t xml:space="preserve">Used for major events, not smaller re-orgs.</x:t>
        </x:is>
      </x:c>
      <x:c r="D109" t="n">
        <x:v>2</x:v>
      </x:c>
      <x:c r="E109" t="inlineStr">
        <x:is>
          <x:t xml:space="preserve"/>
        </x:is>
      </x:c>
      <x:c r="F109" t="inlineStr">
        <x:is>
          <x:t xml:space="preserve">Control Lag</x:t>
        </x:is>
      </x:c>
      <x:c r="G109" t="inlineStr">
        <x:is>
          <x:t xml:space="preserve">Expand scope and automate</x:t>
        </x:is>
      </x:c>
      <x:c r="H109" t="inlineStr">
        <x:is>
          <x:t xml:space="preserve">N</x:t>
        </x:is>
      </x:c>
      <x:c r="I109" s="2" t="inlineStr">
        <x:is>
          <x:t xml:space="preserve"/>
        </x:is>
      </x:c>
    </x:row>
    <x:row r="110" ht="45" customHeight="1">
      <x:c r="A110" t="inlineStr">
        <x:is>
          <x:t xml:space="preserve">HR-D6-Q22</x:t>
        </x:is>
      </x:c>
      <x:c r="B110" t="inlineStr">
        <x:is>
          <x:t xml:space="preserve">HR-D6-Q22-A4</x:t>
        </x:is>
      </x:c>
      <x:c r="C110" s="2" t="inlineStr">
        <x:is>
          <x:t xml:space="preserve">Used consistently; ownership clear; post-event review occurs.</x:t>
        </x:is>
      </x:c>
      <x:c r="D110" t="n">
        <x:v>3</x:v>
      </x:c>
      <x:c r="E110" t="inlineStr">
        <x:is>
          <x:t xml:space="preserve"/>
        </x:is>
      </x:c>
      <x:c r="F110" t="inlineStr">
        <x:is>
          <x:t xml:space="preserve">Control Lag</x:t>
        </x:is>
      </x:c>
      <x:c r="G110" t="inlineStr">
        <x:is>
          <x:t xml:space="preserve">Maintain and improve</x:t>
        </x:is>
      </x:c>
      <x:c r="H110" t="inlineStr">
        <x:is>
          <x:t xml:space="preserve">N</x:t>
        </x:is>
      </x:c>
      <x:c r="I110" s="2" t="inlineStr">
        <x:is>
          <x:t xml:space="preserve">Evidence: post-event review notes.</x:t>
        </x:is>
      </x:c>
    </x:row>
    <x:row r="111" ht="45" customHeight="1">
      <x:c r="A111" t="inlineStr">
        <x:is>
          <x:t xml:space="preserve">HR-D6-Q22</x:t>
        </x:is>
      </x:c>
      <x:c r="B111" t="inlineStr">
        <x:is>
          <x:t xml:space="preserve">HR-D6-Q22-A5</x:t>
        </x:is>
      </x:c>
      <x:c r="C111" s="2" t="inlineStr">
        <x:is>
          <x:t xml:space="preserve">Optimized: checklist integrated into workflows with measurable control-lag targets.</x:t>
        </x:is>
      </x:c>
      <x:c r="D111" t="n">
        <x:v>4</x:v>
      </x:c>
      <x:c r="E111" t="inlineStr">
        <x:is>
          <x:t xml:space="preserve"/>
        </x:is>
      </x:c>
      <x:c r="F111" t="inlineStr">
        <x:is>
          <x:t xml:space="preserve">Control Lag</x:t>
        </x:is>
      </x:c>
      <x:c r="G111" t="inlineStr">
        <x:is>
          <x:t xml:space="preserve">Maintain maturity</x:t>
        </x:is>
      </x:c>
      <x:c r="H111" t="inlineStr">
        <x:is>
          <x:t xml:space="preserve">N</x:t>
        </x:is>
      </x:c>
      <x:c r="I111" s="2" t="inlineStr">
        <x:is>
          <x:t xml:space="preserve">Evidence: lag KPI.</x:t>
        </x:is>
      </x:c>
    </x:row>
    <x:row r="112" ht="45" customHeight="1">
      <x:c r="A112" t="inlineStr">
        <x:is>
          <x:t xml:space="preserve">HR-D7-Q23</x:t>
        </x:is>
      </x:c>
      <x:c r="B112" t="inlineStr">
        <x:is>
          <x:t xml:space="preserve">HR-D7-Q23-A0</x:t>
        </x:is>
      </x:c>
      <x:c r="C112" s="2" t="inlineStr">
        <x:is>
          <x:t xml:space="preserve">I don't know / Not sure.</x:t>
        </x:is>
      </x:c>
      <x:c r="D112" t="n">
        <x:v>0</x:v>
      </x:c>
      <x:c r="E112" t="inlineStr">
        <x:is>
          <x:t xml:space="preserve">low-confidence</x:t>
        </x:is>
      </x:c>
      <x:c r="F112" t="inlineStr">
        <x:is>
          <x:t xml:space="preserve">Legal Exposure</x:t>
        </x:is>
      </x:c>
      <x:c r="G112" t="inlineStr">
        <x:is>
          <x:t xml:space="preserve">Clarify process</x:t>
        </x:is>
      </x:c>
      <x:c r="H112" t="inlineStr">
        <x:is>
          <x:t xml:space="preserve">N</x:t>
        </x:is>
      </x:c>
      <x:c r="I112" s="2" t="inlineStr">
        <x:is>
          <x:t xml:space="preserve"/>
        </x:is>
      </x:c>
    </x:row>
    <x:row r="113" ht="45" customHeight="1">
      <x:c r="A113" t="inlineStr">
        <x:is>
          <x:t xml:space="preserve">HR-D7-Q23</x:t>
        </x:is>
      </x:c>
      <x:c r="B113" t="inlineStr">
        <x:is>
          <x:t xml:space="preserve">HR-D7-Q23-A1</x:t>
        </x:is>
      </x:c>
      <x:c r="C113" s="2" t="inlineStr">
        <x:is>
          <x:t xml:space="preserve">No: handled ad-hoc; differs by team/manager.</x:t>
        </x:is>
      </x:c>
      <x:c r="D113" t="n">
        <x:v>0</x:v>
      </x:c>
      <x:c r="E113" t="inlineStr">
        <x:is>
          <x:t xml:space="preserve">legal_exposure</x:t>
        </x:is>
      </x:c>
      <x:c r="F113" t="inlineStr">
        <x:is>
          <x:t xml:space="preserve">Operating Model Gap</x:t>
        </x:is>
      </x:c>
      <x:c r="G113" t="inlineStr">
        <x:is>
          <x:t xml:space="preserve">Define investigation process</x:t>
        </x:is>
      </x:c>
      <x:c r="H113" t="inlineStr">
        <x:is>
          <x:t xml:space="preserve">N</x:t>
        </x:is>
      </x:c>
      <x:c r="I113" s="2" t="inlineStr">
        <x:is>
          <x:t xml:space="preserve"/>
        </x:is>
      </x:c>
    </x:row>
    <x:row r="114" ht="45" customHeight="1">
      <x:c r="A114" t="inlineStr">
        <x:is>
          <x:t xml:space="preserve">HR-D7-Q23</x:t>
        </x:is>
      </x:c>
      <x:c r="B114" t="inlineStr">
        <x:is>
          <x:t xml:space="preserve">HR-D7-Q23-A2</x:t>
        </x:is>
      </x:c>
      <x:c r="C114" s="2" t="inlineStr">
        <x:is>
          <x:t xml:space="preserve">Partial: HR handles most; Security/Legal involved only sometimes.</x:t>
        </x:is>
      </x:c>
      <x:c r="D114" t="n">
        <x:v>1</x:v>
      </x:c>
      <x:c r="E114" t="inlineStr">
        <x:is>
          <x:t xml:space="preserve">shadow_mature_signal</x:t>
        </x:is>
      </x:c>
      <x:c r="F114" t="inlineStr">
        <x:is>
          <x:t xml:space="preserve">Operating Model Gap</x:t>
        </x:is>
      </x:c>
      <x:c r="G114" t="inlineStr">
        <x:is>
          <x:t xml:space="preserve">Define escalation and roles</x:t>
        </x:is>
      </x:c>
      <x:c r="H114" t="inlineStr">
        <x:is>
          <x:t xml:space="preserve">N</x:t>
        </x:is>
      </x:c>
      <x:c r="I114" s="2" t="inlineStr">
        <x:is>
          <x:t xml:space="preserve"/>
        </x:is>
      </x:c>
    </x:row>
    <x:row r="115" ht="45" customHeight="1">
      <x:c r="A115" t="inlineStr">
        <x:is>
          <x:t xml:space="preserve">HR-D7-Q23</x:t>
        </x:is>
      </x:c>
      <x:c r="B115" t="inlineStr">
        <x:is>
          <x:t xml:space="preserve">HR-D7-Q23-A3</x:t>
        </x:is>
      </x:c>
      <x:c r="C115" s="2" t="inlineStr">
        <x:is>
          <x:t xml:space="preserve">Documented: process exists but adherence varies; outcomes inconsistently recorded.</x:t>
        </x:is>
      </x:c>
      <x:c r="D115" t="n">
        <x:v>2</x:v>
      </x:c>
      <x:c r="E115" t="inlineStr">
        <x:is>
          <x:t xml:space="preserve">paper_dragon_signal</x:t>
        </x:is>
      </x:c>
      <x:c r="F115" t="inlineStr">
        <x:is>
          <x:t xml:space="preserve">Paper Dragon</x:t>
        </x:is>
      </x:c>
      <x:c r="G115" t="inlineStr">
        <x:is>
          <x:t xml:space="preserve">Improve adherence and tracking</x:t>
        </x:is>
      </x:c>
      <x:c r="H115" t="inlineStr">
        <x:is>
          <x:t xml:space="preserve">N</x:t>
        </x:is>
      </x:c>
      <x:c r="I115" s="2" t="inlineStr">
        <x:is>
          <x:t xml:space="preserve">Evidence: process doc.</x:t>
        </x:is>
      </x:c>
    </x:row>
    <x:row r="116" ht="45" customHeight="1">
      <x:c r="A116" t="inlineStr">
        <x:is>
          <x:t xml:space="preserve">HR-D7-Q23</x:t>
        </x:is>
      </x:c>
      <x:c r="B116" t="inlineStr">
        <x:is>
          <x:t xml:space="preserve">HR-D7-Q23-A4</x:t>
        </x:is>
      </x:c>
      <x:c r="C116" s="2" t="inlineStr">
        <x:is>
          <x:t xml:space="preserve">Managed: consistently followed with privacy/legal checkpoints.</x:t>
        </x:is>
      </x:c>
      <x:c r="D116" t="n">
        <x:v>3</x:v>
      </x:c>
      <x:c r="E116" t="inlineStr">
        <x:is>
          <x:t xml:space="preserve"/>
        </x:is>
      </x:c>
      <x:c r="F116" t="inlineStr">
        <x:is>
          <x:t xml:space="preserve">Legal Exposure</x:t>
        </x:is>
      </x:c>
      <x:c r="G116" t="inlineStr">
        <x:is>
          <x:t xml:space="preserve">Maintain and audit</x:t>
        </x:is>
      </x:c>
      <x:c r="H116" t="inlineStr">
        <x:is>
          <x:t xml:space="preserve">N</x:t>
        </x:is>
      </x:c>
      <x:c r="I116" s="2" t="inlineStr">
        <x:is>
          <x:t xml:space="preserve">Evidence: redacted checklist.</x:t>
        </x:is>
      </x:c>
    </x:row>
    <x:row r="117" ht="45" customHeight="1">
      <x:c r="A117" t="inlineStr">
        <x:is>
          <x:t xml:space="preserve">HR-D7-Q23</x:t>
        </x:is>
      </x:c>
      <x:c r="B117" t="inlineStr">
        <x:is>
          <x:t xml:space="preserve">HR-D7-Q23-A5</x:t>
        </x:is>
      </x:c>
      <x:c r="C117" s="2" t="inlineStr">
        <x:is>
          <x:t xml:space="preserve">Optimized: audited; staff trained; lessons learned feed improvements.</x:t>
        </x:is>
      </x:c>
      <x:c r="D117" t="n">
        <x:v>4</x:v>
      </x:c>
      <x:c r="E117" t="inlineStr">
        <x:is>
          <x:t xml:space="preserve"/>
        </x:is>
      </x:c>
      <x:c r="F117" t="inlineStr">
        <x:is>
          <x:t xml:space="preserve">Legal Exposure</x:t>
        </x:is>
      </x:c>
      <x:c r="G117" t="inlineStr">
        <x:is>
          <x:t xml:space="preserve">Continuous improvement</x:t>
        </x:is>
      </x:c>
      <x:c r="H117" t="inlineStr">
        <x:is>
          <x:t xml:space="preserve">N</x:t>
        </x:is>
      </x:c>
      <x:c r="I117" s="2" t="inlineStr">
        <x:is>
          <x:t xml:space="preserve">Evidence: audit/exercise outputs.</x:t>
        </x:is>
      </x:c>
    </x:row>
    <x:row r="118" ht="45" customHeight="1">
      <x:c r="A118" t="inlineStr">
        <x:is>
          <x:t xml:space="preserve">HR-D7-Q24</x:t>
        </x:is>
      </x:c>
      <x:c r="B118" t="inlineStr">
        <x:is>
          <x:t xml:space="preserve">HR-D7-Q24-A1</x:t>
        </x:is>
      </x:c>
      <x:c r="C118" s="2" t="inlineStr">
        <x:is>
          <x:t xml:space="preserve">Decisions informal; confidentiality not clearly managed.</x:t>
        </x:is>
      </x:c>
      <x:c r="D118" t="n">
        <x:v>0</x:v>
      </x:c>
      <x:c r="E118" t="inlineStr">
        <x:is>
          <x:t xml:space="preserve">legal_exposure</x:t>
        </x:is>
      </x:c>
      <x:c r="F118" t="inlineStr">
        <x:is>
          <x:t xml:space="preserve">Legal Exposure</x:t>
        </x:is>
      </x:c>
      <x:c r="G118" t="inlineStr">
        <x:is>
          <x:t xml:space="preserve">Introduce approvals and boundaries</x:t>
        </x:is>
      </x:c>
      <x:c r="H118" t="inlineStr">
        <x:is>
          <x:t xml:space="preserve">N</x:t>
        </x:is>
      </x:c>
      <x:c r="I118" s="2" t="inlineStr">
        <x:is>
          <x:t xml:space="preserve"/>
        </x:is>
      </x:c>
    </x:row>
    <x:row r="119" ht="45" customHeight="1">
      <x:c r="A119" t="inlineStr">
        <x:is>
          <x:t xml:space="preserve">HR-D7-Q24</x:t>
        </x:is>
      </x:c>
      <x:c r="B119" t="inlineStr">
        <x:is>
          <x:t xml:space="preserve">HR-D7-Q24-A2</x:t>
        </x:is>
      </x:c>
      <x:c r="C119" s="2" t="inlineStr">
        <x:is>
          <x:t xml:space="preserve">HR decides; documentation limited.</x:t>
        </x:is>
      </x:c>
      <x:c r="D119" t="n">
        <x:v>1</x:v>
      </x:c>
      <x:c r="E119" t="inlineStr">
        <x:is>
          <x:t xml:space="preserve">paper_dragon_signal</x:t>
        </x:is>
      </x:c>
      <x:c r="F119" t="inlineStr">
        <x:is>
          <x:t xml:space="preserve">Paper Dragon</x:t>
        </x:is>
      </x:c>
      <x:c r="G119" t="inlineStr">
        <x:is>
          <x:t xml:space="preserve">Strengthen documentation</x:t>
        </x:is>
      </x:c>
      <x:c r="H119" t="inlineStr">
        <x:is>
          <x:t xml:space="preserve">N</x:t>
        </x:is>
      </x:c>
      <x:c r="I119" s="2" t="inlineStr">
        <x:is>
          <x:t xml:space="preserve"/>
        </x:is>
      </x:c>
    </x:row>
    <x:row r="120" ht="45" customHeight="1">
      <x:c r="A120" t="inlineStr">
        <x:is>
          <x:t xml:space="preserve">HR-D7-Q24</x:t>
        </x:is>
      </x:c>
      <x:c r="B120" t="inlineStr">
        <x:is>
          <x:t xml:space="preserve">HR-D7-Q24-A3</x:t>
        </x:is>
      </x:c>
      <x:c r="C120" s="2" t="inlineStr">
        <x:is>
          <x:t xml:space="preserve">HR and Legal decide; Security inputs; decisions documented sometimes.</x:t>
        </x:is>
      </x:c>
      <x:c r="D120" t="n">
        <x:v>2</x:v>
      </x:c>
      <x:c r="E120" t="inlineStr">
        <x:is>
          <x:t xml:space="preserve"/>
        </x:is>
      </x:c>
      <x:c r="F120" t="inlineStr">
        <x:is>
          <x:t xml:space="preserve">Legal Exposure</x:t>
        </x:is>
      </x:c>
      <x:c r="G120" t="inlineStr">
        <x:is>
          <x:t xml:space="preserve">Standardize approvals</x:t>
        </x:is>
      </x:c>
      <x:c r="H120" t="inlineStr">
        <x:is>
          <x:t xml:space="preserve">N</x:t>
        </x:is>
      </x:c>
      <x:c r="I120" s="2" t="inlineStr">
        <x:is>
          <x:t xml:space="preserve"/>
        </x:is>
      </x:c>
    </x:row>
    <x:row r="121" ht="45" customHeight="1">
      <x:c r="A121" t="inlineStr">
        <x:is>
          <x:t xml:space="preserve">HR-D7-Q24</x:t>
        </x:is>
      </x:c>
      <x:c r="B121" t="inlineStr">
        <x:is>
          <x:t xml:space="preserve">HR-D7-Q24-A4</x:t>
        </x:is>
      </x:c>
      <x:c r="C121" s="2" t="inlineStr">
        <x:is>
          <x:t xml:space="preserve">Clear approvals and confidentiality rules exist, even if workflow informal.</x:t>
        </x:is>
      </x:c>
      <x:c r="D121" t="n">
        <x:v>3</x:v>
      </x:c>
      <x:c r="E121" t="inlineStr">
        <x:is>
          <x:t xml:space="preserve">shadow_mature_signal</x:t>
        </x:is>
      </x:c>
      <x:c r="F121" t="inlineStr">
        <x:is>
          <x:t xml:space="preserve">Legal Exposure</x:t>
        </x:is>
      </x:c>
      <x:c r="G121" t="inlineStr">
        <x:is>
          <x:t xml:space="preserve">Formalize workflow</x:t>
        </x:is>
      </x:c>
      <x:c r="H121" t="inlineStr">
        <x:is>
          <x:t xml:space="preserve">N</x:t>
        </x:is>
      </x:c>
      <x:c r="I121" s="2" t="inlineStr">
        <x:is>
          <x:t xml:space="preserve">Evidence: approval checklist.</x:t>
        </x:is>
      </x:c>
    </x:row>
    <x:row r="122" ht="45" customHeight="1">
      <x:c r="A122" t="inlineStr">
        <x:is>
          <x:t xml:space="preserve">HR-D7-Q25</x:t>
        </x:is>
      </x:c>
      <x:c r="B122" t="inlineStr">
        <x:is>
          <x:t xml:space="preserve">HR-D7-Q25-A1</x:t>
        </x:is>
      </x:c>
      <x:c r="C122" s="2" t="inlineStr">
        <x:is>
          <x:t xml:space="preserve">No recourse; decisions are final.</x:t>
        </x:is>
      </x:c>
      <x:c r="D122" t="n">
        <x:v>0</x:v>
      </x:c>
      <x:c r="E122" t="inlineStr">
        <x:is>
          <x:t xml:space="preserve">toxic_enforcer_signal</x:t>
        </x:is>
      </x:c>
      <x:c r="F122" t="inlineStr">
        <x:is>
          <x:t xml:space="preserve">Toxic Enforcer</x:t>
        </x:is>
      </x:c>
      <x:c r="G122" t="inlineStr">
        <x:is>
          <x:t xml:space="preserve">Implement appeal route</x:t>
        </x:is>
      </x:c>
      <x:c r="H122" t="inlineStr">
        <x:is>
          <x:t xml:space="preserve">N</x:t>
        </x:is>
      </x:c>
      <x:c r="I122" s="2" t="inlineStr">
        <x:is>
          <x:t xml:space="preserve"/>
        </x:is>
      </x:c>
    </x:row>
    <x:row r="123" ht="45" customHeight="1">
      <x:c r="A123" t="inlineStr">
        <x:is>
          <x:t xml:space="preserve">HR-D7-Q25</x:t>
        </x:is>
      </x:c>
      <x:c r="B123" t="inlineStr">
        <x:is>
          <x:t xml:space="preserve">HR-D7-Q25-A2</x:t>
        </x:is>
      </x:c>
      <x:c r="C123" s="2" t="inlineStr">
        <x:is>
          <x:t xml:space="preserve">Informal: complain to a manager; outcomes vary.</x:t>
        </x:is>
      </x:c>
      <x:c r="D123" t="n">
        <x:v>1</x:v>
      </x:c>
      <x:c r="E123" t="inlineStr">
        <x:is>
          <x:t xml:space="preserve">culture_risk</x:t>
        </x:is>
      </x:c>
      <x:c r="F123" t="inlineStr">
        <x:is>
          <x:t xml:space="preserve">Culture Risk</x:t>
        </x:is>
      </x:c>
      <x:c r="G123" t="inlineStr">
        <x:is>
          <x:t xml:space="preserve">Create consistent review</x:t>
        </x:is>
      </x:c>
      <x:c r="H123" t="inlineStr">
        <x:is>
          <x:t xml:space="preserve">N</x:t>
        </x:is>
      </x:c>
      <x:c r="I123" s="2" t="inlineStr">
        <x:is>
          <x:t xml:space="preserve"/>
        </x:is>
      </x:c>
    </x:row>
    <x:row r="124" ht="45" customHeight="1">
      <x:c r="A124" t="inlineStr">
        <x:is>
          <x:t xml:space="preserve">HR-D7-Q25</x:t>
        </x:is>
      </x:c>
      <x:c r="B124" t="inlineStr">
        <x:is>
          <x:t xml:space="preserve">HR-D7-Q25-A3</x:t>
        </x:is>
      </x:c>
      <x:c r="C124" s="2" t="inlineStr">
        <x:is>
          <x:t xml:space="preserve">General grievance process exists, but not tailored to monitoring/investigations.</x:t>
        </x:is>
      </x:c>
      <x:c r="D124" t="n">
        <x:v>2</x:v>
      </x:c>
      <x:c r="E124" t="inlineStr">
        <x:is>
          <x:t xml:space="preserve"/>
        </x:is>
      </x:c>
      <x:c r="F124" t="inlineStr">
        <x:is>
          <x:t xml:space="preserve">Culture Risk</x:t>
        </x:is>
      </x:c>
      <x:c r="G124" t="inlineStr">
        <x:is>
          <x:t xml:space="preserve">Define independent review</x:t>
        </x:is>
      </x:c>
      <x:c r="H124" t="inlineStr">
        <x:is>
          <x:t xml:space="preserve">N</x:t>
        </x:is>
      </x:c>
      <x:c r="I124" s="2" t="inlineStr">
        <x:is>
          <x:t xml:space="preserve">Evidence: grievance process.</x:t>
        </x:is>
      </x:c>
    </x:row>
    <x:row r="125" ht="45" customHeight="1">
      <x:c r="A125" t="inlineStr">
        <x:is>
          <x:t xml:space="preserve">HR-D7-Q25</x:t>
        </x:is>
      </x:c>
      <x:c r="B125" t="inlineStr">
        <x:is>
          <x:t xml:space="preserve">HR-D7-Q25-A4</x:t>
        </x:is>
      </x:c>
      <x:c r="C125" s="2" t="inlineStr">
        <x:is>
          <x:t xml:space="preserve">Independent check exists (privacy/ombuds) for sensitive cases.</x:t>
        </x:is>
      </x:c>
      <x:c r="D125" t="n">
        <x:v>3</x:v>
      </x:c>
      <x:c r="E125" t="inlineStr">
        <x:is>
          <x:t xml:space="preserve"/>
        </x:is>
      </x:c>
      <x:c r="F125" t="inlineStr">
        <x:is>
          <x:t xml:space="preserve">Culture Risk</x:t>
        </x:is>
      </x:c>
      <x:c r="G125" t="inlineStr">
        <x:is>
          <x:t xml:space="preserve">Maintain oversight</x:t>
        </x:is>
      </x:c>
      <x:c r="H125" t="inlineStr">
        <x:is>
          <x:t xml:space="preserve">N</x:t>
        </x:is>
      </x:c>
      <x:c r="I125" s="2" t="inlineStr">
        <x:is>
          <x:t xml:space="preserve">Evidence: review workflow.</x:t>
        </x:is>
      </x:c>
    </x:row>
    <x:row r="126" ht="45" customHeight="1">
      <x:c r="A126" t="inlineStr">
        <x:is>
          <x:t xml:space="preserve">HR-D7-Q25</x:t>
        </x:is>
      </x:c>
      <x:c r="B126" t="inlineStr">
        <x:is>
          <x:t xml:space="preserve">HR-D7-Q25-A5</x:t>
        </x:is>
      </x:c>
      <x:c r="C126" s="2" t="inlineStr">
        <x:is>
          <x:t xml:space="preserve">Transparent, multi-function review with audit trail and feedback loops.</x:t>
        </x:is>
      </x:c>
      <x:c r="D126" t="n">
        <x:v>4</x:v>
      </x:c>
      <x:c r="E126" t="inlineStr">
        <x:is>
          <x:t xml:space="preserve"/>
        </x:is>
      </x:c>
      <x:c r="F126" t="inlineStr">
        <x:is>
          <x:t xml:space="preserve">Culture Risk</x:t>
        </x:is>
      </x:c>
      <x:c r="G126" t="inlineStr">
        <x:is>
          <x:t xml:space="preserve">Maintain maturity</x:t>
        </x:is>
      </x:c>
      <x:c r="H126" t="inlineStr">
        <x:is>
          <x:t xml:space="preserve">N</x:t>
        </x:is>
      </x:c>
      <x:c r="I126" s="2" t="inlineStr">
        <x:is>
          <x:t xml:space="preserve">Evidence: audit trail sample.</x:t>
        </x:is>
      </x:c>
    </x:row>
    <x:row r="127" ht="45" customHeight="1">
      <x:c r="A127" t="inlineStr">
        <x:is>
          <x:t xml:space="preserve">HR-D7-Q26</x:t>
        </x:is>
      </x:c>
      <x:c r="B127" t="inlineStr">
        <x:is>
          <x:t xml:space="preserve">HR-D7-Q26-A1</x:t>
        </x:is>
      </x:c>
      <x:c r="C127" s="2" t="inlineStr">
        <x:is>
          <x:t xml:space="preserve">No: cases close with no learning loop.</x:t>
        </x:is>
      </x:c>
      <x:c r="D127" t="n">
        <x:v>0</x:v>
      </x:c>
      <x:c r="E127" t="inlineStr">
        <x:is>
          <x:t xml:space="preserve">paper_dragon_signal</x:t>
        </x:is>
      </x:c>
      <x:c r="F127" t="inlineStr">
        <x:is>
          <x:t xml:space="preserve">Paper Dragon</x:t>
        </x:is>
      </x:c>
      <x:c r="G127" t="inlineStr">
        <x:is>
          <x:t xml:space="preserve">Create lessons-learned process</x:t>
        </x:is>
      </x:c>
      <x:c r="H127" t="inlineStr">
        <x:is>
          <x:t xml:space="preserve">N</x:t>
        </x:is>
      </x:c>
      <x:c r="I127" s="2" t="inlineStr">
        <x:is>
          <x:t xml:space="preserve"/>
        </x:is>
      </x:c>
    </x:row>
    <x:row r="128" ht="45" customHeight="1">
      <x:c r="A128" t="inlineStr">
        <x:is>
          <x:t xml:space="preserve">HR-D7-Q26</x:t>
        </x:is>
      </x:c>
      <x:c r="B128" t="inlineStr">
        <x:is>
          <x:t xml:space="preserve">HR-D7-Q26-A2</x:t>
        </x:is>
      </x:c>
      <x:c r="C128" s="2" t="inlineStr">
        <x:is>
          <x:t xml:space="preserve">Sometimes: lessons discussed informally.</x:t>
        </x:is>
      </x:c>
      <x:c r="D128" t="n">
        <x:v>1</x:v>
      </x:c>
      <x:c r="E128" t="inlineStr">
        <x:is>
          <x:t xml:space="preserve">shadow_mature_signal</x:t>
        </x:is>
      </x:c>
      <x:c r="F128" t="inlineStr">
        <x:is>
          <x:t xml:space="preserve">Operating Model Gap</x:t>
        </x:is>
      </x:c>
      <x:c r="G128" t="inlineStr">
        <x:is>
          <x:t xml:space="preserve">Document and assign actions</x:t>
        </x:is>
      </x:c>
      <x:c r="H128" t="inlineStr">
        <x:is>
          <x:t xml:space="preserve">N</x:t>
        </x:is>
      </x:c>
      <x:c r="I128" s="2" t="inlineStr">
        <x:is>
          <x:t xml:space="preserve"/>
        </x:is>
      </x:c>
    </x:row>
    <x:row r="129" ht="45" customHeight="1">
      <x:c r="A129" t="inlineStr">
        <x:is>
          <x:t xml:space="preserve">HR-D7-Q26</x:t>
        </x:is>
      </x:c>
      <x:c r="B129" t="inlineStr">
        <x:is>
          <x:t xml:space="preserve">HR-D7-Q26-A3</x:t>
        </x:is>
      </x:c>
      <x:c r="C129" s="2" t="inlineStr">
        <x:is>
          <x:t xml:space="preserve">Defined: post-case review exists but actions not tracked to completion.</x:t>
        </x:is>
      </x:c>
      <x:c r="D129" t="n">
        <x:v>2</x:v>
      </x:c>
      <x:c r="E129" t="inlineStr">
        <x:is>
          <x:t xml:space="preserve"/>
        </x:is>
      </x:c>
      <x:c r="F129" t="inlineStr">
        <x:is>
          <x:t xml:space="preserve">Operating Model Gap</x:t>
        </x:is>
      </x:c>
      <x:c r="G129" t="inlineStr">
        <x:is>
          <x:t xml:space="preserve">Track action completion</x:t>
        </x:is>
      </x:c>
      <x:c r="H129" t="inlineStr">
        <x:is>
          <x:t xml:space="preserve">N</x:t>
        </x:is>
      </x:c>
      <x:c r="I129" s="2" t="inlineStr">
        <x:is>
          <x:t xml:space="preserve">Evidence: action log.</x:t>
        </x:is>
      </x:c>
    </x:row>
    <x:row r="130" ht="45" customHeight="1">
      <x:c r="A130" t="inlineStr">
        <x:is>
          <x:t xml:space="preserve">HR-D7-Q26</x:t>
        </x:is>
      </x:c>
      <x:c r="B130" t="inlineStr">
        <x:is>
          <x:t xml:space="preserve">HR-D7-Q26-A4</x:t>
        </x:is>
      </x:c>
      <x:c r="C130" s="2" t="inlineStr">
        <x:is>
          <x:t xml:space="preserve">Managed: improvements tracked and communicated; repeat issues reduce.</x:t>
        </x:is>
      </x:c>
      <x:c r="D130" t="n">
        <x:v>3</x:v>
      </x:c>
      <x:c r="E130" t="inlineStr">
        <x:is>
          <x:t xml:space="preserve"/>
        </x:is>
      </x:c>
      <x:c r="F130" t="inlineStr">
        <x:is>
          <x:t xml:space="preserve">Operating Model Gap</x:t>
        </x:is>
      </x:c>
      <x:c r="G130" t="inlineStr">
        <x:is>
          <x:t xml:space="preserve">Maintain metrics</x:t>
        </x:is>
      </x:c>
      <x:c r="H130" t="inlineStr">
        <x:is>
          <x:t xml:space="preserve">N</x:t>
        </x:is>
      </x:c>
      <x:c r="I130" s="2" t="inlineStr">
        <x:is>
          <x:t xml:space="preserve">Evidence: before/after examples.</x:t>
        </x:is>
      </x:c>
    </x:row>
    <x:row r="131" ht="45" customHeight="1">
      <x:c r="A131" t="inlineStr">
        <x:is>
          <x:t xml:space="preserve">HR-D7-Q26</x:t>
        </x:is>
      </x:c>
      <x:c r="B131" t="inlineStr">
        <x:is>
          <x:t xml:space="preserve">HR-D7-Q26-A5</x:t>
        </x:is>
      </x:c>
      <x:c r="C131" s="2" t="inlineStr">
        <x:is>
          <x:t xml:space="preserve">Optimized: continuous improvement; trust and outcomes both measured.</x:t>
        </x:is>
      </x:c>
      <x:c r="D131" t="n">
        <x:v>4</x:v>
      </x:c>
      <x:c r="E131" t="inlineStr">
        <x:is>
          <x:t xml:space="preserve"/>
        </x:is>
      </x:c>
      <x:c r="F131" t="inlineStr">
        <x:is>
          <x:t xml:space="preserve">Culture Risk</x:t>
        </x:is>
      </x:c>
      <x:c r="G131" t="inlineStr">
        <x:is>
          <x:t xml:space="preserve">Maintain maturity</x:t>
        </x:is>
      </x:c>
      <x:c r="H131" t="inlineStr">
        <x:is>
          <x:t xml:space="preserve">N</x:t>
        </x:is>
      </x:c>
      <x:c r="I131" s="2" t="inlineStr">
        <x:is>
          <x:t xml:space="preserve">Evidence: KPIs + survey trends.</x:t>
        </x:is>
      </x:c>
    </x:row>
    <x:row r="132" ht="45" customHeight="1">
      <x:c r="A132" t="inlineStr">
        <x:is>
          <x:t xml:space="preserve">HR-D8-Q27</x:t>
        </x:is>
      </x:c>
      <x:c r="B132" t="inlineStr">
        <x:is>
          <x:t xml:space="preserve">HR-D8-Q27-A0</x:t>
        </x:is>
      </x:c>
      <x:c r="C132" s="2" t="inlineStr">
        <x:is>
          <x:t xml:space="preserve">I don't know / Not sure.</x:t>
        </x:is>
      </x:c>
      <x:c r="D132" t="n">
        <x:v>0</x:v>
      </x:c>
      <x:c r="E132" t="inlineStr">
        <x:is>
          <x:t xml:space="preserve">low-confidence</x:t>
        </x:is>
      </x:c>
      <x:c r="F132" t="inlineStr">
        <x:is>
          <x:t xml:space="preserve">Operating Model Gap</x:t>
        </x:is>
      </x:c>
      <x:c r="G132" t="inlineStr">
        <x:is>
          <x:t xml:space="preserve">Clarify reporting</x:t>
        </x:is>
      </x:c>
      <x:c r="H132" t="inlineStr">
        <x:is>
          <x:t xml:space="preserve">N</x:t>
        </x:is>
      </x:c>
      <x:c r="I132" s="2" t="inlineStr">
        <x:is>
          <x:t xml:space="preserve"/>
        </x:is>
      </x:c>
    </x:row>
    <x:row r="133" ht="45" customHeight="1">
      <x:c r="A133" t="inlineStr">
        <x:is>
          <x:t xml:space="preserve">HR-D8-Q27</x:t>
        </x:is>
      </x:c>
      <x:c r="B133" t="inlineStr">
        <x:is>
          <x:t xml:space="preserve">HR-D8-Q27-A1</x:t>
        </x:is>
      </x:c>
      <x:c r="C133" s="2" t="inlineStr">
        <x:is>
          <x:t xml:space="preserve">None: HR does not report on these topics.</x:t>
        </x:is>
      </x:c>
      <x:c r="D133" t="n">
        <x:v>0</x:v>
      </x:c>
      <x:c r="E133" t="inlineStr">
        <x:is>
          <x:t xml:space="preserve">paper_dragon_signal</x:t>
        </x:is>
      </x:c>
      <x:c r="F133" t="inlineStr">
        <x:is>
          <x:t xml:space="preserve">Paper Dragon</x:t>
        </x:is>
      </x:c>
      <x:c r="G133" t="inlineStr">
        <x:is>
          <x:t xml:space="preserve">Introduce leadership reporting</x:t>
        </x:is>
      </x:c>
      <x:c r="H133" t="inlineStr">
        <x:is>
          <x:t xml:space="preserve">N</x:t>
        </x:is>
      </x:c>
      <x:c r="I133" s="2" t="inlineStr">
        <x:is>
          <x:t xml:space="preserve"/>
        </x:is>
      </x:c>
    </x:row>
    <x:row r="134" ht="45" customHeight="1">
      <x:c r="A134" t="inlineStr">
        <x:is>
          <x:t xml:space="preserve">HR-D8-Q27</x:t>
        </x:is>
      </x:c>
      <x:c r="B134" t="inlineStr">
        <x:is>
          <x:t xml:space="preserve">HR-D8-Q27-A2</x:t>
        </x:is>
      </x:c>
      <x:c r="C134" s="2" t="inlineStr">
        <x:is>
          <x:t xml:space="preserve">Ad-hoc: only after incidents or external pressure.</x:t>
        </x:is>
      </x:c>
      <x:c r="D134" t="n">
        <x:v>1</x:v>
      </x:c>
      <x:c r="E134" t="inlineStr">
        <x:is>
          <x:t xml:space="preserve">control_lag</x:t>
        </x:is>
      </x:c>
      <x:c r="F134" t="inlineStr">
        <x:is>
          <x:t xml:space="preserve">Control Lag</x:t>
        </x:is>
      </x:c>
      <x:c r="G134" t="inlineStr">
        <x:is>
          <x:t xml:space="preserve">Create regular cadence</x:t>
        </x:is>
      </x:c>
      <x:c r="H134" t="inlineStr">
        <x:is>
          <x:t xml:space="preserve">N</x:t>
        </x:is>
      </x:c>
      <x:c r="I134" s="2" t="inlineStr">
        <x:is>
          <x:t xml:space="preserve"/>
        </x:is>
      </x:c>
    </x:row>
    <x:row r="135" ht="45" customHeight="1">
      <x:c r="A135" t="inlineStr">
        <x:is>
          <x:t xml:space="preserve">HR-D8-Q27</x:t>
        </x:is>
      </x:c>
      <x:c r="B135" t="inlineStr">
        <x:is>
          <x:t xml:space="preserve">HR-D8-Q27-A3</x:t>
        </x:is>
      </x:c>
      <x:c r="C135" s="2" t="inlineStr">
        <x:is>
          <x:t xml:space="preserve">Basic: occasional updates on policy/training; limited on culture/themes.</x:t>
        </x:is>
      </x:c>
      <x:c r="D135" t="n">
        <x:v>2</x:v>
      </x:c>
      <x:c r="E135" t="inlineStr">
        <x:is>
          <x:t xml:space="preserve"/>
        </x:is>
      </x:c>
      <x:c r="F135" t="inlineStr">
        <x:is>
          <x:t xml:space="preserve">Operating Model Gap</x:t>
        </x:is>
      </x:c>
      <x:c r="G135" t="inlineStr">
        <x:is>
          <x:t xml:space="preserve">Expand to themes + actions</x:t>
        </x:is>
      </x:c>
      <x:c r="H135" t="inlineStr">
        <x:is>
          <x:t xml:space="preserve">N</x:t>
        </x:is>
      </x:c>
      <x:c r="I135" s="2" t="inlineStr">
        <x:is>
          <x:t xml:space="preserve">Evidence: slide pack example.</x:t>
        </x:is>
      </x:c>
    </x:row>
    <x:row r="136" ht="45" customHeight="1">
      <x:c r="A136" t="inlineStr">
        <x:is>
          <x:t xml:space="preserve">HR-D8-Q27</x:t>
        </x:is>
      </x:c>
      <x:c r="B136" t="inlineStr">
        <x:is>
          <x:t xml:space="preserve">HR-D8-Q27-A4</x:t>
        </x:is>
      </x:c>
      <x:c r="C136" s="2" t="inlineStr">
        <x:is>
          <x:t xml:space="preserve">Managed: quarterly dashboards covering culture, retaliation, and improvement actions.</x:t>
        </x:is>
      </x:c>
      <x:c r="D136" t="n">
        <x:v>3</x:v>
      </x:c>
      <x:c r="E136" t="inlineStr">
        <x:is>
          <x:t xml:space="preserve"/>
        </x:is>
      </x:c>
      <x:c r="F136" t="inlineStr">
        <x:is>
          <x:t xml:space="preserve">Operating Model Gap</x:t>
        </x:is>
      </x:c>
      <x:c r="G136" t="inlineStr">
        <x:is>
          <x:t xml:space="preserve">Maintain and improve</x:t>
        </x:is>
      </x:c>
      <x:c r="H136" t="inlineStr">
        <x:is>
          <x:t xml:space="preserve">N</x:t>
        </x:is>
      </x:c>
      <x:c r="I136" s="2" t="inlineStr">
        <x:is>
          <x:t xml:space="preserve">Evidence: KPI dashboard.</x:t>
        </x:is>
      </x:c>
    </x:row>
    <x:row r="137" ht="45" customHeight="1">
      <x:c r="A137" t="inlineStr">
        <x:is>
          <x:t xml:space="preserve">HR-D8-Q27</x:t>
        </x:is>
      </x:c>
      <x:c r="B137" t="inlineStr">
        <x:is>
          <x:t xml:space="preserve">HR-D8-Q27-A5</x:t>
        </x:is>
      </x:c>
      <x:c r="C137" s="2" t="inlineStr">
        <x:is>
          <x:t xml:space="preserve">Optimized: trends + leading indicators tracked and linked to outcomes.</x:t>
        </x:is>
      </x:c>
      <x:c r="D137" t="n">
        <x:v>4</x:v>
      </x:c>
      <x:c r="E137" t="inlineStr">
        <x:is>
          <x:t xml:space="preserve"/>
        </x:is>
      </x:c>
      <x:c r="F137" t="inlineStr">
        <x:is>
          <x:t xml:space="preserve">Culture Risk</x:t>
        </x:is>
      </x:c>
      <x:c r="G137" t="inlineStr">
        <x:is>
          <x:t xml:space="preserve">Maintain maturity</x:t>
        </x:is>
      </x:c>
      <x:c r="H137" t="inlineStr">
        <x:is>
          <x:t xml:space="preserve">N</x:t>
        </x:is>
      </x:c>
      <x:c r="I137" s="2" t="inlineStr">
        <x:is>
          <x:t xml:space="preserve">Evidence: trend charts + outcomes.</x:t>
        </x:is>
      </x:c>
    </x:row>
    <x:row r="138" ht="45" customHeight="1">
      <x:c r="A138" t="inlineStr">
        <x:is>
          <x:t xml:space="preserve">HR-D8-Q28</x:t>
        </x:is>
      </x:c>
      <x:c r="B138" t="inlineStr">
        <x:is>
          <x:t xml:space="preserve">HR-D8-Q28-A1</x:t>
        </x:is>
      </x:c>
      <x:c r="C138" s="2" t="inlineStr">
        <x:is>
          <x:t xml:space="preserve">No: only serious cases or formal complaints are tracked.</x:t>
        </x:is>
      </x:c>
      <x:c r="D138" t="n">
        <x:v>0</x:v>
      </x:c>
      <x:c r="E138" t="inlineStr">
        <x:is>
          <x:t xml:space="preserve">paper_dragon_signal</x:t>
        </x:is>
      </x:c>
      <x:c r="F138" t="inlineStr">
        <x:is>
          <x:t xml:space="preserve">Paper Dragon</x:t>
        </x:is>
      </x:c>
      <x:c r="G138" t="inlineStr">
        <x:is>
          <x:t xml:space="preserve">Add near-miss learning loop</x:t>
        </x:is>
      </x:c>
      <x:c r="H138" t="inlineStr">
        <x:is>
          <x:t xml:space="preserve">N</x:t>
        </x:is>
      </x:c>
      <x:c r="I138" s="2" t="inlineStr">
        <x:is>
          <x:t xml:space="preserve"/>
        </x:is>
      </x:c>
    </x:row>
    <x:row r="139" ht="45" customHeight="1">
      <x:c r="A139" t="inlineStr">
        <x:is>
          <x:t xml:space="preserve">HR-D8-Q28</x:t>
        </x:is>
      </x:c>
      <x:c r="B139" t="inlineStr">
        <x:is>
          <x:t xml:space="preserve">HR-D8-Q28-A2</x:t>
        </x:is>
      </x:c>
      <x:c r="C139" s="2" t="inlineStr">
        <x:is>
          <x:t xml:space="preserve">Informal: talked about, but nothing tracked.</x:t>
        </x:is>
      </x:c>
      <x:c r="D139" t="n">
        <x:v>1</x:v>
      </x:c>
      <x:c r="E139" t="inlineStr">
        <x:is>
          <x:t xml:space="preserve">shadow_mature_signal</x:t>
        </x:is>
      </x:c>
      <x:c r="F139" t="inlineStr">
        <x:is>
          <x:t xml:space="preserve">Culture Risk</x:t>
        </x:is>
      </x:c>
      <x:c r="G139" t="inlineStr">
        <x:is>
          <x:t xml:space="preserve">Create privacy-safe tracking</x:t>
        </x:is>
      </x:c>
      <x:c r="H139" t="inlineStr">
        <x:is>
          <x:t xml:space="preserve">N</x:t>
        </x:is>
      </x:c>
      <x:c r="I139" s="2" t="inlineStr">
        <x:is>
          <x:t xml:space="preserve"/>
        </x:is>
      </x:c>
    </x:row>
    <x:row r="140" ht="45" customHeight="1">
      <x:c r="A140" t="inlineStr">
        <x:is>
          <x:t xml:space="preserve">HR-D8-Q28</x:t>
        </x:is>
      </x:c>
      <x:c r="B140" t="inlineStr">
        <x:is>
          <x:t xml:space="preserve">HR-D8-Q28-A3</x:t>
        </x:is>
      </x:c>
      <x:c r="C140" s="2" t="inlineStr">
        <x:is>
          <x:t xml:space="preserve">Sometimes tracked in aggregate; used for learning/training.</x:t>
        </x:is>
      </x:c>
      <x:c r="D140" t="n">
        <x:v>2</x:v>
      </x:c>
      <x:c r="E140" t="inlineStr">
        <x:is>
          <x:t xml:space="preserve"/>
        </x:is>
      </x:c>
      <x:c r="F140" t="inlineStr">
        <x:is>
          <x:t xml:space="preserve">Culture Risk</x:t>
        </x:is>
      </x:c>
      <x:c r="G140" t="inlineStr">
        <x:is>
          <x:t xml:space="preserve">Improve consistency</x:t>
        </x:is>
      </x:c>
      <x:c r="H140" t="inlineStr">
        <x:is>
          <x:t xml:space="preserve">N</x:t>
        </x:is>
      </x:c>
      <x:c r="I140" s="2" t="inlineStr">
        <x:is>
          <x:t xml:space="preserve">Evidence: anonymized examples.</x:t>
        </x:is>
      </x:c>
    </x:row>
    <x:row r="141" ht="45" customHeight="1">
      <x:c r="A141" t="inlineStr">
        <x:is>
          <x:t xml:space="preserve">HR-D8-Q28</x:t>
        </x:is>
      </x:c>
      <x:c r="B141" t="inlineStr">
        <x:is>
          <x:t xml:space="preserve">HR-D8-Q28-A4</x:t>
        </x:is>
      </x:c>
      <x:c r="C141" s="2" t="inlineStr">
        <x:is>
          <x:t xml:space="preserve">Tracked as leading indicators; reinforces positive culture and reduces repeats.</x:t>
        </x:is>
      </x:c>
      <x:c r="D141" t="n">
        <x:v>3</x:v>
      </x:c>
      <x:c r="E141" t="inlineStr">
        <x:is>
          <x:t xml:space="preserve"/>
        </x:is>
      </x:c>
      <x:c r="F141" t="inlineStr">
        <x:is>
          <x:t xml:space="preserve">Culture Risk</x:t>
        </x:is>
      </x:c>
      <x:c r="G141" t="inlineStr">
        <x:is>
          <x:t xml:space="preserve">Maintain</x:t>
        </x:is>
      </x:c>
      <x:c r="H141" t="inlineStr">
        <x:is>
          <x:t xml:space="preserve">N</x:t>
        </x:is>
      </x:c>
      <x:c r="I141" s="2" t="inlineStr">
        <x:is>
          <x:t xml:space="preserve">Evidence: dashboard indicator.</x:t>
        </x:is>
      </x:c>
    </x:row>
    <x:row r="142" ht="45" customHeight="1">
      <x:c r="A142" t="inlineStr">
        <x:is>
          <x:t xml:space="preserve">HR-D8-Q29</x:t>
        </x:is>
      </x:c>
      <x:c r="B142" t="inlineStr">
        <x:is>
          <x:t xml:space="preserve">HR-D8-Q29-A1</x:t>
        </x:is>
      </x:c>
      <x:c r="C142" s="2" t="inlineStr">
        <x:is>
          <x:t xml:space="preserve">No metrics: we can't tell how fast or consistent we are.</x:t>
        </x:is>
      </x:c>
      <x:c r="D142" t="n">
        <x:v>0</x:v>
      </x:c>
      <x:c r="E142" t="inlineStr">
        <x:is>
          <x:t xml:space="preserve">operating_model_gap</x:t>
        </x:is>
      </x:c>
      <x:c r="F142" t="inlineStr">
        <x:is>
          <x:t xml:space="preserve">Operating Model Gap</x:t>
        </x:is>
      </x:c>
      <x:c r="G142" t="inlineStr">
        <x:is>
          <x:t xml:space="preserve">Introduce case metrics</x:t>
        </x:is>
      </x:c>
      <x:c r="H142" t="inlineStr">
        <x:is>
          <x:t xml:space="preserve">N</x:t>
        </x:is>
      </x:c>
      <x:c r="I142" s="2" t="inlineStr">
        <x:is>
          <x:t xml:space="preserve"/>
        </x:is>
      </x:c>
    </x:row>
    <x:row r="143" ht="45" customHeight="1">
      <x:c r="A143" t="inlineStr">
        <x:is>
          <x:t xml:space="preserve">HR-D8-Q29</x:t>
        </x:is>
      </x:c>
      <x:c r="B143" t="inlineStr">
        <x:is>
          <x:t xml:space="preserve">HR-D8-Q29-A2</x:t>
        </x:is>
      </x:c>
      <x:c r="C143" s="2" t="inlineStr">
        <x:is>
          <x:t xml:space="preserve">Some metrics exist but not used for improvement.</x:t>
        </x:is>
      </x:c>
      <x:c r="D143" t="n">
        <x:v>1</x:v>
      </x:c>
      <x:c r="E143" t="inlineStr">
        <x:is>
          <x:t xml:space="preserve">paper_dragon_signal</x:t>
        </x:is>
      </x:c>
      <x:c r="F143" t="inlineStr">
        <x:is>
          <x:t xml:space="preserve">Paper Dragon</x:t>
        </x:is>
      </x:c>
      <x:c r="G143" t="inlineStr">
        <x:is>
          <x:t xml:space="preserve">Use metrics for improvement</x:t>
        </x:is>
      </x:c>
      <x:c r="H143" t="inlineStr">
        <x:is>
          <x:t xml:space="preserve">N</x:t>
        </x:is>
      </x:c>
      <x:c r="I143" s="2" t="inlineStr">
        <x:is>
          <x:t xml:space="preserve"/>
        </x:is>
      </x:c>
    </x:row>
    <x:row r="144" ht="45" customHeight="1">
      <x:c r="A144" t="inlineStr">
        <x:is>
          <x:t xml:space="preserve">HR-D8-Q29</x:t>
        </x:is>
      </x:c>
      <x:c r="B144" t="inlineStr">
        <x:is>
          <x:t xml:space="preserve">HR-D8-Q29-A3</x:t>
        </x:is>
      </x:c>
      <x:c r="C144" s="2" t="inlineStr">
        <x:is>
          <x:t xml:space="preserve">Basic metrics tracked; improvement actions occasional.</x:t>
        </x:is>
      </x:c>
      <x:c r="D144" t="n">
        <x:v>2</x:v>
      </x:c>
      <x:c r="E144" t="inlineStr">
        <x:is>
          <x:t xml:space="preserve"/>
        </x:is>
      </x:c>
      <x:c r="F144" t="inlineStr">
        <x:is>
          <x:t xml:space="preserve">Operating Model Gap</x:t>
        </x:is>
      </x:c>
      <x:c r="G144" t="inlineStr">
        <x:is>
          <x:t xml:space="preserve">Set targets and review cadence</x:t>
        </x:is>
      </x:c>
      <x:c r="H144" t="inlineStr">
        <x:is>
          <x:t xml:space="preserve">N</x:t>
        </x:is>
      </x:c>
      <x:c r="I144" s="2" t="inlineStr">
        <x:is>
          <x:t xml:space="preserve">Evidence: KPI list.</x:t>
        </x:is>
      </x:c>
    </x:row>
    <x:row r="145" ht="45" customHeight="1">
      <x:c r="A145" t="inlineStr">
        <x:is>
          <x:t xml:space="preserve">HR-D8-Q29</x:t>
        </x:is>
      </x:c>
      <x:c r="B145" t="inlineStr">
        <x:is>
          <x:t xml:space="preserve">HR-D8-Q29-A4</x:t>
        </x:is>
      </x:c>
      <x:c r="C145" s="2" t="inlineStr">
        <x:is>
          <x:t xml:space="preserve">Managed: targets set; metrics reviewed; backlog/quality addressed.</x:t>
        </x:is>
      </x:c>
      <x:c r="D145" t="n">
        <x:v>3</x:v>
      </x:c>
      <x:c r="E145" t="inlineStr">
        <x:is>
          <x:t xml:space="preserve"/>
        </x:is>
      </x:c>
      <x:c r="F145" t="inlineStr">
        <x:is>
          <x:t xml:space="preserve">Operating Model Gap</x:t>
        </x:is>
      </x:c>
      <x:c r="G145" t="inlineStr">
        <x:is>
          <x:t xml:space="preserve">Maintain and refine</x:t>
        </x:is>
      </x:c>
      <x:c r="H145" t="inlineStr">
        <x:is>
          <x:t xml:space="preserve">N</x:t>
        </x:is>
      </x:c>
      <x:c r="I145" s="2" t="inlineStr">
        <x:is>
          <x:t xml:space="preserve">Evidence: dashboard + meeting notes.</x:t>
        </x:is>
      </x:c>
    </x:row>
    <x:row r="146" ht="45" customHeight="1">
      <x:c r="A146" t="inlineStr">
        <x:is>
          <x:t xml:space="preserve">HR-D8-Q29</x:t>
        </x:is>
      </x:c>
      <x:c r="B146" t="inlineStr">
        <x:is>
          <x:t xml:space="preserve">HR-D8-Q29-A5</x:t>
        </x:is>
      </x:c>
      <x:c r="C146" s="2" t="inlineStr">
        <x:is>
          <x:t xml:space="preserve">Optimized: metrics linked to trust outcomes and continuous improvement.</x:t>
        </x:is>
      </x:c>
      <x:c r="D146" t="n">
        <x:v>4</x:v>
      </x:c>
      <x:c r="E146" t="inlineStr">
        <x:is>
          <x:t xml:space="preserve"/>
        </x:is>
      </x:c>
      <x:c r="F146" t="inlineStr">
        <x:is>
          <x:t xml:space="preserve">Culture Risk</x:t>
        </x:is>
      </x:c>
      <x:c r="G146" t="inlineStr">
        <x:is>
          <x:t xml:space="preserve">Maintain maturity</x:t>
        </x:is>
      </x:c>
      <x:c r="H146" t="inlineStr">
        <x:is>
          <x:t xml:space="preserve">N</x:t>
        </x:is>
      </x:c>
      <x:c r="I146" s="2" t="inlineStr">
        <x:is>
          <x:t xml:space="preserve">Evidence: KPI trends + actions.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customWidth="1"/>
    <x:col min="2" max="2" width="6" customWidth="1"/>
    <x:col min="3" max="3" width="28" customWidth="1"/>
    <x:col min="4" max="4" width="7" customWidth="1"/>
    <x:col min="5" max="5" width="5" customWidth="1"/>
    <x:col min="6" max="6" width="7" customWidth="1"/>
    <x:col min="7" max="7" width="5" customWidth="1"/>
    <x:col min="8" max="8" width="60" customWidth="1"/>
    <x:col min="9" max="9" width="45" customWidth="1"/>
    <x:col min="10" max="10" width="35" customWidth="1"/>
    <x:col min="11" max="11" width="16" customWidth="1"/>
    <x:col min="12" max="12" width="20" customWidth="1"/>
    <x:col min="13" max="13" width="65" customWidth="1"/>
    <x:col min="14" max="14" width="9" customWidth="1"/>
    <x:col min="15" max="15" width="26" customWidth="1"/>
    <x:col min="16" max="16" width="20" customWidth="1"/>
    <x:col min="17" max="17" width="26" customWidth="1"/>
    <x:col min="18" max="18" width="14" customWidth="1"/>
    <x:col min="19" max="19" width="45" customWidth="1"/>
    <x:col min="20" max="20" width="7" customWidth="1"/>
    <x:col min="21" max="21" width="7" customWidth="1"/>
    <x:col min="22" max="22" width="7" customWidth="1"/>
    <x:col min="23" max="23" width="7" customWidth="1"/>
    <x:col min="24" max="24" width="7" customWidth="1"/>
    <x:col min="25" max="25" width="7" customWidth="1"/>
    <x:col min="26" max="26" width="7" customWidth="1"/>
    <x:col min="27" max="27" width="7" customWidth="1"/>
    <x:col min="28" max="28" width="7" customWidth="1"/>
  </x:cols>
  <x:sheetData>
    <x:row r="1" ht="28" customHeight="1">
      <x:c r="A1" s="1" t="inlineStr">
        <x:is>
          <x:t xml:space="preserve">Q-ID</x:t>
        </x:is>
      </x:c>
      <x:c r="B1" s="1" t="inlineStr">
        <x:is>
          <x:t xml:space="preserve">Tier</x:t>
        </x:is>
      </x:c>
      <x:c r="C1" s="1" t="inlineStr">
        <x:is>
          <x:t xml:space="preserve">Domain</x:t>
        </x:is>
      </x:c>
      <x:c r="D1" s="1" t="inlineStr">
        <x:is>
          <x:t xml:space="preserve">Axis1</x:t>
        </x:is>
      </x:c>
      <x:c r="E1" s="1" t="inlineStr">
        <x:is>
          <x:t xml:space="preserve">W1</x:t>
        </x:is>
      </x:c>
      <x:c r="F1" s="1" t="inlineStr">
        <x:is>
          <x:t xml:space="preserve">Axis2</x:t>
        </x:is>
      </x:c>
      <x:c r="G1" s="1" t="inlineStr">
        <x:is>
          <x:t xml:space="preserve">W2</x:t>
        </x:is>
      </x:c>
      <x:c r="H1" s="1" t="inlineStr">
        <x:is>
          <x:t xml:space="preserve">Question Text</x:t>
        </x:is>
      </x:c>
      <x:c r="I1" s="1" t="inlineStr">
        <x:is>
          <x:t xml:space="preserve">Guidance</x:t>
        </x:is>
      </x:c>
      <x:c r="J1" s="1" t="inlineStr">
        <x:is>
          <x:t xml:space="preserve">Logic/Branching</x:t>
        </x:is>
      </x:c>
      <x:c r="K1" s="1" t="inlineStr">
        <x:is>
          <x:t xml:space="preserve">EvidencePolicyID</x:t>
        </x:is>
      </x:c>
      <x:c r="L1" s="1" t="inlineStr">
        <x:is>
          <x:t xml:space="preserve">A-ID</x:t>
        </x:is>
      </x:c>
      <x:c r="M1" s="1" t="inlineStr">
        <x:is>
          <x:t xml:space="preserve">Answer Option Text</x:t>
        </x:is>
      </x:c>
      <x:c r="N1" s="1" t="inlineStr">
        <x:is>
          <x:t xml:space="preserve">BaseScore</x:t>
        </x:is>
      </x:c>
      <x:c r="O1" s="1" t="inlineStr">
        <x:is>
          <x:t xml:space="preserve">Tags</x:t>
        </x:is>
      </x:c>
      <x:c r="P1" s="1" t="inlineStr">
        <x:is>
          <x:t xml:space="preserve">FractureType</x:t>
        </x:is>
      </x:c>
      <x:c r="Q1" s="1" t="inlineStr">
        <x:is>
          <x:t xml:space="preserve">FollowUpTrigger</x:t>
        </x:is>
      </x:c>
      <x:c r="R1" s="1" t="inlineStr">
        <x:is>
          <x:t xml:space="preserve">NegativeControl</x:t>
        </x:is>
      </x:c>
      <x:c r="S1" s="1" t="inlineStr">
        <x:is>
          <x:t xml:space="preserve">Evidence Hint</x:t>
        </x:is>
      </x:c>
      <x:c r="T1" s="1" t="inlineStr">
        <x:is>
          <x:t xml:space="preserve">Pts_G</x:t>
        </x:is>
      </x:c>
      <x:c r="U1" s="1" t="inlineStr">
        <x:is>
          <x:t xml:space="preserve">Pts_E</x:t>
        </x:is>
      </x:c>
      <x:c r="V1" s="1" t="inlineStr">
        <x:is>
          <x:t xml:space="preserve">Pts_T</x:t>
        </x:is>
      </x:c>
      <x:c r="W1" s="1" t="inlineStr">
        <x:is>
          <x:t xml:space="preserve">Pts_L</x:t>
        </x:is>
      </x:c>
      <x:c r="X1" s="1" t="inlineStr">
        <x:is>
          <x:t xml:space="preserve">Pts_H</x:t>
        </x:is>
      </x:c>
      <x:c r="Y1" s="1" t="inlineStr">
        <x:is>
          <x:t xml:space="preserve">Pts_V</x:t>
        </x:is>
      </x:c>
      <x:c r="Z1" s="1" t="inlineStr">
        <x:is>
          <x:t xml:space="preserve">Pts_R</x:t>
        </x:is>
      </x:c>
      <x:c r="AA1" s="1" t="inlineStr">
        <x:is>
          <x:t xml:space="preserve">Pts_F</x:t>
        </x:is>
      </x:c>
      <x:c r="AB1" s="1" t="inlineStr">
        <x:is>
          <x:t xml:space="preserve">Pts_W</x:t>
        </x:is>
      </x:c>
    </x:row>
    <x:row r="2" ht="40" customHeight="1">
      <x:c r="A2" t="inlineStr">
        <x:is>
          <x:t xml:space="preserve">HR-D1-Q01</x:t>
        </x:is>
      </x:c>
      <x:c r="B2" t="inlineStr">
        <x:is>
          <x:t xml:space="preserve">T1</x:t>
        </x:is>
      </x:c>
      <x:c r="C2" t="inlineStr">
        <x:is>
          <x:t xml:space="preserve">1. HR Operating Model</x:t>
        </x:is>
      </x:c>
      <x:c r="D2" t="inlineStr">
        <x:is>
          <x:t xml:space="preserve">G</x:t>
        </x:is>
      </x:c>
      <x:c r="E2" t="n">
        <x:v>0.5</x:v>
      </x:c>
      <x:c r="F2" t="inlineStr">
        <x:is>
          <x:t xml:space="preserve">E</x:t>
        </x:is>
      </x:c>
      <x:c r="G2" t="n">
        <x:v>0.5</x:v>
      </x:c>
      <x:c r="H2" s="2" t="inlineStr">
        <x:is>
          <x:t xml:space="preserve">Is there a clear HR-facing mandate for insider risk (misuse, data theft, sabotage) and coordination with Security and Legal?</x:t>
        </x:is>
      </x:c>
      <x:c r="I2" t="inlineStr">
        <x:is>
          <x:t xml:space="preserve">Insider risk includes intentional or negligent harm by employees/contractors (e.g., data leakage, sabotage, fraud).</x:t>
        </x:is>
      </x:c>
      <x:c r="J2" t="inlineStr">
        <x:is>
          <x:t xml:space="preserve">Gatekeeper (If BaseScore &lt;2 → HR-D1-Q02; If ≥2 → HR-D1-Q03)</x:t>
        </x:is>
      </x:c>
      <x:c r="K2" t="inlineStr">
        <x:is>
          <x:t xml:space="preserve">GOV_STD</x:t>
        </x:is>
      </x:c>
      <x:c r="L2" t="inlineStr">
        <x:is>
          <x:t xml:space="preserve">HR-D1-Q01-A0</x:t>
        </x:is>
      </x:c>
      <x:c r="M2" s="2" t="inlineStr">
        <x:is>
          <x:t xml:space="preserve">I don't know / Not sure.</x:t>
        </x:is>
      </x:c>
      <x:c r="N2" t="n">
        <x:v>0</x:v>
      </x:c>
      <x:c r="O2" t="inlineStr">
        <x:is>
          <x:t xml:space="preserve">low-confidence</x:t>
        </x:is>
      </x:c>
      <x:c r="P2" t="inlineStr">
        <x:is>
          <x:t xml:space="preserve">Operating Model Gap</x:t>
        </x:is>
      </x:c>
      <x:c r="Q2" t="inlineStr">
        <x:is>
          <x:t xml:space="preserve">Clarify roles</x:t>
        </x:is>
      </x:c>
      <x:c r="R2" t="inlineStr">
        <x:is>
          <x:t xml:space="preserve">N</x:t>
        </x:is>
      </x:c>
      <x:c r="S2" s="2" t="inlineStr">
        <x:is>
          <x:t xml:space="preserve"/>
        </x:is>
      </x:c>
      <x:c r="T2">
        <x:f>($N2)*(IF($D2="G",$E2,0)+IF($F2="G",$G2,0))</x:f>
        <x:v>0</x:v>
      </x:c>
      <x:c r="U2">
        <x:f>($N2)*(IF($D2="E",$E2,0)+IF($F2="E",$G2,0))</x:f>
        <x:v>0</x:v>
      </x:c>
      <x:c r="V2">
        <x:f>($N2)*(IF($D2="T",$E2,0)+IF($F2="T",$G2,0))</x:f>
        <x:v>0</x:v>
      </x:c>
      <x:c r="W2">
        <x:f>($N2)*(IF($D2="L",$E2,0)+IF($F2="L",$G2,0))</x:f>
        <x:v>0</x:v>
      </x:c>
      <x:c r="X2">
        <x:f>($N2)*(IF($D2="H",$E2,0)+IF($F2="H",$G2,0))</x:f>
        <x:v>0</x:v>
      </x:c>
      <x:c r="Y2">
        <x:f>($N2)*(IF($D2="V",$E2,0)+IF($F2="V",$G2,0))</x:f>
        <x:v>0</x:v>
      </x:c>
      <x:c r="Z2">
        <x:f>($N2)*(IF($D2="R",$E2,0)+IF($F2="R",$G2,0))</x:f>
        <x:v>0</x:v>
      </x:c>
      <x:c r="AA2">
        <x:f>($N2)*(IF($D2="F",$E2,0)+IF($F2="F",$G2,0))</x:f>
        <x:v>0</x:v>
      </x:c>
      <x:c r="AB2">
        <x:f>($N2)*(IF($D2="W",$E2,0)+IF($F2="W",$G2,0))</x:f>
        <x:v>0</x:v>
      </x:c>
    </x:row>
    <x:row r="3" ht="40" customHeight="1">
      <x:c r="A3" t="inlineStr">
        <x:is>
          <x:t xml:space="preserve">HR-D1-Q01</x:t>
        </x:is>
      </x:c>
      <x:c r="B3" t="inlineStr">
        <x:is>
          <x:t xml:space="preserve">T1</x:t>
        </x:is>
      </x:c>
      <x:c r="C3" t="inlineStr">
        <x:is>
          <x:t xml:space="preserve">1. HR Operating Model</x:t>
        </x:is>
      </x:c>
      <x:c r="D3" t="inlineStr">
        <x:is>
          <x:t xml:space="preserve">G</x:t>
        </x:is>
      </x:c>
      <x:c r="E3" t="n">
        <x:v>0.5</x:v>
      </x:c>
      <x:c r="F3" t="inlineStr">
        <x:is>
          <x:t xml:space="preserve">E</x:t>
        </x:is>
      </x:c>
      <x:c r="G3" t="n">
        <x:v>0.5</x:v>
      </x:c>
      <x:c r="H3" s="2" t="inlineStr">
        <x:is>
          <x:t xml:space="preserve">Is there a clear HR-facing mandate for insider risk (misuse, data theft, sabotage) and coordination with Security and Legal?</x:t>
        </x:is>
      </x:c>
      <x:c r="I3" t="inlineStr">
        <x:is>
          <x:t xml:space="preserve">Insider risk includes intentional or negligent harm by employees/contractors (e.g., data leakage, sabotage, fraud).</x:t>
        </x:is>
      </x:c>
      <x:c r="J3" t="inlineStr">
        <x:is>
          <x:t xml:space="preserve">Gatekeeper (If BaseScore &lt;2 → HR-D1-Q02; If ≥2 → HR-D1-Q03)</x:t>
        </x:is>
      </x:c>
      <x:c r="K3" t="inlineStr">
        <x:is>
          <x:t xml:space="preserve">GOV_STD</x:t>
        </x:is>
      </x:c>
      <x:c r="L3" t="inlineStr">
        <x:is>
          <x:t xml:space="preserve">HR-D1-Q01-A1</x:t>
        </x:is>
      </x:c>
      <x:c r="M3" s="2" t="inlineStr">
        <x:is>
          <x:t xml:space="preserve">None: HR treats these as 'IT problems' unless there is a major incident.</x:t>
        </x:is>
      </x:c>
      <x:c r="N3" t="n">
        <x:v>0</x:v>
      </x:c>
      <x:c r="O3" t="inlineStr">
        <x:is>
          <x:t xml:space="preserve">paper_dragon_signal</x:t>
        </x:is>
      </x:c>
      <x:c r="P3" t="inlineStr">
        <x:is>
          <x:t xml:space="preserve">Operating Model Gap</x:t>
        </x:is>
      </x:c>
      <x:c r="Q3" t="inlineStr">
        <x:is>
          <x:t xml:space="preserve">Define operating model</x:t>
        </x:is>
      </x:c>
      <x:c r="R3" t="inlineStr">
        <x:is>
          <x:t xml:space="preserve">N</x:t>
        </x:is>
      </x:c>
      <x:c r="S3" s="2" t="inlineStr">
        <x:is>
          <x:t xml:space="preserve"/>
        </x:is>
      </x:c>
      <x:c r="T3">
        <x:f>($N3)*(IF($D3="G",$E3,0)+IF($F3="G",$G3,0))</x:f>
        <x:v>0</x:v>
      </x:c>
      <x:c r="U3">
        <x:f>($N3)*(IF($D3="E",$E3,0)+IF($F3="E",$G3,0))</x:f>
        <x:v>0</x:v>
      </x:c>
      <x:c r="V3">
        <x:f>($N3)*(IF($D3="T",$E3,0)+IF($F3="T",$G3,0))</x:f>
        <x:v>0</x:v>
      </x:c>
      <x:c r="W3">
        <x:f>($N3)*(IF($D3="L",$E3,0)+IF($F3="L",$G3,0))</x:f>
        <x:v>0</x:v>
      </x:c>
      <x:c r="X3">
        <x:f>($N3)*(IF($D3="H",$E3,0)+IF($F3="H",$G3,0))</x:f>
        <x:v>0</x:v>
      </x:c>
      <x:c r="Y3">
        <x:f>($N3)*(IF($D3="V",$E3,0)+IF($F3="V",$G3,0))</x:f>
        <x:v>0</x:v>
      </x:c>
      <x:c r="Z3">
        <x:f>($N3)*(IF($D3="R",$E3,0)+IF($F3="R",$G3,0))</x:f>
        <x:v>0</x:v>
      </x:c>
      <x:c r="AA3">
        <x:f>($N3)*(IF($D3="F",$E3,0)+IF($F3="F",$G3,0))</x:f>
        <x:v>0</x:v>
      </x:c>
      <x:c r="AB3">
        <x:f>($N3)*(IF($D3="W",$E3,0)+IF($F3="W",$G3,0))</x:f>
        <x:v>0</x:v>
      </x:c>
    </x:row>
    <x:row r="4" ht="40" customHeight="1">
      <x:c r="A4" t="inlineStr">
        <x:is>
          <x:t xml:space="preserve">HR-D1-Q01</x:t>
        </x:is>
      </x:c>
      <x:c r="B4" t="inlineStr">
        <x:is>
          <x:t xml:space="preserve">T1</x:t>
        </x:is>
      </x:c>
      <x:c r="C4" t="inlineStr">
        <x:is>
          <x:t xml:space="preserve">1. HR Operating Model</x:t>
        </x:is>
      </x:c>
      <x:c r="D4" t="inlineStr">
        <x:is>
          <x:t xml:space="preserve">G</x:t>
        </x:is>
      </x:c>
      <x:c r="E4" t="n">
        <x:v>0.5</x:v>
      </x:c>
      <x:c r="F4" t="inlineStr">
        <x:is>
          <x:t xml:space="preserve">E</x:t>
        </x:is>
      </x:c>
      <x:c r="G4" t="n">
        <x:v>0.5</x:v>
      </x:c>
      <x:c r="H4" s="2" t="inlineStr">
        <x:is>
          <x:t xml:space="preserve">Is there a clear HR-facing mandate for insider risk (misuse, data theft, sabotage) and coordination with Security and Legal?</x:t>
        </x:is>
      </x:c>
      <x:c r="I4" t="inlineStr">
        <x:is>
          <x:t xml:space="preserve">Insider risk includes intentional or negligent harm by employees/contractors (e.g., data leakage, sabotage, fraud).</x:t>
        </x:is>
      </x:c>
      <x:c r="J4" t="inlineStr">
        <x:is>
          <x:t xml:space="preserve">Gatekeeper (If BaseScore &lt;2 → HR-D1-Q02; If ≥2 → HR-D1-Q03)</x:t>
        </x:is>
      </x:c>
      <x:c r="K4" t="inlineStr">
        <x:is>
          <x:t xml:space="preserve">GOV_STD</x:t>
        </x:is>
      </x:c>
      <x:c r="L4" t="inlineStr">
        <x:is>
          <x:t xml:space="preserve">HR-D1-Q01-A2</x:t>
        </x:is>
      </x:c>
      <x:c r="M4" s="2" t="inlineStr">
        <x:is>
          <x:t xml:space="preserve">Ad-hoc: HR coordinates only when Security/Legal asks (case-by-case).</x:t>
        </x:is>
      </x:c>
      <x:c r="N4" t="n">
        <x:v>1</x:v>
      </x:c>
      <x:c r="O4" t="inlineStr">
        <x:is>
          <x:t xml:space="preserve">shadow_mature_signal</x:t>
        </x:is>
      </x:c>
      <x:c r="P4" t="inlineStr">
        <x:is>
          <x:t xml:space="preserve">Operating Model Gap</x:t>
        </x:is>
      </x:c>
      <x:c r="Q4" t="inlineStr">
        <x:is>
          <x:t xml:space="preserve">Define coordination cadence</x:t>
        </x:is>
      </x:c>
      <x:c r="R4" t="inlineStr">
        <x:is>
          <x:t xml:space="preserve">N</x:t>
        </x:is>
      </x:c>
      <x:c r="S4" s="2" t="inlineStr">
        <x:is>
          <x:t xml:space="preserve">Example: last case HR was involved in.</x:t>
        </x:is>
      </x:c>
      <x:c r="T4">
        <x:f>($N4)*(IF($D4="G",$E4,0)+IF($F4="G",$G4,0))</x:f>
        <x:v>0.5</x:v>
      </x:c>
      <x:c r="U4">
        <x:f>($N4)*(IF($D4="E",$E4,0)+IF($F4="E",$G4,0))</x:f>
        <x:v>0.5</x:v>
      </x:c>
      <x:c r="V4">
        <x:f>($N4)*(IF($D4="T",$E4,0)+IF($F4="T",$G4,0))</x:f>
        <x:v>0</x:v>
      </x:c>
      <x:c r="W4">
        <x:f>($N4)*(IF($D4="L",$E4,0)+IF($F4="L",$G4,0))</x:f>
        <x:v>0</x:v>
      </x:c>
      <x:c r="X4">
        <x:f>($N4)*(IF($D4="H",$E4,0)+IF($F4="H",$G4,0))</x:f>
        <x:v>0</x:v>
      </x:c>
      <x:c r="Y4">
        <x:f>($N4)*(IF($D4="V",$E4,0)+IF($F4="V",$G4,0))</x:f>
        <x:v>0</x:v>
      </x:c>
      <x:c r="Z4">
        <x:f>($N4)*(IF($D4="R",$E4,0)+IF($F4="R",$G4,0))</x:f>
        <x:v>0</x:v>
      </x:c>
      <x:c r="AA4">
        <x:f>($N4)*(IF($D4="F",$E4,0)+IF($F4="F",$G4,0))</x:f>
        <x:v>0</x:v>
      </x:c>
      <x:c r="AB4">
        <x:f>($N4)*(IF($D4="W",$E4,0)+IF($F4="W",$G4,0))</x:f>
        <x:v>0</x:v>
      </x:c>
    </x:row>
    <x:row r="5" ht="40" customHeight="1">
      <x:c r="A5" t="inlineStr">
        <x:is>
          <x:t xml:space="preserve">HR-D1-Q01</x:t>
        </x:is>
      </x:c>
      <x:c r="B5" t="inlineStr">
        <x:is>
          <x:t xml:space="preserve">T1</x:t>
        </x:is>
      </x:c>
      <x:c r="C5" t="inlineStr">
        <x:is>
          <x:t xml:space="preserve">1. HR Operating Model</x:t>
        </x:is>
      </x:c>
      <x:c r="D5" t="inlineStr">
        <x:is>
          <x:t xml:space="preserve">G</x:t>
        </x:is>
      </x:c>
      <x:c r="E5" t="n">
        <x:v>0.5</x:v>
      </x:c>
      <x:c r="F5" t="inlineStr">
        <x:is>
          <x:t xml:space="preserve">E</x:t>
        </x:is>
      </x:c>
      <x:c r="G5" t="n">
        <x:v>0.5</x:v>
      </x:c>
      <x:c r="H5" s="2" t="inlineStr">
        <x:is>
          <x:t xml:space="preserve">Is there a clear HR-facing mandate for insider risk (misuse, data theft, sabotage) and coordination with Security and Legal?</x:t>
        </x:is>
      </x:c>
      <x:c r="I5" t="inlineStr">
        <x:is>
          <x:t xml:space="preserve">Insider risk includes intentional or negligent harm by employees/contractors (e.g., data leakage, sabotage, fraud).</x:t>
        </x:is>
      </x:c>
      <x:c r="J5" t="inlineStr">
        <x:is>
          <x:t xml:space="preserve">Gatekeeper (If BaseScore &lt;2 → HR-D1-Q02; If ≥2 → HR-D1-Q03)</x:t>
        </x:is>
      </x:c>
      <x:c r="K5" t="inlineStr">
        <x:is>
          <x:t xml:space="preserve">GOV_STD</x:t>
        </x:is>
      </x:c>
      <x:c r="L5" t="inlineStr">
        <x:is>
          <x:t xml:space="preserve">HR-D1-Q01-A3</x:t>
        </x:is>
      </x:c>
      <x:c r="M5" s="2" t="inlineStr">
        <x:is>
          <x:t xml:space="preserve">Defined: HR has a named contact and standard steps to coordinate with Security/Legal.</x:t>
        </x:is>
      </x:c>
      <x:c r="N5" t="n">
        <x:v>2</x:v>
      </x:c>
      <x:c r="O5" t="inlineStr">
        <x:is>
          <x:t xml:space="preserve"/>
        </x:is>
      </x:c>
      <x:c r="P5" t="inlineStr">
        <x:is>
          <x:t xml:space="preserve">Operating Model Gap</x:t>
        </x:is>
      </x:c>
      <x:c r="Q5" t="inlineStr">
        <x:is>
          <x:t xml:space="preserve">Standardize workflow</x:t>
        </x:is>
      </x:c>
      <x:c r="R5" t="inlineStr">
        <x:is>
          <x:t xml:space="preserve">N</x:t>
        </x:is>
      </x:c>
      <x:c r="S5" s="2" t="inlineStr">
        <x:is>
          <x:t xml:space="preserve">Share the role name/title and a short process description.</x:t>
        </x:is>
      </x:c>
      <x:c r="T5">
        <x:f>($N5)*(IF($D5="G",$E5,0)+IF($F5="G",$G5,0))</x:f>
        <x:v>1</x:v>
      </x:c>
      <x:c r="U5">
        <x:f>($N5)*(IF($D5="E",$E5,0)+IF($F5="E",$G5,0))</x:f>
        <x:v>1</x:v>
      </x:c>
      <x:c r="V5">
        <x:f>($N5)*(IF($D5="T",$E5,0)+IF($F5="T",$G5,0))</x:f>
        <x:v>0</x:v>
      </x:c>
      <x:c r="W5">
        <x:f>($N5)*(IF($D5="L",$E5,0)+IF($F5="L",$G5,0))</x:f>
        <x:v>0</x:v>
      </x:c>
      <x:c r="X5">
        <x:f>($N5)*(IF($D5="H",$E5,0)+IF($F5="H",$G5,0))</x:f>
        <x:v>0</x:v>
      </x:c>
      <x:c r="Y5">
        <x:f>($N5)*(IF($D5="V",$E5,0)+IF($F5="V",$G5,0))</x:f>
        <x:v>0</x:v>
      </x:c>
      <x:c r="Z5">
        <x:f>($N5)*(IF($D5="R",$E5,0)+IF($F5="R",$G5,0))</x:f>
        <x:v>0</x:v>
      </x:c>
      <x:c r="AA5">
        <x:f>($N5)*(IF($D5="F",$E5,0)+IF($F5="F",$G5,0))</x:f>
        <x:v>0</x:v>
      </x:c>
      <x:c r="AB5">
        <x:f>($N5)*(IF($D5="W",$E5,0)+IF($F5="W",$G5,0))</x:f>
        <x:v>0</x:v>
      </x:c>
    </x:row>
    <x:row r="6" ht="40" customHeight="1">
      <x:c r="A6" t="inlineStr">
        <x:is>
          <x:t xml:space="preserve">HR-D1-Q01</x:t>
        </x:is>
      </x:c>
      <x:c r="B6" t="inlineStr">
        <x:is>
          <x:t xml:space="preserve">T1</x:t>
        </x:is>
      </x:c>
      <x:c r="C6" t="inlineStr">
        <x:is>
          <x:t xml:space="preserve">1. HR Operating Model</x:t>
        </x:is>
      </x:c>
      <x:c r="D6" t="inlineStr">
        <x:is>
          <x:t xml:space="preserve">G</x:t>
        </x:is>
      </x:c>
      <x:c r="E6" t="n">
        <x:v>0.5</x:v>
      </x:c>
      <x:c r="F6" t="inlineStr">
        <x:is>
          <x:t xml:space="preserve">E</x:t>
        </x:is>
      </x:c>
      <x:c r="G6" t="n">
        <x:v>0.5</x:v>
      </x:c>
      <x:c r="H6" s="2" t="inlineStr">
        <x:is>
          <x:t xml:space="preserve">Is there a clear HR-facing mandate for insider risk (misuse, data theft, sabotage) and coordination with Security and Legal?</x:t>
        </x:is>
      </x:c>
      <x:c r="I6" t="inlineStr">
        <x:is>
          <x:t xml:space="preserve">Insider risk includes intentional or negligent harm by employees/contractors (e.g., data leakage, sabotage, fraud).</x:t>
        </x:is>
      </x:c>
      <x:c r="J6" t="inlineStr">
        <x:is>
          <x:t xml:space="preserve">Gatekeeper (If BaseScore &lt;2 → HR-D1-Q02; If ≥2 → HR-D1-Q03)</x:t>
        </x:is>
      </x:c>
      <x:c r="K6" t="inlineStr">
        <x:is>
          <x:t xml:space="preserve">GOV_STD</x:t>
        </x:is>
      </x:c>
      <x:c r="L6" t="inlineStr">
        <x:is>
          <x:t xml:space="preserve">HR-D1-Q01-A4</x:t>
        </x:is>
      </x:c>
      <x:c r="M6" s="2" t="inlineStr">
        <x:is>
          <x:t xml:space="preserve">Managed: Regular cross-functional check-ins and agreed decision rights for people-risk cases.</x:t>
        </x:is>
      </x:c>
      <x:c r="N6" t="n">
        <x:v>3</x:v>
      </x:c>
      <x:c r="O6" t="inlineStr">
        <x:is>
          <x:t xml:space="preserve"/>
        </x:is>
      </x:c>
      <x:c r="P6" t="inlineStr">
        <x:is>
          <x:t xml:space="preserve">Operating Model Gap</x:t>
        </x:is>
      </x:c>
      <x:c r="Q6" t="inlineStr">
        <x:is>
          <x:t xml:space="preserve">Formalize governance</x:t>
        </x:is>
      </x:c>
      <x:c r="R6" t="inlineStr">
        <x:is>
          <x:t xml:space="preserve">N</x:t>
        </x:is>
      </x:c>
      <x:c r="S6" s="2" t="inlineStr">
        <x:is>
          <x:t xml:space="preserve">Evidence: meeting cadence, terms of reference.</x:t>
        </x:is>
      </x:c>
      <x:c r="T6">
        <x:f>($N6)*(IF($D6="G",$E6,0)+IF($F6="G",$G6,0))</x:f>
        <x:v>1.5</x:v>
      </x:c>
      <x:c r="U6">
        <x:f>($N6)*(IF($D6="E",$E6,0)+IF($F6="E",$G6,0))</x:f>
        <x:v>1.5</x:v>
      </x:c>
      <x:c r="V6">
        <x:f>($N6)*(IF($D6="T",$E6,0)+IF($F6="T",$G6,0))</x:f>
        <x:v>0</x:v>
      </x:c>
      <x:c r="W6">
        <x:f>($N6)*(IF($D6="L",$E6,0)+IF($F6="L",$G6,0))</x:f>
        <x:v>0</x:v>
      </x:c>
      <x:c r="X6">
        <x:f>($N6)*(IF($D6="H",$E6,0)+IF($F6="H",$G6,0))</x:f>
        <x:v>0</x:v>
      </x:c>
      <x:c r="Y6">
        <x:f>($N6)*(IF($D6="V",$E6,0)+IF($F6="V",$G6,0))</x:f>
        <x:v>0</x:v>
      </x:c>
      <x:c r="Z6">
        <x:f>($N6)*(IF($D6="R",$E6,0)+IF($F6="R",$G6,0))</x:f>
        <x:v>0</x:v>
      </x:c>
      <x:c r="AA6">
        <x:f>($N6)*(IF($D6="F",$E6,0)+IF($F6="F",$G6,0))</x:f>
        <x:v>0</x:v>
      </x:c>
      <x:c r="AB6">
        <x:f>($N6)*(IF($D6="W",$E6,0)+IF($F6="W",$G6,0))</x:f>
        <x:v>0</x:v>
      </x:c>
    </x:row>
    <x:row r="7" ht="40" customHeight="1">
      <x:c r="A7" t="inlineStr">
        <x:is>
          <x:t xml:space="preserve">HR-D1-Q01</x:t>
        </x:is>
      </x:c>
      <x:c r="B7" t="inlineStr">
        <x:is>
          <x:t xml:space="preserve">T1</x:t>
        </x:is>
      </x:c>
      <x:c r="C7" t="inlineStr">
        <x:is>
          <x:t xml:space="preserve">1. HR Operating Model</x:t>
        </x:is>
      </x:c>
      <x:c r="D7" t="inlineStr">
        <x:is>
          <x:t xml:space="preserve">G</x:t>
        </x:is>
      </x:c>
      <x:c r="E7" t="n">
        <x:v>0.5</x:v>
      </x:c>
      <x:c r="F7" t="inlineStr">
        <x:is>
          <x:t xml:space="preserve">E</x:t>
        </x:is>
      </x:c>
      <x:c r="G7" t="n">
        <x:v>0.5</x:v>
      </x:c>
      <x:c r="H7" s="2" t="inlineStr">
        <x:is>
          <x:t xml:space="preserve">Is there a clear HR-facing mandate for insider risk (misuse, data theft, sabotage) and coordination with Security and Legal?</x:t>
        </x:is>
      </x:c>
      <x:c r="I7" t="inlineStr">
        <x:is>
          <x:t xml:space="preserve">Insider risk includes intentional or negligent harm by employees/contractors (e.g., data leakage, sabotage, fraud).</x:t>
        </x:is>
      </x:c>
      <x:c r="J7" t="inlineStr">
        <x:is>
          <x:t xml:space="preserve">Gatekeeper (If BaseScore &lt;2 → HR-D1-Q02; If ≥2 → HR-D1-Q03)</x:t>
        </x:is>
      </x:c>
      <x:c r="K7" t="inlineStr">
        <x:is>
          <x:t xml:space="preserve">GOV_STD</x:t>
        </x:is>
      </x:c>
      <x:c r="L7" t="inlineStr">
        <x:is>
          <x:t xml:space="preserve">HR-D1-Q01-A5</x:t>
        </x:is>
      </x:c>
      <x:c r="M7" s="2" t="inlineStr">
        <x:is>
          <x:t xml:space="preserve">Optimized: Exec sponsor expects HR/Security/Legal collaboration with KPIs and routine reporting.</x:t>
        </x:is>
      </x:c>
      <x:c r="N7" t="n">
        <x:v>4</x:v>
      </x:c>
      <x:c r="O7" t="inlineStr">
        <x:is>
          <x:t xml:space="preserve"/>
        </x:is>
      </x:c>
      <x:c r="P7" t="inlineStr">
        <x:is>
          <x:t xml:space="preserve">Operating Model Gap</x:t>
        </x:is>
      </x:c>
      <x:c r="Q7" t="inlineStr">
        <x:is>
          <x:t xml:space="preserve">Maintain governance</x:t>
        </x:is>
      </x:c>
      <x:c r="R7" t="inlineStr">
        <x:is>
          <x:t xml:space="preserve">N</x:t>
        </x:is>
      </x:c>
      <x:c r="S7" s="2" t="inlineStr">
        <x:is>
          <x:t xml:space="preserve">Evidence: KPI pack, steering charter.</x:t>
        </x:is>
      </x:c>
      <x:c r="T7">
        <x:f>($N7)*(IF($D7="G",$E7,0)+IF($F7="G",$G7,0))</x:f>
        <x:v>2</x:v>
      </x:c>
      <x:c r="U7">
        <x:f>($N7)*(IF($D7="E",$E7,0)+IF($F7="E",$G7,0))</x:f>
        <x:v>2</x:v>
      </x:c>
      <x:c r="V7">
        <x:f>($N7)*(IF($D7="T",$E7,0)+IF($F7="T",$G7,0))</x:f>
        <x:v>0</x:v>
      </x:c>
      <x:c r="W7">
        <x:f>($N7)*(IF($D7="L",$E7,0)+IF($F7="L",$G7,0))</x:f>
        <x:v>0</x:v>
      </x:c>
      <x:c r="X7">
        <x:f>($N7)*(IF($D7="H",$E7,0)+IF($F7="H",$G7,0))</x:f>
        <x:v>0</x:v>
      </x:c>
      <x:c r="Y7">
        <x:f>($N7)*(IF($D7="V",$E7,0)+IF($F7="V",$G7,0))</x:f>
        <x:v>0</x:v>
      </x:c>
      <x:c r="Z7">
        <x:f>($N7)*(IF($D7="R",$E7,0)+IF($F7="R",$G7,0))</x:f>
        <x:v>0</x:v>
      </x:c>
      <x:c r="AA7">
        <x:f>($N7)*(IF($D7="F",$E7,0)+IF($F7="F",$G7,0))</x:f>
        <x:v>0</x:v>
      </x:c>
      <x:c r="AB7">
        <x:f>($N7)*(IF($D7="W",$E7,0)+IF($F7="W",$G7,0))</x:f>
        <x:v>0</x:v>
      </x:c>
    </x:row>
    <x:row r="8" ht="40" customHeight="1">
      <x:c r="A8" t="inlineStr">
        <x:is>
          <x:t xml:space="preserve">HR-D1-Q02</x:t>
        </x:is>
      </x:c>
      <x:c r="B8" t="inlineStr">
        <x:is>
          <x:t xml:space="preserve">T2</x:t>
        </x:is>
      </x:c>
      <x:c r="C8" t="inlineStr">
        <x:is>
          <x:t xml:space="preserve">1. HR Operating Model</x:t>
        </x:is>
      </x:c>
      <x:c r="D8" t="inlineStr">
        <x:is>
          <x:t xml:space="preserve">E</x:t>
        </x:is>
      </x:c>
      <x:c r="E8" t="n">
        <x:v>1</x:v>
      </x:c>
      <x:c r="F8" t="inlineStr">
        <x:is>
          <x:t xml:space="preserve">-</x:t>
        </x:is>
      </x:c>
      <x:c r="G8" t="inlineStr">
        <x:is>
          <x:t xml:space="preserve"/>
        </x:is>
      </x:c>
      <x:c r="H8" s="2" t="inlineStr">
        <x:is>
          <x:t xml:space="preserve">(Shadow probe) Even without formal governance, do HR and Security coordinate quickly when a concern is raised?</x:t>
        </x:is>
      </x:c>
      <x:c r="I8" t="inlineStr">
        <x:is>
          <x:t xml:space="preserve">Checks real habits vs formal structure.</x:t>
        </x:is>
      </x:c>
      <x:c r="J8" t="inlineStr">
        <x:is>
          <x:t xml:space="preserve">Shadow fallback (Then → HR-D2-Q05)</x:t>
        </x:is>
      </x:c>
      <x:c r="K8" t="inlineStr">
        <x:is>
          <x:t xml:space="preserve">OPS_STD</x:t>
        </x:is>
      </x:c>
      <x:c r="L8" t="inlineStr">
        <x:is>
          <x:t xml:space="preserve">HR-D1-Q02-A1</x:t>
        </x:is>
      </x:c>
      <x:c r="M8" s="2" t="inlineStr">
        <x:is>
          <x:t xml:space="preserve">No: HR and Security operate separately; coordination is slow or rare.</x:t>
        </x:is>
      </x:c>
      <x:c r="N8" t="n">
        <x:v>0</x:v>
      </x:c>
      <x:c r="O8" t="inlineStr">
        <x:is>
          <x:t xml:space="preserve">paper_dragon_signal</x:t>
        </x:is>
      </x:c>
      <x:c r="P8" t="inlineStr">
        <x:is>
          <x:t xml:space="preserve">Operating Model Gap</x:t>
        </x:is>
      </x:c>
      <x:c r="Q8" t="inlineStr">
        <x:is>
          <x:t xml:space="preserve">Set coordination trigger</x:t>
        </x:is>
      </x:c>
      <x:c r="R8" t="inlineStr">
        <x:is>
          <x:t xml:space="preserve">N</x:t>
        </x:is>
      </x:c>
      <x:c r="S8" s="2" t="inlineStr">
        <x:is>
          <x:t xml:space="preserve"/>
        </x:is>
      </x:c>
      <x:c r="T8">
        <x:f>($N8)*(IF($D8="G",$E8,0)+IF($F8="G",$G8,0))</x:f>
        <x:v>0</x:v>
      </x:c>
      <x:c r="U8">
        <x:f>($N8)*(IF($D8="E",$E8,0)+IF($F8="E",$G8,0))</x:f>
        <x:v>0</x:v>
      </x:c>
      <x:c r="V8">
        <x:f>($N8)*(IF($D8="T",$E8,0)+IF($F8="T",$G8,0))</x:f>
        <x:v>0</x:v>
      </x:c>
      <x:c r="W8">
        <x:f>($N8)*(IF($D8="L",$E8,0)+IF($F8="L",$G8,0))</x:f>
        <x:v>0</x:v>
      </x:c>
      <x:c r="X8">
        <x:f>($N8)*(IF($D8="H",$E8,0)+IF($F8="H",$G8,0))</x:f>
        <x:v>0</x:v>
      </x:c>
      <x:c r="Y8">
        <x:f>($N8)*(IF($D8="V",$E8,0)+IF($F8="V",$G8,0))</x:f>
        <x:v>0</x:v>
      </x:c>
      <x:c r="Z8">
        <x:f>($N8)*(IF($D8="R",$E8,0)+IF($F8="R",$G8,0))</x:f>
        <x:v>0</x:v>
      </x:c>
      <x:c r="AA8">
        <x:f>($N8)*(IF($D8="F",$E8,0)+IF($F8="F",$G8,0))</x:f>
        <x:v>0</x:v>
      </x:c>
      <x:c r="AB8">
        <x:f>($N8)*(IF($D8="W",$E8,0)+IF($F8="W",$G8,0))</x:f>
        <x:v>0</x:v>
      </x:c>
    </x:row>
    <x:row r="9" ht="40" customHeight="1">
      <x:c r="A9" t="inlineStr">
        <x:is>
          <x:t xml:space="preserve">HR-D1-Q02</x:t>
        </x:is>
      </x:c>
      <x:c r="B9" t="inlineStr">
        <x:is>
          <x:t xml:space="preserve">T2</x:t>
        </x:is>
      </x:c>
      <x:c r="C9" t="inlineStr">
        <x:is>
          <x:t xml:space="preserve">1. HR Operating Model</x:t>
        </x:is>
      </x:c>
      <x:c r="D9" t="inlineStr">
        <x:is>
          <x:t xml:space="preserve">E</x:t>
        </x:is>
      </x:c>
      <x:c r="E9" t="n">
        <x:v>1</x:v>
      </x:c>
      <x:c r="F9" t="inlineStr">
        <x:is>
          <x:t xml:space="preserve">-</x:t>
        </x:is>
      </x:c>
      <x:c r="G9" t="inlineStr">
        <x:is>
          <x:t xml:space="preserve"/>
        </x:is>
      </x:c>
      <x:c r="H9" s="2" t="inlineStr">
        <x:is>
          <x:t xml:space="preserve">(Shadow probe) Even without formal governance, do HR and Security coordinate quickly when a concern is raised?</x:t>
        </x:is>
      </x:c>
      <x:c r="I9" t="inlineStr">
        <x:is>
          <x:t xml:space="preserve">Checks real habits vs formal structure.</x:t>
        </x:is>
      </x:c>
      <x:c r="J9" t="inlineStr">
        <x:is>
          <x:t xml:space="preserve">Shadow fallback (Then → HR-D2-Q05)</x:t>
        </x:is>
      </x:c>
      <x:c r="K9" t="inlineStr">
        <x:is>
          <x:t xml:space="preserve">OPS_STD</x:t>
        </x:is>
      </x:c>
      <x:c r="L9" t="inlineStr">
        <x:is>
          <x:t xml:space="preserve">HR-D1-Q02-A2</x:t>
        </x:is>
      </x:c>
      <x:c r="M9" s="2" t="inlineStr">
        <x:is>
          <x:t xml:space="preserve">Sometimes: depends on personal relationships; not consistent.</x:t>
        </x:is>
      </x:c>
      <x:c r="N9" t="n">
        <x:v>1</x:v>
      </x:c>
      <x:c r="O9" t="inlineStr">
        <x:is>
          <x:t xml:space="preserve">key_person_dependency,shadow_mature_signal</x:t>
        </x:is>
      </x:c>
      <x:c r="P9" t="inlineStr">
        <x:is>
          <x:t xml:space="preserve">Operating Model Gap</x:t>
        </x:is>
      </x:c>
      <x:c r="Q9" t="inlineStr">
        <x:is>
          <x:t xml:space="preserve">Create standard escalation path</x:t>
        </x:is>
      </x:c>
      <x:c r="R9" t="inlineStr">
        <x:is>
          <x:t xml:space="preserve">N</x:t>
        </x:is>
      </x:c>
      <x:c r="S9" s="2" t="inlineStr">
        <x:is>
          <x:t xml:space="preserve"/>
        </x:is>
      </x:c>
      <x:c r="T9">
        <x:f>($N9)*(IF($D9="G",$E9,0)+IF($F9="G",$G9,0))</x:f>
        <x:v>0</x:v>
      </x:c>
      <x:c r="U9">
        <x:f>($N9)*(IF($D9="E",$E9,0)+IF($F9="E",$G9,0))</x:f>
        <x:v>1</x:v>
      </x:c>
      <x:c r="V9">
        <x:f>($N9)*(IF($D9="T",$E9,0)+IF($F9="T",$G9,0))</x:f>
        <x:v>0</x:v>
      </x:c>
      <x:c r="W9">
        <x:f>($N9)*(IF($D9="L",$E9,0)+IF($F9="L",$G9,0))</x:f>
        <x:v>0</x:v>
      </x:c>
      <x:c r="X9">
        <x:f>($N9)*(IF($D9="H",$E9,0)+IF($F9="H",$G9,0))</x:f>
        <x:v>0</x:v>
      </x:c>
      <x:c r="Y9">
        <x:f>($N9)*(IF($D9="V",$E9,0)+IF($F9="V",$G9,0))</x:f>
        <x:v>0</x:v>
      </x:c>
      <x:c r="Z9">
        <x:f>($N9)*(IF($D9="R",$E9,0)+IF($F9="R",$G9,0))</x:f>
        <x:v>0</x:v>
      </x:c>
      <x:c r="AA9">
        <x:f>($N9)*(IF($D9="F",$E9,0)+IF($F9="F",$G9,0))</x:f>
        <x:v>0</x:v>
      </x:c>
      <x:c r="AB9">
        <x:f>($N9)*(IF($D9="W",$E9,0)+IF($F9="W",$G9,0))</x:f>
        <x:v>0</x:v>
      </x:c>
    </x:row>
    <x:row r="10" ht="40" customHeight="1">
      <x:c r="A10" t="inlineStr">
        <x:is>
          <x:t xml:space="preserve">HR-D1-Q02</x:t>
        </x:is>
      </x:c>
      <x:c r="B10" t="inlineStr">
        <x:is>
          <x:t xml:space="preserve">T2</x:t>
        </x:is>
      </x:c>
      <x:c r="C10" t="inlineStr">
        <x:is>
          <x:t xml:space="preserve">1. HR Operating Model</x:t>
        </x:is>
      </x:c>
      <x:c r="D10" t="inlineStr">
        <x:is>
          <x:t xml:space="preserve">E</x:t>
        </x:is>
      </x:c>
      <x:c r="E10" t="n">
        <x:v>1</x:v>
      </x:c>
      <x:c r="F10" t="inlineStr">
        <x:is>
          <x:t xml:space="preserve">-</x:t>
        </x:is>
      </x:c>
      <x:c r="G10" t="inlineStr">
        <x:is>
          <x:t xml:space="preserve"/>
        </x:is>
      </x:c>
      <x:c r="H10" s="2" t="inlineStr">
        <x:is>
          <x:t xml:space="preserve">(Shadow probe) Even without formal governance, do HR and Security coordinate quickly when a concern is raised?</x:t>
        </x:is>
      </x:c>
      <x:c r="I10" t="inlineStr">
        <x:is>
          <x:t xml:space="preserve">Checks real habits vs formal structure.</x:t>
        </x:is>
      </x:c>
      <x:c r="J10" t="inlineStr">
        <x:is>
          <x:t xml:space="preserve">Shadow fallback (Then → HR-D2-Q05)</x:t>
        </x:is>
      </x:c>
      <x:c r="K10" t="inlineStr">
        <x:is>
          <x:t xml:space="preserve">OPS_STD</x:t>
        </x:is>
      </x:c>
      <x:c r="L10" t="inlineStr">
        <x:is>
          <x:t xml:space="preserve">HR-D1-Q02-A3</x:t>
        </x:is>
      </x:c>
      <x:c r="M10" s="2" t="inlineStr">
        <x:is>
          <x:t xml:space="preserve">Usually: HR and Security have an agreed way to connect within days.</x:t>
        </x:is>
      </x:c>
      <x:c r="N10" t="n">
        <x:v>2</x:v>
      </x:c>
      <x:c r="O10" t="inlineStr">
        <x:is>
          <x:t xml:space="preserve"/>
        </x:is>
      </x:c>
      <x:c r="P10" t="inlineStr">
        <x:is>
          <x:t xml:space="preserve">Operating Model Gap</x:t>
        </x:is>
      </x:c>
      <x:c r="Q10" t="inlineStr">
        <x:is>
          <x:t xml:space="preserve">Document escalation</x:t>
        </x:is>
      </x:c>
      <x:c r="R10" t="inlineStr">
        <x:is>
          <x:t xml:space="preserve">N</x:t>
        </x:is>
      </x:c>
      <x:c r="S10" s="2" t="inlineStr">
        <x:is>
          <x:t xml:space="preserve">Example: typical response time.</x:t>
        </x:is>
      </x:c>
      <x:c r="T10">
        <x:f>($N10)*(IF($D10="G",$E10,0)+IF($F10="G",$G10,0))</x:f>
        <x:v>0</x:v>
      </x:c>
      <x:c r="U10">
        <x:f>($N10)*(IF($D10="E",$E10,0)+IF($F10="E",$G10,0))</x:f>
        <x:v>2</x:v>
      </x:c>
      <x:c r="V10">
        <x:f>($N10)*(IF($D10="T",$E10,0)+IF($F10="T",$G10,0))</x:f>
        <x:v>0</x:v>
      </x:c>
      <x:c r="W10">
        <x:f>($N10)*(IF($D10="L",$E10,0)+IF($F10="L",$G10,0))</x:f>
        <x:v>0</x:v>
      </x:c>
      <x:c r="X10">
        <x:f>($N10)*(IF($D10="H",$E10,0)+IF($F10="H",$G10,0))</x:f>
        <x:v>0</x:v>
      </x:c>
      <x:c r="Y10">
        <x:f>($N10)*(IF($D10="V",$E10,0)+IF($F10="V",$G10,0))</x:f>
        <x:v>0</x:v>
      </x:c>
      <x:c r="Z10">
        <x:f>($N10)*(IF($D10="R",$E10,0)+IF($F10="R",$G10,0))</x:f>
        <x:v>0</x:v>
      </x:c>
      <x:c r="AA10">
        <x:f>($N10)*(IF($D10="F",$E10,0)+IF($F10="F",$G10,0))</x:f>
        <x:v>0</x:v>
      </x:c>
      <x:c r="AB10">
        <x:f>($N10)*(IF($D10="W",$E10,0)+IF($F10="W",$G10,0))</x:f>
        <x:v>0</x:v>
      </x:c>
    </x:row>
    <x:row r="11" ht="40" customHeight="1">
      <x:c r="A11" t="inlineStr">
        <x:is>
          <x:t xml:space="preserve">HR-D1-Q02</x:t>
        </x:is>
      </x:c>
      <x:c r="B11" t="inlineStr">
        <x:is>
          <x:t xml:space="preserve">T2</x:t>
        </x:is>
      </x:c>
      <x:c r="C11" t="inlineStr">
        <x:is>
          <x:t xml:space="preserve">1. HR Operating Model</x:t>
        </x:is>
      </x:c>
      <x:c r="D11" t="inlineStr">
        <x:is>
          <x:t xml:space="preserve">E</x:t>
        </x:is>
      </x:c>
      <x:c r="E11" t="n">
        <x:v>1</x:v>
      </x:c>
      <x:c r="F11" t="inlineStr">
        <x:is>
          <x:t xml:space="preserve">-</x:t>
        </x:is>
      </x:c>
      <x:c r="G11" t="inlineStr">
        <x:is>
          <x:t xml:space="preserve"/>
        </x:is>
      </x:c>
      <x:c r="H11" s="2" t="inlineStr">
        <x:is>
          <x:t xml:space="preserve">(Shadow probe) Even without formal governance, do HR and Security coordinate quickly when a concern is raised?</x:t>
        </x:is>
      </x:c>
      <x:c r="I11" t="inlineStr">
        <x:is>
          <x:t xml:space="preserve">Checks real habits vs formal structure.</x:t>
        </x:is>
      </x:c>
      <x:c r="J11" t="inlineStr">
        <x:is>
          <x:t xml:space="preserve">Shadow fallback (Then → HR-D2-Q05)</x:t>
        </x:is>
      </x:c>
      <x:c r="K11" t="inlineStr">
        <x:is>
          <x:t xml:space="preserve">OPS_STD</x:t>
        </x:is>
      </x:c>
      <x:c r="L11" t="inlineStr">
        <x:is>
          <x:t xml:space="preserve">HR-D1-Q02-A4</x:t>
        </x:is>
      </x:c>
      <x:c r="M11" s="2" t="inlineStr">
        <x:is>
          <x:t xml:space="preserve">Yes: HR and Security coordinate within 24–48 hours for relevant concerns.</x:t>
        </x:is>
      </x:c>
      <x:c r="N11" t="n">
        <x:v>3</x:v>
      </x:c>
      <x:c r="O11" t="inlineStr">
        <x:is>
          <x:t xml:space="preserve"/>
        </x:is>
      </x:c>
      <x:c r="P11" t="inlineStr">
        <x:is>
          <x:t xml:space="preserve">Operating Model Gap</x:t>
        </x:is>
      </x:c>
      <x:c r="Q11" t="inlineStr">
        <x:is>
          <x:t xml:space="preserve">Maintain and test workflow</x:t>
        </x:is>
      </x:c>
      <x:c r="R11" t="inlineStr">
        <x:is>
          <x:t xml:space="preserve">N</x:t>
        </x:is>
      </x:c>
      <x:c r="S11" s="2" t="inlineStr">
        <x:is>
          <x:t xml:space="preserve">Evidence: redacted case timeline or process.</x:t>
        </x:is>
      </x:c>
      <x:c r="T11">
        <x:f>($N11)*(IF($D11="G",$E11,0)+IF($F11="G",$G11,0))</x:f>
        <x:v>0</x:v>
      </x:c>
      <x:c r="U11">
        <x:f>($N11)*(IF($D11="E",$E11,0)+IF($F11="E",$G11,0))</x:f>
        <x:v>3</x:v>
      </x:c>
      <x:c r="V11">
        <x:f>($N11)*(IF($D11="T",$E11,0)+IF($F11="T",$G11,0))</x:f>
        <x:v>0</x:v>
      </x:c>
      <x:c r="W11">
        <x:f>($N11)*(IF($D11="L",$E11,0)+IF($F11="L",$G11,0))</x:f>
        <x:v>0</x:v>
      </x:c>
      <x:c r="X11">
        <x:f>($N11)*(IF($D11="H",$E11,0)+IF($F11="H",$G11,0))</x:f>
        <x:v>0</x:v>
      </x:c>
      <x:c r="Y11">
        <x:f>($N11)*(IF($D11="V",$E11,0)+IF($F11="V",$G11,0))</x:f>
        <x:v>0</x:v>
      </x:c>
      <x:c r="Z11">
        <x:f>($N11)*(IF($D11="R",$E11,0)+IF($F11="R",$G11,0))</x:f>
        <x:v>0</x:v>
      </x:c>
      <x:c r="AA11">
        <x:f>($N11)*(IF($D11="F",$E11,0)+IF($F11="F",$G11,0))</x:f>
        <x:v>0</x:v>
      </x:c>
      <x:c r="AB11">
        <x:f>($N11)*(IF($D11="W",$E11,0)+IF($F11="W",$G11,0))</x:f>
        <x:v>0</x:v>
      </x:c>
    </x:row>
    <x:row r="12" ht="40" customHeight="1">
      <x:c r="A12" t="inlineStr">
        <x:is>
          <x:t xml:space="preserve">HR-D1-Q03</x:t>
        </x:is>
      </x:c>
      <x:c r="B12" t="inlineStr">
        <x:is>
          <x:t xml:space="preserve">T2</x:t>
        </x:is>
      </x:c>
      <x:c r="C12" t="inlineStr">
        <x:is>
          <x:t xml:space="preserve">1. HR Operating Model</x:t>
        </x:is>
      </x:c>
      <x:c r="D12" t="inlineStr">
        <x:is>
          <x:t xml:space="preserve">G</x:t>
        </x:is>
      </x:c>
      <x:c r="E12" t="n">
        <x:v>1</x:v>
      </x:c>
      <x:c r="F12" t="inlineStr">
        <x:is>
          <x:t xml:space="preserve">-</x:t>
        </x:is>
      </x:c>
      <x:c r="G12" t="inlineStr">
        <x:is>
          <x:t xml:space="preserve"/>
        </x:is>
      </x:c>
      <x:c r="H12" s="2" t="inlineStr">
        <x:is>
          <x:t xml:space="preserve">Who in HR is accountable for coordinating insider-risk prevention and people-side investigations?</x:t>
        </x:is>
      </x:c>
      <x:c r="I12" t="inlineStr">
        <x:is>
          <x:t xml:space="preserve">Accountable = ultimately responsible for ensuring the process happens.</x:t>
        </x:is>
      </x:c>
      <x:c r="J12" t="inlineStr">
        <x:is>
          <x:t xml:space="preserve">Drill-down</x:t>
        </x:is>
      </x:c>
      <x:c r="K12" t="inlineStr">
        <x:is>
          <x:t xml:space="preserve">GOV_STD</x:t>
        </x:is>
      </x:c>
      <x:c r="L12" t="inlineStr">
        <x:is>
          <x:t xml:space="preserve">HR-D1-Q03-A1</x:t>
        </x:is>
      </x:c>
      <x:c r="M12" s="2" t="inlineStr">
        <x:is>
          <x:t xml:space="preserve">No one: responsibilities are split and unclear.</x:t>
        </x:is>
      </x:c>
      <x:c r="N12" t="n">
        <x:v>0</x:v>
      </x:c>
      <x:c r="O12" t="inlineStr">
        <x:is>
          <x:t xml:space="preserve">paper_dragon_signal</x:t>
        </x:is>
      </x:c>
      <x:c r="P12" t="inlineStr">
        <x:is>
          <x:t xml:space="preserve">Operating Model Gap</x:t>
        </x:is>
      </x:c>
      <x:c r="Q12" t="inlineStr">
        <x:is>
          <x:t xml:space="preserve">Assign accountable owner</x:t>
        </x:is>
      </x:c>
      <x:c r="R12" t="inlineStr">
        <x:is>
          <x:t xml:space="preserve">N</x:t>
        </x:is>
      </x:c>
      <x:c r="S12" s="2" t="inlineStr">
        <x:is>
          <x:t xml:space="preserve"/>
        </x:is>
      </x:c>
      <x:c r="T12">
        <x:f>($N12)*(IF($D12="G",$E12,0)+IF($F12="G",$G12,0))</x:f>
        <x:v>0</x:v>
      </x:c>
      <x:c r="U12">
        <x:f>($N12)*(IF($D12="E",$E12,0)+IF($F12="E",$G12,0))</x:f>
        <x:v>0</x:v>
      </x:c>
      <x:c r="V12">
        <x:f>($N12)*(IF($D12="T",$E12,0)+IF($F12="T",$G12,0))</x:f>
        <x:v>0</x:v>
      </x:c>
      <x:c r="W12">
        <x:f>($N12)*(IF($D12="L",$E12,0)+IF($F12="L",$G12,0))</x:f>
        <x:v>0</x:v>
      </x:c>
      <x:c r="X12">
        <x:f>($N12)*(IF($D12="H",$E12,0)+IF($F12="H",$G12,0))</x:f>
        <x:v>0</x:v>
      </x:c>
      <x:c r="Y12">
        <x:f>($N12)*(IF($D12="V",$E12,0)+IF($F12="V",$G12,0))</x:f>
        <x:v>0</x:v>
      </x:c>
      <x:c r="Z12">
        <x:f>($N12)*(IF($D12="R",$E12,0)+IF($F12="R",$G12,0))</x:f>
        <x:v>0</x:v>
      </x:c>
      <x:c r="AA12">
        <x:f>($N12)*(IF($D12="F",$E12,0)+IF($F12="F",$G12,0))</x:f>
        <x:v>0</x:v>
      </x:c>
      <x:c r="AB12">
        <x:f>($N12)*(IF($D12="W",$E12,0)+IF($F12="W",$G12,0))</x:f>
        <x:v>0</x:v>
      </x:c>
    </x:row>
    <x:row r="13" ht="40" customHeight="1">
      <x:c r="A13" t="inlineStr">
        <x:is>
          <x:t xml:space="preserve">HR-D1-Q03</x:t>
        </x:is>
      </x:c>
      <x:c r="B13" t="inlineStr">
        <x:is>
          <x:t xml:space="preserve">T2</x:t>
        </x:is>
      </x:c>
      <x:c r="C13" t="inlineStr">
        <x:is>
          <x:t xml:space="preserve">1. HR Operating Model</x:t>
        </x:is>
      </x:c>
      <x:c r="D13" t="inlineStr">
        <x:is>
          <x:t xml:space="preserve">G</x:t>
        </x:is>
      </x:c>
      <x:c r="E13" t="n">
        <x:v>1</x:v>
      </x:c>
      <x:c r="F13" t="inlineStr">
        <x:is>
          <x:t xml:space="preserve">-</x:t>
        </x:is>
      </x:c>
      <x:c r="G13" t="inlineStr">
        <x:is>
          <x:t xml:space="preserve"/>
        </x:is>
      </x:c>
      <x:c r="H13" s="2" t="inlineStr">
        <x:is>
          <x:t xml:space="preserve">Who in HR is accountable for coordinating insider-risk prevention and people-side investigations?</x:t>
        </x:is>
      </x:c>
      <x:c r="I13" t="inlineStr">
        <x:is>
          <x:t xml:space="preserve">Accountable = ultimately responsible for ensuring the process happens.</x:t>
        </x:is>
      </x:c>
      <x:c r="J13" t="inlineStr">
        <x:is>
          <x:t xml:space="preserve">Drill-down</x:t>
        </x:is>
      </x:c>
      <x:c r="K13" t="inlineStr">
        <x:is>
          <x:t xml:space="preserve">GOV_STD</x:t>
        </x:is>
      </x:c>
      <x:c r="L13" t="inlineStr">
        <x:is>
          <x:t xml:space="preserve">HR-D1-Q03-A2</x:t>
        </x:is>
      </x:c>
      <x:c r="M13" s="2" t="inlineStr">
        <x:is>
          <x:t xml:space="preserve">Informal: a senior HR person handles it when needed, but it’s not in their role/KPIs.</x:t>
        </x:is>
      </x:c>
      <x:c r="N13" t="n">
        <x:v>1</x:v>
      </x:c>
      <x:c r="O13" t="inlineStr">
        <x:is>
          <x:t xml:space="preserve">key_person_dependency</x:t>
        </x:is>
      </x:c>
      <x:c r="P13" t="inlineStr">
        <x:is>
          <x:t xml:space="preserve">Operating Model Gap</x:t>
        </x:is>
      </x:c>
      <x:c r="Q13" t="inlineStr">
        <x:is>
          <x:t xml:space="preserve">Formalize accountability</x:t>
        </x:is>
      </x:c>
      <x:c r="R13" t="inlineStr">
        <x:is>
          <x:t xml:space="preserve">N</x:t>
        </x:is>
      </x:c>
      <x:c r="S13" s="2" t="inlineStr">
        <x:is>
          <x:t xml:space="preserve"/>
        </x:is>
      </x:c>
      <x:c r="T13">
        <x:f>($N13)*(IF($D13="G",$E13,0)+IF($F13="G",$G13,0))</x:f>
        <x:v>1</x:v>
      </x:c>
      <x:c r="U13">
        <x:f>($N13)*(IF($D13="E",$E13,0)+IF($F13="E",$G13,0))</x:f>
        <x:v>0</x:v>
      </x:c>
      <x:c r="V13">
        <x:f>($N13)*(IF($D13="T",$E13,0)+IF($F13="T",$G13,0))</x:f>
        <x:v>0</x:v>
      </x:c>
      <x:c r="W13">
        <x:f>($N13)*(IF($D13="L",$E13,0)+IF($F13="L",$G13,0))</x:f>
        <x:v>0</x:v>
      </x:c>
      <x:c r="X13">
        <x:f>($N13)*(IF($D13="H",$E13,0)+IF($F13="H",$G13,0))</x:f>
        <x:v>0</x:v>
      </x:c>
      <x:c r="Y13">
        <x:f>($N13)*(IF($D13="V",$E13,0)+IF($F13="V",$G13,0))</x:f>
        <x:v>0</x:v>
      </x:c>
      <x:c r="Z13">
        <x:f>($N13)*(IF($D13="R",$E13,0)+IF($F13="R",$G13,0))</x:f>
        <x:v>0</x:v>
      </x:c>
      <x:c r="AA13">
        <x:f>($N13)*(IF($D13="F",$E13,0)+IF($F13="F",$G13,0))</x:f>
        <x:v>0</x:v>
      </x:c>
      <x:c r="AB13">
        <x:f>($N13)*(IF($D13="W",$E13,0)+IF($F13="W",$G13,0))</x:f>
        <x:v>0</x:v>
      </x:c>
    </x:row>
    <x:row r="14" ht="40" customHeight="1">
      <x:c r="A14" t="inlineStr">
        <x:is>
          <x:t xml:space="preserve">HR-D1-Q03</x:t>
        </x:is>
      </x:c>
      <x:c r="B14" t="inlineStr">
        <x:is>
          <x:t xml:space="preserve">T2</x:t>
        </x:is>
      </x:c>
      <x:c r="C14" t="inlineStr">
        <x:is>
          <x:t xml:space="preserve">1. HR Operating Model</x:t>
        </x:is>
      </x:c>
      <x:c r="D14" t="inlineStr">
        <x:is>
          <x:t xml:space="preserve">G</x:t>
        </x:is>
      </x:c>
      <x:c r="E14" t="n">
        <x:v>1</x:v>
      </x:c>
      <x:c r="F14" t="inlineStr">
        <x:is>
          <x:t xml:space="preserve">-</x:t>
        </x:is>
      </x:c>
      <x:c r="G14" t="inlineStr">
        <x:is>
          <x:t xml:space="preserve"/>
        </x:is>
      </x:c>
      <x:c r="H14" s="2" t="inlineStr">
        <x:is>
          <x:t xml:space="preserve">Who in HR is accountable for coordinating insider-risk prevention and people-side investigations?</x:t>
        </x:is>
      </x:c>
      <x:c r="I14" t="inlineStr">
        <x:is>
          <x:t xml:space="preserve">Accountable = ultimately responsible for ensuring the process happens.</x:t>
        </x:is>
      </x:c>
      <x:c r="J14" t="inlineStr">
        <x:is>
          <x:t xml:space="preserve">Drill-down</x:t>
        </x:is>
      </x:c>
      <x:c r="K14" t="inlineStr">
        <x:is>
          <x:t xml:space="preserve">GOV_STD</x:t>
        </x:is>
      </x:c>
      <x:c r="L14" t="inlineStr">
        <x:is>
          <x:t xml:space="preserve">HR-D1-Q03-A3</x:t>
        </x:is>
      </x:c>
      <x:c r="M14" s="2" t="inlineStr">
        <x:is>
          <x:t xml:space="preserve">Named: a role is responsible, with documented remit.</x:t>
        </x:is>
      </x:c>
      <x:c r="N14" t="n">
        <x:v>2</x:v>
      </x:c>
      <x:c r="O14" t="inlineStr">
        <x:is>
          <x:t xml:space="preserve"/>
        </x:is>
      </x:c>
      <x:c r="P14" t="inlineStr">
        <x:is>
          <x:t xml:space="preserve">Operating Model Gap</x:t>
        </x:is>
      </x:c>
      <x:c r="Q14" t="inlineStr">
        <x:is>
          <x:t xml:space="preserve">Define KPIs</x:t>
        </x:is>
      </x:c>
      <x:c r="R14" t="inlineStr">
        <x:is>
          <x:t xml:space="preserve">N</x:t>
        </x:is>
      </x:c>
      <x:c r="S14" s="2" t="inlineStr">
        <x:is>
          <x:t xml:space="preserve">Evidence: role description or RACI.</x:t>
        </x:is>
      </x:c>
      <x:c r="T14">
        <x:f>($N14)*(IF($D14="G",$E14,0)+IF($F14="G",$G14,0))</x:f>
        <x:v>2</x:v>
      </x:c>
      <x:c r="U14">
        <x:f>($N14)*(IF($D14="E",$E14,0)+IF($F14="E",$G14,0))</x:f>
        <x:v>0</x:v>
      </x:c>
      <x:c r="V14">
        <x:f>($N14)*(IF($D14="T",$E14,0)+IF($F14="T",$G14,0))</x:f>
        <x:v>0</x:v>
      </x:c>
      <x:c r="W14">
        <x:f>($N14)*(IF($D14="L",$E14,0)+IF($F14="L",$G14,0))</x:f>
        <x:v>0</x:v>
      </x:c>
      <x:c r="X14">
        <x:f>($N14)*(IF($D14="H",$E14,0)+IF($F14="H",$G14,0))</x:f>
        <x:v>0</x:v>
      </x:c>
      <x:c r="Y14">
        <x:f>($N14)*(IF($D14="V",$E14,0)+IF($F14="V",$G14,0))</x:f>
        <x:v>0</x:v>
      </x:c>
      <x:c r="Z14">
        <x:f>($N14)*(IF($D14="R",$E14,0)+IF($F14="R",$G14,0))</x:f>
        <x:v>0</x:v>
      </x:c>
      <x:c r="AA14">
        <x:f>($N14)*(IF($D14="F",$E14,0)+IF($F14="F",$G14,0))</x:f>
        <x:v>0</x:v>
      </x:c>
      <x:c r="AB14">
        <x:f>($N14)*(IF($D14="W",$E14,0)+IF($F14="W",$G14,0))</x:f>
        <x:v>0</x:v>
      </x:c>
    </x:row>
    <x:row r="15" ht="40" customHeight="1">
      <x:c r="A15" t="inlineStr">
        <x:is>
          <x:t xml:space="preserve">HR-D1-Q03</x:t>
        </x:is>
      </x:c>
      <x:c r="B15" t="inlineStr">
        <x:is>
          <x:t xml:space="preserve">T2</x:t>
        </x:is>
      </x:c>
      <x:c r="C15" t="inlineStr">
        <x:is>
          <x:t xml:space="preserve">1. HR Operating Model</x:t>
        </x:is>
      </x:c>
      <x:c r="D15" t="inlineStr">
        <x:is>
          <x:t xml:space="preserve">G</x:t>
        </x:is>
      </x:c>
      <x:c r="E15" t="n">
        <x:v>1</x:v>
      </x:c>
      <x:c r="F15" t="inlineStr">
        <x:is>
          <x:t xml:space="preserve">-</x:t>
        </x:is>
      </x:c>
      <x:c r="G15" t="inlineStr">
        <x:is>
          <x:t xml:space="preserve"/>
        </x:is>
      </x:c>
      <x:c r="H15" s="2" t="inlineStr">
        <x:is>
          <x:t xml:space="preserve">Who in HR is accountable for coordinating insider-risk prevention and people-side investigations?</x:t>
        </x:is>
      </x:c>
      <x:c r="I15" t="inlineStr">
        <x:is>
          <x:t xml:space="preserve">Accountable = ultimately responsible for ensuring the process happens.</x:t>
        </x:is>
      </x:c>
      <x:c r="J15" t="inlineStr">
        <x:is>
          <x:t xml:space="preserve">Drill-down</x:t>
        </x:is>
      </x:c>
      <x:c r="K15" t="inlineStr">
        <x:is>
          <x:t xml:space="preserve">GOV_STD</x:t>
        </x:is>
      </x:c>
      <x:c r="L15" t="inlineStr">
        <x:is>
          <x:t xml:space="preserve">HR-D1-Q03-A4</x:t>
        </x:is>
      </x:c>
      <x:c r="M15" s="2" t="inlineStr">
        <x:is>
          <x:t xml:space="preserve">Named + empowered: role has decision rights and access to Legal/Security support.</x:t>
        </x:is>
      </x:c>
      <x:c r="N15" t="n">
        <x:v>3</x:v>
      </x:c>
      <x:c r="O15" t="inlineStr">
        <x:is>
          <x:t xml:space="preserve"/>
        </x:is>
      </x:c>
      <x:c r="P15" t="inlineStr">
        <x:is>
          <x:t xml:space="preserve">Operating Model Gap</x:t>
        </x:is>
      </x:c>
      <x:c r="Q15" t="inlineStr">
        <x:is>
          <x:t xml:space="preserve">Maintain operating model</x:t>
        </x:is>
      </x:c>
      <x:c r="R15" t="inlineStr">
        <x:is>
          <x:t xml:space="preserve">N</x:t>
        </x:is>
      </x:c>
      <x:c r="S15" s="2" t="inlineStr">
        <x:is>
          <x:t xml:space="preserve">Evidence: RACI + escalation path.</x:t>
        </x:is>
      </x:c>
      <x:c r="T15">
        <x:f>($N15)*(IF($D15="G",$E15,0)+IF($F15="G",$G15,0))</x:f>
        <x:v>3</x:v>
      </x:c>
      <x:c r="U15">
        <x:f>($N15)*(IF($D15="E",$E15,0)+IF($F15="E",$G15,0))</x:f>
        <x:v>0</x:v>
      </x:c>
      <x:c r="V15">
        <x:f>($N15)*(IF($D15="T",$E15,0)+IF($F15="T",$G15,0))</x:f>
        <x:v>0</x:v>
      </x:c>
      <x:c r="W15">
        <x:f>($N15)*(IF($D15="L",$E15,0)+IF($F15="L",$G15,0))</x:f>
        <x:v>0</x:v>
      </x:c>
      <x:c r="X15">
        <x:f>($N15)*(IF($D15="H",$E15,0)+IF($F15="H",$G15,0))</x:f>
        <x:v>0</x:v>
      </x:c>
      <x:c r="Y15">
        <x:f>($N15)*(IF($D15="V",$E15,0)+IF($F15="V",$G15,0))</x:f>
        <x:v>0</x:v>
      </x:c>
      <x:c r="Z15">
        <x:f>($N15)*(IF($D15="R",$E15,0)+IF($F15="R",$G15,0))</x:f>
        <x:v>0</x:v>
      </x:c>
      <x:c r="AA15">
        <x:f>($N15)*(IF($D15="F",$E15,0)+IF($F15="F",$G15,0))</x:f>
        <x:v>0</x:v>
      </x:c>
      <x:c r="AB15">
        <x:f>($N15)*(IF($D15="W",$E15,0)+IF($F15="W",$G15,0))</x:f>
        <x:v>0</x:v>
      </x:c>
    </x:row>
    <x:row r="16" ht="40" customHeight="1">
      <x:c r="A16" t="inlineStr">
        <x:is>
          <x:t xml:space="preserve">HR-D1-Q03</x:t>
        </x:is>
      </x:c>
      <x:c r="B16" t="inlineStr">
        <x:is>
          <x:t xml:space="preserve">T2</x:t>
        </x:is>
      </x:c>
      <x:c r="C16" t="inlineStr">
        <x:is>
          <x:t xml:space="preserve">1. HR Operating Model</x:t>
        </x:is>
      </x:c>
      <x:c r="D16" t="inlineStr">
        <x:is>
          <x:t xml:space="preserve">G</x:t>
        </x:is>
      </x:c>
      <x:c r="E16" t="n">
        <x:v>1</x:v>
      </x:c>
      <x:c r="F16" t="inlineStr">
        <x:is>
          <x:t xml:space="preserve">-</x:t>
        </x:is>
      </x:c>
      <x:c r="G16" t="inlineStr">
        <x:is>
          <x:t xml:space="preserve"/>
        </x:is>
      </x:c>
      <x:c r="H16" s="2" t="inlineStr">
        <x:is>
          <x:t xml:space="preserve">Who in HR is accountable for coordinating insider-risk prevention and people-side investigations?</x:t>
        </x:is>
      </x:c>
      <x:c r="I16" t="inlineStr">
        <x:is>
          <x:t xml:space="preserve">Accountable = ultimately responsible for ensuring the process happens.</x:t>
        </x:is>
      </x:c>
      <x:c r="J16" t="inlineStr">
        <x:is>
          <x:t xml:space="preserve">Drill-down</x:t>
        </x:is>
      </x:c>
      <x:c r="K16" t="inlineStr">
        <x:is>
          <x:t xml:space="preserve">GOV_STD</x:t>
        </x:is>
      </x:c>
      <x:c r="L16" t="inlineStr">
        <x:is>
          <x:t xml:space="preserve">HR-D1-Q03-A5</x:t>
        </x:is>
      </x:c>
      <x:c r="M16" s="2" t="inlineStr">
        <x:is>
          <x:t xml:space="preserve">Governed: accountability embedded in HR KPIs and reviewed with exec sponsor.</x:t>
        </x:is>
      </x:c>
      <x:c r="N16" t="n">
        <x:v>4</x:v>
      </x:c>
      <x:c r="O16" t="inlineStr">
        <x:is>
          <x:t xml:space="preserve"/>
        </x:is>
      </x:c>
      <x:c r="P16" t="inlineStr">
        <x:is>
          <x:t xml:space="preserve">Operating Model Gap</x:t>
        </x:is>
      </x:c>
      <x:c r="Q16" t="inlineStr">
        <x:is>
          <x:t xml:space="preserve">Maintain governance cadence</x:t>
        </x:is>
      </x:c>
      <x:c r="R16" t="inlineStr">
        <x:is>
          <x:t xml:space="preserve">N</x:t>
        </x:is>
      </x:c>
      <x:c r="S16" s="2" t="inlineStr">
        <x:is>
          <x:t xml:space="preserve">Evidence: KPI pack / steering minutes.</x:t>
        </x:is>
      </x:c>
      <x:c r="T16">
        <x:f>($N16)*(IF($D16="G",$E16,0)+IF($F16="G",$G16,0))</x:f>
        <x:v>4</x:v>
      </x:c>
      <x:c r="U16">
        <x:f>($N16)*(IF($D16="E",$E16,0)+IF($F16="E",$G16,0))</x:f>
        <x:v>0</x:v>
      </x:c>
      <x:c r="V16">
        <x:f>($N16)*(IF($D16="T",$E16,0)+IF($F16="T",$G16,0))</x:f>
        <x:v>0</x:v>
      </x:c>
      <x:c r="W16">
        <x:f>($N16)*(IF($D16="L",$E16,0)+IF($F16="L",$G16,0))</x:f>
        <x:v>0</x:v>
      </x:c>
      <x:c r="X16">
        <x:f>($N16)*(IF($D16="H",$E16,0)+IF($F16="H",$G16,0))</x:f>
        <x:v>0</x:v>
      </x:c>
      <x:c r="Y16">
        <x:f>($N16)*(IF($D16="V",$E16,0)+IF($F16="V",$G16,0))</x:f>
        <x:v>0</x:v>
      </x:c>
      <x:c r="Z16">
        <x:f>($N16)*(IF($D16="R",$E16,0)+IF($F16="R",$G16,0))</x:f>
        <x:v>0</x:v>
      </x:c>
      <x:c r="AA16">
        <x:f>($N16)*(IF($D16="F",$E16,0)+IF($F16="F",$G16,0))</x:f>
        <x:v>0</x:v>
      </x:c>
      <x:c r="AB16">
        <x:f>($N16)*(IF($D16="W",$E16,0)+IF($F16="W",$G16,0))</x:f>
        <x:v>0</x:v>
      </x:c>
    </x:row>
    <x:row r="17" ht="40" customHeight="1">
      <x:c r="A17" t="inlineStr">
        <x:is>
          <x:t xml:space="preserve">HR-D1-Q04</x:t>
        </x:is>
      </x:c>
      <x:c r="B17" t="inlineStr">
        <x:is>
          <x:t xml:space="preserve">T3</x:t>
        </x:is>
      </x:c>
      <x:c r="C17" t="inlineStr">
        <x:is>
          <x:t xml:space="preserve">1. HR Operating Model</x:t>
        </x:is>
      </x:c>
      <x:c r="D17" t="inlineStr">
        <x:is>
          <x:t xml:space="preserve">R</x:t>
        </x:is>
      </x:c>
      <x:c r="E17" t="n">
        <x:v>0.5</x:v>
      </x:c>
      <x:c r="F17" t="inlineStr">
        <x:is>
          <x:t xml:space="preserve">L</x:t>
        </x:is>
      </x:c>
      <x:c r="G17" t="n">
        <x:v>0.5</x:v>
      </x:c>
      <x:c r="H17" s="2" t="inlineStr">
        <x:is>
          <x:t xml:space="preserve">Is there a documented, fair cross-functional case workflow (HR + Legal/Privacy + Security) with clear decision rights and timelines?</x:t>
        </x:is>
      </x:c>
      <x:c r="I17" t="inlineStr">
        <x:is>
          <x:t xml:space="preserve">Focus on fairness, confidentiality, proportionality, and approvals for sensitive data use.</x:t>
        </x:is>
      </x:c>
      <x:c r="J17" t="inlineStr">
        <x:is>
          <x:t xml:space="preserve">Business-proofing</x:t>
        </x:is>
      </x:c>
      <x:c r="K17" t="inlineStr">
        <x:is>
          <x:t xml:space="preserve">LEG_STRICT</x:t>
        </x:is>
      </x:c>
      <x:c r="L17" t="inlineStr">
        <x:is>
          <x:t xml:space="preserve">HR-D1-Q04-A1</x:t>
        </x:is>
      </x:c>
      <x:c r="M17" s="2" t="inlineStr">
        <x:is>
          <x:t xml:space="preserve">None: every case is handled differently.</x:t>
        </x:is>
      </x:c>
      <x:c r="N17" t="n">
        <x:v>0</x:v>
      </x:c>
      <x:c r="O17" t="inlineStr">
        <x:is>
          <x:t xml:space="preserve">paper_dragon_signal</x:t>
        </x:is>
      </x:c>
      <x:c r="P17" t="inlineStr">
        <x:is>
          <x:t xml:space="preserve">Operating Model Gap</x:t>
        </x:is>
      </x:c>
      <x:c r="Q17" t="inlineStr">
        <x:is>
          <x:t xml:space="preserve">Create case workflow</x:t>
        </x:is>
      </x:c>
      <x:c r="R17" t="inlineStr">
        <x:is>
          <x:t xml:space="preserve">N</x:t>
        </x:is>
      </x:c>
      <x:c r="S17" s="2" t="inlineStr">
        <x:is>
          <x:t xml:space="preserve"/>
        </x:is>
      </x:c>
      <x:c r="T17">
        <x:f>($N17)*(IF($D17="G",$E17,0)+IF($F17="G",$G17,0))</x:f>
        <x:v>0</x:v>
      </x:c>
      <x:c r="U17">
        <x:f>($N17)*(IF($D17="E",$E17,0)+IF($F17="E",$G17,0))</x:f>
        <x:v>0</x:v>
      </x:c>
      <x:c r="V17">
        <x:f>($N17)*(IF($D17="T",$E17,0)+IF($F17="T",$G17,0))</x:f>
        <x:v>0</x:v>
      </x:c>
      <x:c r="W17">
        <x:f>($N17)*(IF($D17="L",$E17,0)+IF($F17="L",$G17,0))</x:f>
        <x:v>0</x:v>
      </x:c>
      <x:c r="X17">
        <x:f>($N17)*(IF($D17="H",$E17,0)+IF($F17="H",$G17,0))</x:f>
        <x:v>0</x:v>
      </x:c>
      <x:c r="Y17">
        <x:f>($N17)*(IF($D17="V",$E17,0)+IF($F17="V",$G17,0))</x:f>
        <x:v>0</x:v>
      </x:c>
      <x:c r="Z17">
        <x:f>($N17)*(IF($D17="R",$E17,0)+IF($F17="R",$G17,0))</x:f>
        <x:v>0</x:v>
      </x:c>
      <x:c r="AA17">
        <x:f>($N17)*(IF($D17="F",$E17,0)+IF($F17="F",$G17,0))</x:f>
        <x:v>0</x:v>
      </x:c>
      <x:c r="AB17">
        <x:f>($N17)*(IF($D17="W",$E17,0)+IF($F17="W",$G17,0))</x:f>
        <x:v>0</x:v>
      </x:c>
    </x:row>
    <x:row r="18" ht="40" customHeight="1">
      <x:c r="A18" t="inlineStr">
        <x:is>
          <x:t xml:space="preserve">HR-D1-Q04</x:t>
        </x:is>
      </x:c>
      <x:c r="B18" t="inlineStr">
        <x:is>
          <x:t xml:space="preserve">T3</x:t>
        </x:is>
      </x:c>
      <x:c r="C18" t="inlineStr">
        <x:is>
          <x:t xml:space="preserve">1. HR Operating Model</x:t>
        </x:is>
      </x:c>
      <x:c r="D18" t="inlineStr">
        <x:is>
          <x:t xml:space="preserve">R</x:t>
        </x:is>
      </x:c>
      <x:c r="E18" t="n">
        <x:v>0.5</x:v>
      </x:c>
      <x:c r="F18" t="inlineStr">
        <x:is>
          <x:t xml:space="preserve">L</x:t>
        </x:is>
      </x:c>
      <x:c r="G18" t="n">
        <x:v>0.5</x:v>
      </x:c>
      <x:c r="H18" s="2" t="inlineStr">
        <x:is>
          <x:t xml:space="preserve">Is there a documented, fair cross-functional case workflow (HR + Legal/Privacy + Security) with clear decision rights and timelines?</x:t>
        </x:is>
      </x:c>
      <x:c r="I18" t="inlineStr">
        <x:is>
          <x:t xml:space="preserve">Focus on fairness, confidentiality, proportionality, and approvals for sensitive data use.</x:t>
        </x:is>
      </x:c>
      <x:c r="J18" t="inlineStr">
        <x:is>
          <x:t xml:space="preserve">Business-proofing</x:t>
        </x:is>
      </x:c>
      <x:c r="K18" t="inlineStr">
        <x:is>
          <x:t xml:space="preserve">LEG_STRICT</x:t>
        </x:is>
      </x:c>
      <x:c r="L18" t="inlineStr">
        <x:is>
          <x:t xml:space="preserve">HR-D1-Q04-A2</x:t>
        </x:is>
      </x:c>
      <x:c r="M18" s="2" t="inlineStr">
        <x:is>
          <x:t xml:space="preserve">Ad-hoc: teams collaborate via email/chats; decisions are unclear.</x:t>
        </x:is>
      </x:c>
      <x:c r="N18" t="n">
        <x:v>1</x:v>
      </x:c>
      <x:c r="O18" t="inlineStr">
        <x:is>
          <x:t xml:space="preserve">shadow_mature_signal</x:t>
        </x:is>
      </x:c>
      <x:c r="P18" t="inlineStr">
        <x:is>
          <x:t xml:space="preserve">Operating Model Gap</x:t>
        </x:is>
      </x:c>
      <x:c r="Q18" t="inlineStr">
        <x:is>
          <x:t xml:space="preserve">Define roles &amp; steps</x:t>
        </x:is>
      </x:c>
      <x:c r="R18" t="inlineStr">
        <x:is>
          <x:t xml:space="preserve">N</x:t>
        </x:is>
      </x:c>
      <x:c r="S18" s="2" t="inlineStr">
        <x:is>
          <x:t xml:space="preserve">Example: last case workflow.</x:t>
        </x:is>
      </x:c>
      <x:c r="T18">
        <x:f>($N18)*(IF($D18="G",$E18,0)+IF($F18="G",$G18,0))</x:f>
        <x:v>0</x:v>
      </x:c>
      <x:c r="U18">
        <x:f>($N18)*(IF($D18="E",$E18,0)+IF($F18="E",$G18,0))</x:f>
        <x:v>0</x:v>
      </x:c>
      <x:c r="V18">
        <x:f>($N18)*(IF($D18="T",$E18,0)+IF($F18="T",$G18,0))</x:f>
        <x:v>0</x:v>
      </x:c>
      <x:c r="W18">
        <x:f>($N18)*(IF($D18="L",$E18,0)+IF($F18="L",$G18,0))</x:f>
        <x:v>0.5</x:v>
      </x:c>
      <x:c r="X18">
        <x:f>($N18)*(IF($D18="H",$E18,0)+IF($F18="H",$G18,0))</x:f>
        <x:v>0</x:v>
      </x:c>
      <x:c r="Y18">
        <x:f>($N18)*(IF($D18="V",$E18,0)+IF($F18="V",$G18,0))</x:f>
        <x:v>0</x:v>
      </x:c>
      <x:c r="Z18">
        <x:f>($N18)*(IF($D18="R",$E18,0)+IF($F18="R",$G18,0))</x:f>
        <x:v>0.5</x:v>
      </x:c>
      <x:c r="AA18">
        <x:f>($N18)*(IF($D18="F",$E18,0)+IF($F18="F",$G18,0))</x:f>
        <x:v>0</x:v>
      </x:c>
      <x:c r="AB18">
        <x:f>($N18)*(IF($D18="W",$E18,0)+IF($F18="W",$G18,0))</x:f>
        <x:v>0</x:v>
      </x:c>
    </x:row>
    <x:row r="19" ht="40" customHeight="1">
      <x:c r="A19" t="inlineStr">
        <x:is>
          <x:t xml:space="preserve">HR-D1-Q04</x:t>
        </x:is>
      </x:c>
      <x:c r="B19" t="inlineStr">
        <x:is>
          <x:t xml:space="preserve">T3</x:t>
        </x:is>
      </x:c>
      <x:c r="C19" t="inlineStr">
        <x:is>
          <x:t xml:space="preserve">1. HR Operating Model</x:t>
        </x:is>
      </x:c>
      <x:c r="D19" t="inlineStr">
        <x:is>
          <x:t xml:space="preserve">R</x:t>
        </x:is>
      </x:c>
      <x:c r="E19" t="n">
        <x:v>0.5</x:v>
      </x:c>
      <x:c r="F19" t="inlineStr">
        <x:is>
          <x:t xml:space="preserve">L</x:t>
        </x:is>
      </x:c>
      <x:c r="G19" t="n">
        <x:v>0.5</x:v>
      </x:c>
      <x:c r="H19" s="2" t="inlineStr">
        <x:is>
          <x:t xml:space="preserve">Is there a documented, fair cross-functional case workflow (HR + Legal/Privacy + Security) with clear decision rights and timelines?</x:t>
        </x:is>
      </x:c>
      <x:c r="I19" t="inlineStr">
        <x:is>
          <x:t xml:space="preserve">Focus on fairness, confidentiality, proportionality, and approvals for sensitive data use.</x:t>
        </x:is>
      </x:c>
      <x:c r="J19" t="inlineStr">
        <x:is>
          <x:t xml:space="preserve">Business-proofing</x:t>
        </x:is>
      </x:c>
      <x:c r="K19" t="inlineStr">
        <x:is>
          <x:t xml:space="preserve">LEG_STRICT</x:t>
        </x:is>
      </x:c>
      <x:c r="L19" t="inlineStr">
        <x:is>
          <x:t xml:space="preserve">HR-D1-Q04-A3</x:t>
        </x:is>
      </x:c>
      <x:c r="M19" s="2" t="inlineStr">
        <x:is>
          <x:t xml:space="preserve">Documented: workflow exists but not always followed.</x:t>
        </x:is>
      </x:c>
      <x:c r="N19" t="n">
        <x:v>2</x:v>
      </x:c>
      <x:c r="O19" t="inlineStr">
        <x:is>
          <x:t xml:space="preserve"/>
        </x:is>
      </x:c>
      <x:c r="P19" t="inlineStr">
        <x:is>
          <x:t xml:space="preserve">Operating Model Gap</x:t>
        </x:is>
      </x:c>
      <x:c r="Q19" t="inlineStr">
        <x:is>
          <x:t xml:space="preserve">Improve adherence</x:t>
        </x:is>
      </x:c>
      <x:c r="R19" t="inlineStr">
        <x:is>
          <x:t xml:space="preserve">N</x:t>
        </x:is>
      </x:c>
      <x:c r="S19" s="2" t="inlineStr">
        <x:is>
          <x:t xml:space="preserve">Evidence: workflow doc, training.</x:t>
        </x:is>
      </x:c>
      <x:c r="T19">
        <x:f>($N19)*(IF($D19="G",$E19,0)+IF($F19="G",$G19,0))</x:f>
        <x:v>0</x:v>
      </x:c>
      <x:c r="U19">
        <x:f>($N19)*(IF($D19="E",$E19,0)+IF($F19="E",$G19,0))</x:f>
        <x:v>0</x:v>
      </x:c>
      <x:c r="V19">
        <x:f>($N19)*(IF($D19="T",$E19,0)+IF($F19="T",$G19,0))</x:f>
        <x:v>0</x:v>
      </x:c>
      <x:c r="W19">
        <x:f>($N19)*(IF($D19="L",$E19,0)+IF($F19="L",$G19,0))</x:f>
        <x:v>1</x:v>
      </x:c>
      <x:c r="X19">
        <x:f>($N19)*(IF($D19="H",$E19,0)+IF($F19="H",$G19,0))</x:f>
        <x:v>0</x:v>
      </x:c>
      <x:c r="Y19">
        <x:f>($N19)*(IF($D19="V",$E19,0)+IF($F19="V",$G19,0))</x:f>
        <x:v>0</x:v>
      </x:c>
      <x:c r="Z19">
        <x:f>($N19)*(IF($D19="R",$E19,0)+IF($F19="R",$G19,0))</x:f>
        <x:v>1</x:v>
      </x:c>
      <x:c r="AA19">
        <x:f>($N19)*(IF($D19="F",$E19,0)+IF($F19="F",$G19,0))</x:f>
        <x:v>0</x:v>
      </x:c>
      <x:c r="AB19">
        <x:f>($N19)*(IF($D19="W",$E19,0)+IF($F19="W",$G19,0))</x:f>
        <x:v>0</x:v>
      </x:c>
    </x:row>
    <x:row r="20" ht="40" customHeight="1">
      <x:c r="A20" t="inlineStr">
        <x:is>
          <x:t xml:space="preserve">HR-D1-Q04</x:t>
        </x:is>
      </x:c>
      <x:c r="B20" t="inlineStr">
        <x:is>
          <x:t xml:space="preserve">T3</x:t>
        </x:is>
      </x:c>
      <x:c r="C20" t="inlineStr">
        <x:is>
          <x:t xml:space="preserve">1. HR Operating Model</x:t>
        </x:is>
      </x:c>
      <x:c r="D20" t="inlineStr">
        <x:is>
          <x:t xml:space="preserve">R</x:t>
        </x:is>
      </x:c>
      <x:c r="E20" t="n">
        <x:v>0.5</x:v>
      </x:c>
      <x:c r="F20" t="inlineStr">
        <x:is>
          <x:t xml:space="preserve">L</x:t>
        </x:is>
      </x:c>
      <x:c r="G20" t="n">
        <x:v>0.5</x:v>
      </x:c>
      <x:c r="H20" s="2" t="inlineStr">
        <x:is>
          <x:t xml:space="preserve">Is there a documented, fair cross-functional case workflow (HR + Legal/Privacy + Security) with clear decision rights and timelines?</x:t>
        </x:is>
      </x:c>
      <x:c r="I20" t="inlineStr">
        <x:is>
          <x:t xml:space="preserve">Focus on fairness, confidentiality, proportionality, and approvals for sensitive data use.</x:t>
        </x:is>
      </x:c>
      <x:c r="J20" t="inlineStr">
        <x:is>
          <x:t xml:space="preserve">Business-proofing</x:t>
        </x:is>
      </x:c>
      <x:c r="K20" t="inlineStr">
        <x:is>
          <x:t xml:space="preserve">LEG_STRICT</x:t>
        </x:is>
      </x:c>
      <x:c r="L20" t="inlineStr">
        <x:is>
          <x:t xml:space="preserve">HR-D1-Q04-A4</x:t>
        </x:is>
      </x:c>
      <x:c r="M20" s="2" t="inlineStr">
        <x:is>
          <x:t xml:space="preserve">Used: consistently followed with privacy/legal checkpoints.</x:t>
        </x:is>
      </x:c>
      <x:c r="N20" t="n">
        <x:v>3</x:v>
      </x:c>
      <x:c r="O20" t="inlineStr">
        <x:is>
          <x:t xml:space="preserve"/>
        </x:is>
      </x:c>
      <x:c r="P20" t="inlineStr">
        <x:is>
          <x:t xml:space="preserve">Legal Exposure</x:t>
        </x:is>
      </x:c>
      <x:c r="Q20" t="inlineStr">
        <x:is>
          <x:t xml:space="preserve">Maintain and audit workflow</x:t>
        </x:is>
      </x:c>
      <x:c r="R20" t="inlineStr">
        <x:is>
          <x:t xml:space="preserve">N</x:t>
        </x:is>
      </x:c>
      <x:c r="S20" s="2" t="inlineStr">
        <x:is>
          <x:t xml:space="preserve">Evidence: redacted case checklist.</x:t>
        </x:is>
      </x:c>
      <x:c r="T20">
        <x:f>($N20)*(IF($D20="G",$E20,0)+IF($F20="G",$G20,0))</x:f>
        <x:v>0</x:v>
      </x:c>
      <x:c r="U20">
        <x:f>($N20)*(IF($D20="E",$E20,0)+IF($F20="E",$G20,0))</x:f>
        <x:v>0</x:v>
      </x:c>
      <x:c r="V20">
        <x:f>($N20)*(IF($D20="T",$E20,0)+IF($F20="T",$G20,0))</x:f>
        <x:v>0</x:v>
      </x:c>
      <x:c r="W20">
        <x:f>($N20)*(IF($D20="L",$E20,0)+IF($F20="L",$G20,0))</x:f>
        <x:v>1.5</x:v>
      </x:c>
      <x:c r="X20">
        <x:f>($N20)*(IF($D20="H",$E20,0)+IF($F20="H",$G20,0))</x:f>
        <x:v>0</x:v>
      </x:c>
      <x:c r="Y20">
        <x:f>($N20)*(IF($D20="V",$E20,0)+IF($F20="V",$G20,0))</x:f>
        <x:v>0</x:v>
      </x:c>
      <x:c r="Z20">
        <x:f>($N20)*(IF($D20="R",$E20,0)+IF($F20="R",$G20,0))</x:f>
        <x:v>1.5</x:v>
      </x:c>
      <x:c r="AA20">
        <x:f>($N20)*(IF($D20="F",$E20,0)+IF($F20="F",$G20,0))</x:f>
        <x:v>0</x:v>
      </x:c>
      <x:c r="AB20">
        <x:f>($N20)*(IF($D20="W",$E20,0)+IF($F20="W",$G20,0))</x:f>
        <x:v>0</x:v>
      </x:c>
    </x:row>
    <x:row r="21" ht="40" customHeight="1">
      <x:c r="A21" t="inlineStr">
        <x:is>
          <x:t xml:space="preserve">HR-D1-Q04</x:t>
        </x:is>
      </x:c>
      <x:c r="B21" t="inlineStr">
        <x:is>
          <x:t xml:space="preserve">T3</x:t>
        </x:is>
      </x:c>
      <x:c r="C21" t="inlineStr">
        <x:is>
          <x:t xml:space="preserve">1. HR Operating Model</x:t>
        </x:is>
      </x:c>
      <x:c r="D21" t="inlineStr">
        <x:is>
          <x:t xml:space="preserve">R</x:t>
        </x:is>
      </x:c>
      <x:c r="E21" t="n">
        <x:v>0.5</x:v>
      </x:c>
      <x:c r="F21" t="inlineStr">
        <x:is>
          <x:t xml:space="preserve">L</x:t>
        </x:is>
      </x:c>
      <x:c r="G21" t="n">
        <x:v>0.5</x:v>
      </x:c>
      <x:c r="H21" s="2" t="inlineStr">
        <x:is>
          <x:t xml:space="preserve">Is there a documented, fair cross-functional case workflow (HR + Legal/Privacy + Security) with clear decision rights and timelines?</x:t>
        </x:is>
      </x:c>
      <x:c r="I21" t="inlineStr">
        <x:is>
          <x:t xml:space="preserve">Focus on fairness, confidentiality, proportionality, and approvals for sensitive data use.</x:t>
        </x:is>
      </x:c>
      <x:c r="J21" t="inlineStr">
        <x:is>
          <x:t xml:space="preserve">Business-proofing</x:t>
        </x:is>
      </x:c>
      <x:c r="K21" t="inlineStr">
        <x:is>
          <x:t xml:space="preserve">LEG_STRICT</x:t>
        </x:is>
      </x:c>
      <x:c r="L21" t="inlineStr">
        <x:is>
          <x:t xml:space="preserve">HR-D1-Q04-A5</x:t>
        </x:is>
      </x:c>
      <x:c r="M21" s="2" t="inlineStr">
        <x:is>
          <x:t xml:space="preserve">Audited: tested/audited and improved after cases or exercises.</x:t>
        </x:is>
      </x:c>
      <x:c r="N21" t="n">
        <x:v>4</x:v>
      </x:c>
      <x:c r="O21" t="inlineStr">
        <x:is>
          <x:t xml:space="preserve"/>
        </x:is>
      </x:c>
      <x:c r="P21" t="inlineStr">
        <x:is>
          <x:t xml:space="preserve">Legal Exposure</x:t>
        </x:is>
      </x:c>
      <x:c r="Q21" t="inlineStr">
        <x:is>
          <x:t xml:space="preserve">Continue assurance</x:t>
        </x:is>
      </x:c>
      <x:c r="R21" t="inlineStr">
        <x:is>
          <x:t xml:space="preserve">N</x:t>
        </x:is>
      </x:c>
      <x:c r="S21" s="2" t="inlineStr">
        <x:is>
          <x:t xml:space="preserve">Evidence: audit/exercise notes.</x:t>
        </x:is>
      </x:c>
      <x:c r="T21">
        <x:f>($N21)*(IF($D21="G",$E21,0)+IF($F21="G",$G21,0))</x:f>
        <x:v>0</x:v>
      </x:c>
      <x:c r="U21">
        <x:f>($N21)*(IF($D21="E",$E21,0)+IF($F21="E",$G21,0))</x:f>
        <x:v>0</x:v>
      </x:c>
      <x:c r="V21">
        <x:f>($N21)*(IF($D21="T",$E21,0)+IF($F21="T",$G21,0))</x:f>
        <x:v>0</x:v>
      </x:c>
      <x:c r="W21">
        <x:f>($N21)*(IF($D21="L",$E21,0)+IF($F21="L",$G21,0))</x:f>
        <x:v>2</x:v>
      </x:c>
      <x:c r="X21">
        <x:f>($N21)*(IF($D21="H",$E21,0)+IF($F21="H",$G21,0))</x:f>
        <x:v>0</x:v>
      </x:c>
      <x:c r="Y21">
        <x:f>($N21)*(IF($D21="V",$E21,0)+IF($F21="V",$G21,0))</x:f>
        <x:v>0</x:v>
      </x:c>
      <x:c r="Z21">
        <x:f>($N21)*(IF($D21="R",$E21,0)+IF($F21="R",$G21,0))</x:f>
        <x:v>2</x:v>
      </x:c>
      <x:c r="AA21">
        <x:f>($N21)*(IF($D21="F",$E21,0)+IF($F21="F",$G21,0))</x:f>
        <x:v>0</x:v>
      </x:c>
      <x:c r="AB21">
        <x:f>($N21)*(IF($D21="W",$E21,0)+IF($F21="W",$G21,0))</x:f>
        <x:v>0</x:v>
      </x:c>
    </x:row>
    <x:row r="22" ht="40" customHeight="1">
      <x:c r="A22" t="inlineStr">
        <x:is>
          <x:t xml:space="preserve">HR-D2-Q05</x:t>
        </x:is>
      </x:c>
      <x:c r="B22" t="inlineStr">
        <x:is>
          <x:t xml:space="preserve">T1</x:t>
        </x:is>
      </x:c>
      <x:c r="C22" t="inlineStr">
        <x:is>
          <x:t xml:space="preserve">2. Protected Reporting</x:t>
        </x:is>
      </x:c>
      <x:c r="D22" t="inlineStr">
        <x:is>
          <x:t xml:space="preserve">H</x:t>
        </x:is>
      </x:c>
      <x:c r="E22" t="n">
        <x:v>0.6</x:v>
      </x:c>
      <x:c r="F22" t="inlineStr">
        <x:is>
          <x:t xml:space="preserve">L</x:t>
        </x:is>
      </x:c>
      <x:c r="G22" t="n">
        <x:v>0.4</x:v>
      </x:c>
      <x:c r="H22" s="2" t="inlineStr">
        <x:is>
          <x:t xml:space="preserve">Do employees and contractors have safe ways to raise concerns (including about peers or managers) and are they protected from retaliation?</x:t>
        </x:is>
      </x:c>
      <x:c r="I22" t="inlineStr">
        <x:is>
          <x:t xml:space="preserve">Include hotline/ombuds/HR channels. Protected = non-retaliation rules + process.</x:t>
        </x:is>
      </x:c>
      <x:c r="J22" t="inlineStr">
        <x:is>
          <x:t xml:space="preserve">Gatekeeper (If BaseScore &lt;2 → HR-D2-Q06; If ≥2 → HR-D2-Q07)</x:t>
        </x:is>
      </x:c>
      <x:c r="K22" t="inlineStr">
        <x:is>
          <x:t xml:space="preserve">LEG_STRICT</x:t>
        </x:is>
      </x:c>
      <x:c r="L22" t="inlineStr">
        <x:is>
          <x:t xml:space="preserve">HR-D2-Q05-A0</x:t>
        </x:is>
      </x:c>
      <x:c r="M22" s="2" t="inlineStr">
        <x:is>
          <x:t xml:space="preserve">I don't know / Not sure.</x:t>
        </x:is>
      </x:c>
      <x:c r="N22" t="n">
        <x:v>0</x:v>
      </x:c>
      <x:c r="O22" t="inlineStr">
        <x:is>
          <x:t xml:space="preserve">low-confidence</x:t>
        </x:is>
      </x:c>
      <x:c r="P22" t="inlineStr">
        <x:is>
          <x:t xml:space="preserve">Culture Risk</x:t>
        </x:is>
      </x:c>
      <x:c r="Q22" t="inlineStr">
        <x:is>
          <x:t xml:space="preserve">Clarify channels</x:t>
        </x:is>
      </x:c>
      <x:c r="R22" t="inlineStr">
        <x:is>
          <x:t xml:space="preserve">N</x:t>
        </x:is>
      </x:c>
      <x:c r="S22" s="2" t="inlineStr">
        <x:is>
          <x:t xml:space="preserve"/>
        </x:is>
      </x:c>
      <x:c r="T22">
        <x:f>($N22)*(IF($D22="G",$E22,0)+IF($F22="G",$G22,0))</x:f>
        <x:v>0</x:v>
      </x:c>
      <x:c r="U22">
        <x:f>($N22)*(IF($D22="E",$E22,0)+IF($F22="E",$G22,0))</x:f>
        <x:v>0</x:v>
      </x:c>
      <x:c r="V22">
        <x:f>($N22)*(IF($D22="T",$E22,0)+IF($F22="T",$G22,0))</x:f>
        <x:v>0</x:v>
      </x:c>
      <x:c r="W22">
        <x:f>($N22)*(IF($D22="L",$E22,0)+IF($F22="L",$G22,0))</x:f>
        <x:v>0</x:v>
      </x:c>
      <x:c r="X22">
        <x:f>($N22)*(IF($D22="H",$E22,0)+IF($F22="H",$G22,0))</x:f>
        <x:v>0</x:v>
      </x:c>
      <x:c r="Y22">
        <x:f>($N22)*(IF($D22="V",$E22,0)+IF($F22="V",$G22,0))</x:f>
        <x:v>0</x:v>
      </x:c>
      <x:c r="Z22">
        <x:f>($N22)*(IF($D22="R",$E22,0)+IF($F22="R",$G22,0))</x:f>
        <x:v>0</x:v>
      </x:c>
      <x:c r="AA22">
        <x:f>($N22)*(IF($D22="F",$E22,0)+IF($F22="F",$G22,0))</x:f>
        <x:v>0</x:v>
      </x:c>
      <x:c r="AB22">
        <x:f>($N22)*(IF($D22="W",$E22,0)+IF($F22="W",$G22,0))</x:f>
        <x:v>0</x:v>
      </x:c>
    </x:row>
    <x:row r="23" ht="40" customHeight="1">
      <x:c r="A23" t="inlineStr">
        <x:is>
          <x:t xml:space="preserve">HR-D2-Q05</x:t>
        </x:is>
      </x:c>
      <x:c r="B23" t="inlineStr">
        <x:is>
          <x:t xml:space="preserve">T1</x:t>
        </x:is>
      </x:c>
      <x:c r="C23" t="inlineStr">
        <x:is>
          <x:t xml:space="preserve">2. Protected Reporting</x:t>
        </x:is>
      </x:c>
      <x:c r="D23" t="inlineStr">
        <x:is>
          <x:t xml:space="preserve">H</x:t>
        </x:is>
      </x:c>
      <x:c r="E23" t="n">
        <x:v>0.6</x:v>
      </x:c>
      <x:c r="F23" t="inlineStr">
        <x:is>
          <x:t xml:space="preserve">L</x:t>
        </x:is>
      </x:c>
      <x:c r="G23" t="n">
        <x:v>0.4</x:v>
      </x:c>
      <x:c r="H23" s="2" t="inlineStr">
        <x:is>
          <x:t xml:space="preserve">Do employees and contractors have safe ways to raise concerns (including about peers or managers) and are they protected from retaliation?</x:t>
        </x:is>
      </x:c>
      <x:c r="I23" t="inlineStr">
        <x:is>
          <x:t xml:space="preserve">Include hotline/ombuds/HR channels. Protected = non-retaliation rules + process.</x:t>
        </x:is>
      </x:c>
      <x:c r="J23" t="inlineStr">
        <x:is>
          <x:t xml:space="preserve">Gatekeeper (If BaseScore &lt;2 → HR-D2-Q06; If ≥2 → HR-D2-Q07)</x:t>
        </x:is>
      </x:c>
      <x:c r="K23" t="inlineStr">
        <x:is>
          <x:t xml:space="preserve">LEG_STRICT</x:t>
        </x:is>
      </x:c>
      <x:c r="L23" t="inlineStr">
        <x:is>
          <x:t xml:space="preserve">HR-D2-Q05-A1</x:t>
        </x:is>
      </x:c>
      <x:c r="M23" s="2" t="inlineStr">
        <x:is>
          <x:t xml:space="preserve">No: people mostly stay silent or only talk informally.</x:t>
        </x:is>
      </x:c>
      <x:c r="N23" t="n">
        <x:v>0</x:v>
      </x:c>
      <x:c r="O23" t="inlineStr">
        <x:is>
          <x:t xml:space="preserve">culture_risk,toxic_enforcer_signal</x:t>
        </x:is>
      </x:c>
      <x:c r="P23" t="inlineStr">
        <x:is>
          <x:t xml:space="preserve">Culture Risk</x:t>
        </x:is>
      </x:c>
      <x:c r="Q23" t="inlineStr">
        <x:is>
          <x:t xml:space="preserve">Design protected reporting</x:t>
        </x:is>
      </x:c>
      <x:c r="R23" t="inlineStr">
        <x:is>
          <x:t xml:space="preserve">N</x:t>
        </x:is>
      </x:c>
      <x:c r="S23" s="2" t="inlineStr">
        <x:is>
          <x:t xml:space="preserve"/>
        </x:is>
      </x:c>
      <x:c r="T23">
        <x:f>($N23)*(IF($D23="G",$E23,0)+IF($F23="G",$G23,0))</x:f>
        <x:v>0</x:v>
      </x:c>
      <x:c r="U23">
        <x:f>($N23)*(IF($D23="E",$E23,0)+IF($F23="E",$G23,0))</x:f>
        <x:v>0</x:v>
      </x:c>
      <x:c r="V23">
        <x:f>($N23)*(IF($D23="T",$E23,0)+IF($F23="T",$G23,0))</x:f>
        <x:v>0</x:v>
      </x:c>
      <x:c r="W23">
        <x:f>($N23)*(IF($D23="L",$E23,0)+IF($F23="L",$G23,0))</x:f>
        <x:v>0</x:v>
      </x:c>
      <x:c r="X23">
        <x:f>($N23)*(IF($D23="H",$E23,0)+IF($F23="H",$G23,0))</x:f>
        <x:v>0</x:v>
      </x:c>
      <x:c r="Y23">
        <x:f>($N23)*(IF($D23="V",$E23,0)+IF($F23="V",$G23,0))</x:f>
        <x:v>0</x:v>
      </x:c>
      <x:c r="Z23">
        <x:f>($N23)*(IF($D23="R",$E23,0)+IF($F23="R",$G23,0))</x:f>
        <x:v>0</x:v>
      </x:c>
      <x:c r="AA23">
        <x:f>($N23)*(IF($D23="F",$E23,0)+IF($F23="F",$G23,0))</x:f>
        <x:v>0</x:v>
      </x:c>
      <x:c r="AB23">
        <x:f>($N23)*(IF($D23="W",$E23,0)+IF($F23="W",$G23,0))</x:f>
        <x:v>0</x:v>
      </x:c>
    </x:row>
    <x:row r="24" ht="40" customHeight="1">
      <x:c r="A24" t="inlineStr">
        <x:is>
          <x:t xml:space="preserve">HR-D2-Q05</x:t>
        </x:is>
      </x:c>
      <x:c r="B24" t="inlineStr">
        <x:is>
          <x:t xml:space="preserve">T1</x:t>
        </x:is>
      </x:c>
      <x:c r="C24" t="inlineStr">
        <x:is>
          <x:t xml:space="preserve">2. Protected Reporting</x:t>
        </x:is>
      </x:c>
      <x:c r="D24" t="inlineStr">
        <x:is>
          <x:t xml:space="preserve">H</x:t>
        </x:is>
      </x:c>
      <x:c r="E24" t="n">
        <x:v>0.6</x:v>
      </x:c>
      <x:c r="F24" t="inlineStr">
        <x:is>
          <x:t xml:space="preserve">L</x:t>
        </x:is>
      </x:c>
      <x:c r="G24" t="n">
        <x:v>0.4</x:v>
      </x:c>
      <x:c r="H24" s="2" t="inlineStr">
        <x:is>
          <x:t xml:space="preserve">Do employees and contractors have safe ways to raise concerns (including about peers or managers) and are they protected from retaliation?</x:t>
        </x:is>
      </x:c>
      <x:c r="I24" t="inlineStr">
        <x:is>
          <x:t xml:space="preserve">Include hotline/ombuds/HR channels. Protected = non-retaliation rules + process.</x:t>
        </x:is>
      </x:c>
      <x:c r="J24" t="inlineStr">
        <x:is>
          <x:t xml:space="preserve">Gatekeeper (If BaseScore &lt;2 → HR-D2-Q06; If ≥2 → HR-D2-Q07)</x:t>
        </x:is>
      </x:c>
      <x:c r="K24" t="inlineStr">
        <x:is>
          <x:t xml:space="preserve">LEG_STRICT</x:t>
        </x:is>
      </x:c>
      <x:c r="L24" t="inlineStr">
        <x:is>
          <x:t xml:space="preserve">HR-D2-Q05-A2</x:t>
        </x:is>
      </x:c>
      <x:c r="M24" s="2" t="inlineStr">
        <x:is>
          <x:t xml:space="preserve">Basic: a channel exists, but people fear consequences or don't trust it.</x:t>
        </x:is>
      </x:c>
      <x:c r="N24" t="n">
        <x:v>1</x:v>
      </x:c>
      <x:c r="O24" t="inlineStr">
        <x:is>
          <x:t xml:space="preserve">culture_risk</x:t>
        </x:is>
      </x:c>
      <x:c r="P24" t="inlineStr">
        <x:is>
          <x:t xml:space="preserve">Culture Risk</x:t>
        </x:is>
      </x:c>
      <x:c r="Q24" t="inlineStr">
        <x:is>
          <x:t xml:space="preserve">Improve trust &amp; protections</x:t>
        </x:is>
      </x:c>
      <x:c r="R24" t="inlineStr">
        <x:is>
          <x:t xml:space="preserve">N</x:t>
        </x:is>
      </x:c>
      <x:c r="S24" s="2" t="inlineStr">
        <x:is>
          <x:t xml:space="preserve">Evidence: channel description, communications.</x:t>
        </x:is>
      </x:c>
      <x:c r="T24">
        <x:f>($N24)*(IF($D24="G",$E24,0)+IF($F24="G",$G24,0))</x:f>
        <x:v>0</x:v>
      </x:c>
      <x:c r="U24">
        <x:f>($N24)*(IF($D24="E",$E24,0)+IF($F24="E",$G24,0))</x:f>
        <x:v>0</x:v>
      </x:c>
      <x:c r="V24">
        <x:f>($N24)*(IF($D24="T",$E24,0)+IF($F24="T",$G24,0))</x:f>
        <x:v>0</x:v>
      </x:c>
      <x:c r="W24">
        <x:f>($N24)*(IF($D24="L",$E24,0)+IF($F24="L",$G24,0))</x:f>
        <x:v>0.4</x:v>
      </x:c>
      <x:c r="X24">
        <x:f>($N24)*(IF($D24="H",$E24,0)+IF($F24="H",$G24,0))</x:f>
        <x:v>0.6</x:v>
      </x:c>
      <x:c r="Y24">
        <x:f>($N24)*(IF($D24="V",$E24,0)+IF($F24="V",$G24,0))</x:f>
        <x:v>0</x:v>
      </x:c>
      <x:c r="Z24">
        <x:f>($N24)*(IF($D24="R",$E24,0)+IF($F24="R",$G24,0))</x:f>
        <x:v>0</x:v>
      </x:c>
      <x:c r="AA24">
        <x:f>($N24)*(IF($D24="F",$E24,0)+IF($F24="F",$G24,0))</x:f>
        <x:v>0</x:v>
      </x:c>
      <x:c r="AB24">
        <x:f>($N24)*(IF($D24="W",$E24,0)+IF($F24="W",$G24,0))</x:f>
        <x:v>0</x:v>
      </x:c>
    </x:row>
    <x:row r="25" ht="40" customHeight="1">
      <x:c r="A25" t="inlineStr">
        <x:is>
          <x:t xml:space="preserve">HR-D2-Q05</x:t>
        </x:is>
      </x:c>
      <x:c r="B25" t="inlineStr">
        <x:is>
          <x:t xml:space="preserve">T1</x:t>
        </x:is>
      </x:c>
      <x:c r="C25" t="inlineStr">
        <x:is>
          <x:t xml:space="preserve">2. Protected Reporting</x:t>
        </x:is>
      </x:c>
      <x:c r="D25" t="inlineStr">
        <x:is>
          <x:t xml:space="preserve">H</x:t>
        </x:is>
      </x:c>
      <x:c r="E25" t="n">
        <x:v>0.6</x:v>
      </x:c>
      <x:c r="F25" t="inlineStr">
        <x:is>
          <x:t xml:space="preserve">L</x:t>
        </x:is>
      </x:c>
      <x:c r="G25" t="n">
        <x:v>0.4</x:v>
      </x:c>
      <x:c r="H25" s="2" t="inlineStr">
        <x:is>
          <x:t xml:space="preserve">Do employees and contractors have safe ways to raise concerns (including about peers or managers) and are they protected from retaliation?</x:t>
        </x:is>
      </x:c>
      <x:c r="I25" t="inlineStr">
        <x:is>
          <x:t xml:space="preserve">Include hotline/ombuds/HR channels. Protected = non-retaliation rules + process.</x:t>
        </x:is>
      </x:c>
      <x:c r="J25" t="inlineStr">
        <x:is>
          <x:t xml:space="preserve">Gatekeeper (If BaseScore &lt;2 → HR-D2-Q06; If ≥2 → HR-D2-Q07)</x:t>
        </x:is>
      </x:c>
      <x:c r="K25" t="inlineStr">
        <x:is>
          <x:t xml:space="preserve">LEG_STRICT</x:t>
        </x:is>
      </x:c>
      <x:c r="L25" t="inlineStr">
        <x:is>
          <x:t xml:space="preserve">HR-D2-Q05-A3</x:t>
        </x:is>
      </x:c>
      <x:c r="M25" s="2" t="inlineStr">
        <x:is>
          <x:t xml:space="preserve">Defined: multiple channels exist and non-retaliation is communicated, but quality varies.</x:t>
        </x:is>
      </x:c>
      <x:c r="N25" t="n">
        <x:v>2</x:v>
      </x:c>
      <x:c r="O25" t="inlineStr">
        <x:is>
          <x:t xml:space="preserve"/>
        </x:is>
      </x:c>
      <x:c r="P25" t="inlineStr">
        <x:is>
          <x:t xml:space="preserve">Culture Risk</x:t>
        </x:is>
      </x:c>
      <x:c r="Q25" t="inlineStr">
        <x:is>
          <x:t xml:space="preserve">Strengthen triage &amp; feedback</x:t>
        </x:is>
      </x:c>
      <x:c r="R25" t="inlineStr">
        <x:is>
          <x:t xml:space="preserve">N</x:t>
        </x:is>
      </x:c>
      <x:c r="S25" s="2" t="inlineStr">
        <x:is>
          <x:t xml:space="preserve">Evidence: policy + comms.</x:t>
        </x:is>
      </x:c>
      <x:c r="T25">
        <x:f>($N25)*(IF($D25="G",$E25,0)+IF($F25="G",$G25,0))</x:f>
        <x:v>0</x:v>
      </x:c>
      <x:c r="U25">
        <x:f>($N25)*(IF($D25="E",$E25,0)+IF($F25="E",$G25,0))</x:f>
        <x:v>0</x:v>
      </x:c>
      <x:c r="V25">
        <x:f>($N25)*(IF($D25="T",$E25,0)+IF($F25="T",$G25,0))</x:f>
        <x:v>0</x:v>
      </x:c>
      <x:c r="W25">
        <x:f>($N25)*(IF($D25="L",$E25,0)+IF($F25="L",$G25,0))</x:f>
        <x:v>0.8</x:v>
      </x:c>
      <x:c r="X25">
        <x:f>($N25)*(IF($D25="H",$E25,0)+IF($F25="H",$G25,0))</x:f>
        <x:v>1.2</x:v>
      </x:c>
      <x:c r="Y25">
        <x:f>($N25)*(IF($D25="V",$E25,0)+IF($F25="V",$G25,0))</x:f>
        <x:v>0</x:v>
      </x:c>
      <x:c r="Z25">
        <x:f>($N25)*(IF($D25="R",$E25,0)+IF($F25="R",$G25,0))</x:f>
        <x:v>0</x:v>
      </x:c>
      <x:c r="AA25">
        <x:f>($N25)*(IF($D25="F",$E25,0)+IF($F25="F",$G25,0))</x:f>
        <x:v>0</x:v>
      </x:c>
      <x:c r="AB25">
        <x:f>($N25)*(IF($D25="W",$E25,0)+IF($F25="W",$G25,0))</x:f>
        <x:v>0</x:v>
      </x:c>
    </x:row>
    <x:row r="26" ht="40" customHeight="1">
      <x:c r="A26" t="inlineStr">
        <x:is>
          <x:t xml:space="preserve">HR-D2-Q05</x:t>
        </x:is>
      </x:c>
      <x:c r="B26" t="inlineStr">
        <x:is>
          <x:t xml:space="preserve">T1</x:t>
        </x:is>
      </x:c>
      <x:c r="C26" t="inlineStr">
        <x:is>
          <x:t xml:space="preserve">2. Protected Reporting</x:t>
        </x:is>
      </x:c>
      <x:c r="D26" t="inlineStr">
        <x:is>
          <x:t xml:space="preserve">H</x:t>
        </x:is>
      </x:c>
      <x:c r="E26" t="n">
        <x:v>0.6</x:v>
      </x:c>
      <x:c r="F26" t="inlineStr">
        <x:is>
          <x:t xml:space="preserve">L</x:t>
        </x:is>
      </x:c>
      <x:c r="G26" t="n">
        <x:v>0.4</x:v>
      </x:c>
      <x:c r="H26" s="2" t="inlineStr">
        <x:is>
          <x:t xml:space="preserve">Do employees and contractors have safe ways to raise concerns (including about peers or managers) and are they protected from retaliation?</x:t>
        </x:is>
      </x:c>
      <x:c r="I26" t="inlineStr">
        <x:is>
          <x:t xml:space="preserve">Include hotline/ombuds/HR channels. Protected = non-retaliation rules + process.</x:t>
        </x:is>
      </x:c>
      <x:c r="J26" t="inlineStr">
        <x:is>
          <x:t xml:space="preserve">Gatekeeper (If BaseScore &lt;2 → HR-D2-Q06; If ≥2 → HR-D2-Q07)</x:t>
        </x:is>
      </x:c>
      <x:c r="K26" t="inlineStr">
        <x:is>
          <x:t xml:space="preserve">LEG_STRICT</x:t>
        </x:is>
      </x:c>
      <x:c r="L26" t="inlineStr">
        <x:is>
          <x:t xml:space="preserve">HR-D2-Q05-A4</x:t>
        </x:is>
      </x:c>
      <x:c r="M26" s="2" t="inlineStr">
        <x:is>
          <x:t xml:space="preserve">Trusted: channels are used; confidentiality respected; retaliation investigated.</x:t>
        </x:is>
      </x:c>
      <x:c r="N26" t="n">
        <x:v>3</x:v>
      </x:c>
      <x:c r="O26" t="inlineStr">
        <x:is>
          <x:t xml:space="preserve"/>
        </x:is>
      </x:c>
      <x:c r="P26" t="inlineStr">
        <x:is>
          <x:t xml:space="preserve">Culture Risk</x:t>
        </x:is>
      </x:c>
      <x:c r="Q26" t="inlineStr">
        <x:is>
          <x:t xml:space="preserve">Maintain and measure trust</x:t>
        </x:is>
      </x:c>
      <x:c r="R26" t="inlineStr">
        <x:is>
          <x:t xml:space="preserve">N</x:t>
        </x:is>
      </x:c>
      <x:c r="S26" s="2" t="inlineStr">
        <x:is>
          <x:t xml:space="preserve">Evidence: anonymized metrics on reports/retaliation.</x:t>
        </x:is>
      </x:c>
      <x:c r="T26">
        <x:f>($N26)*(IF($D26="G",$E26,0)+IF($F26="G",$G26,0))</x:f>
        <x:v>0</x:v>
      </x:c>
      <x:c r="U26">
        <x:f>($N26)*(IF($D26="E",$E26,0)+IF($F26="E",$G26,0))</x:f>
        <x:v>0</x:v>
      </x:c>
      <x:c r="V26">
        <x:f>($N26)*(IF($D26="T",$E26,0)+IF($F26="T",$G26,0))</x:f>
        <x:v>0</x:v>
      </x:c>
      <x:c r="W26">
        <x:f>($N26)*(IF($D26="L",$E26,0)+IF($F26="L",$G26,0))</x:f>
        <x:v>1.2000000000000002</x:v>
      </x:c>
      <x:c r="X26">
        <x:f>($N26)*(IF($D26="H",$E26,0)+IF($F26="H",$G26,0))</x:f>
        <x:v>1.7999999999999998</x:v>
      </x:c>
      <x:c r="Y26">
        <x:f>($N26)*(IF($D26="V",$E26,0)+IF($F26="V",$G26,0))</x:f>
        <x:v>0</x:v>
      </x:c>
      <x:c r="Z26">
        <x:f>($N26)*(IF($D26="R",$E26,0)+IF($F26="R",$G26,0))</x:f>
        <x:v>0</x:v>
      </x:c>
      <x:c r="AA26">
        <x:f>($N26)*(IF($D26="F",$E26,0)+IF($F26="F",$G26,0))</x:f>
        <x:v>0</x:v>
      </x:c>
      <x:c r="AB26">
        <x:f>($N26)*(IF($D26="W",$E26,0)+IF($F26="W",$G26,0))</x:f>
        <x:v>0</x:v>
      </x:c>
    </x:row>
    <x:row r="27" ht="40" customHeight="1">
      <x:c r="A27" t="inlineStr">
        <x:is>
          <x:t xml:space="preserve">HR-D2-Q05</x:t>
        </x:is>
      </x:c>
      <x:c r="B27" t="inlineStr">
        <x:is>
          <x:t xml:space="preserve">T1</x:t>
        </x:is>
      </x:c>
      <x:c r="C27" t="inlineStr">
        <x:is>
          <x:t xml:space="preserve">2. Protected Reporting</x:t>
        </x:is>
      </x:c>
      <x:c r="D27" t="inlineStr">
        <x:is>
          <x:t xml:space="preserve">H</x:t>
        </x:is>
      </x:c>
      <x:c r="E27" t="n">
        <x:v>0.6</x:v>
      </x:c>
      <x:c r="F27" t="inlineStr">
        <x:is>
          <x:t xml:space="preserve">L</x:t>
        </x:is>
      </x:c>
      <x:c r="G27" t="n">
        <x:v>0.4</x:v>
      </x:c>
      <x:c r="H27" s="2" t="inlineStr">
        <x:is>
          <x:t xml:space="preserve">Do employees and contractors have safe ways to raise concerns (including about peers or managers) and are they protected from retaliation?</x:t>
        </x:is>
      </x:c>
      <x:c r="I27" t="inlineStr">
        <x:is>
          <x:t xml:space="preserve">Include hotline/ombuds/HR channels. Protected = non-retaliation rules + process.</x:t>
        </x:is>
      </x:c>
      <x:c r="J27" t="inlineStr">
        <x:is>
          <x:t xml:space="preserve">Gatekeeper (If BaseScore &lt;2 → HR-D2-Q06; If ≥2 → HR-D2-Q07)</x:t>
        </x:is>
      </x:c>
      <x:c r="K27" t="inlineStr">
        <x:is>
          <x:t xml:space="preserve">LEG_STRICT</x:t>
        </x:is>
      </x:c>
      <x:c r="L27" t="inlineStr">
        <x:is>
          <x:t xml:space="preserve">HR-D2-Q05-A5</x:t>
        </x:is>
      </x:c>
      <x:c r="M27" s="2" t="inlineStr">
        <x:is>
          <x:t xml:space="preserve">High trust: people report early; outcomes drive improvements; trust is measured.</x:t>
        </x:is>
      </x:c>
      <x:c r="N27" t="n">
        <x:v>4</x:v>
      </x:c>
      <x:c r="O27" t="inlineStr">
        <x:is>
          <x:t xml:space="preserve"/>
        </x:is>
      </x:c>
      <x:c r="P27" t="inlineStr">
        <x:is>
          <x:t xml:space="preserve">Culture Risk</x:t>
        </x:is>
      </x:c>
      <x:c r="Q27" t="inlineStr">
        <x:is>
          <x:t xml:space="preserve">Maintain maturity</x:t>
        </x:is>
      </x:c>
      <x:c r="R27" t="inlineStr">
        <x:is>
          <x:t xml:space="preserve">N</x:t>
        </x:is>
      </x:c>
      <x:c r="S27" s="2" t="inlineStr">
        <x:is>
          <x:t xml:space="preserve">Evidence: trends + action plans.</x:t>
        </x:is>
      </x:c>
      <x:c r="T27">
        <x:f>($N27)*(IF($D27="G",$E27,0)+IF($F27="G",$G27,0))</x:f>
        <x:v>0</x:v>
      </x:c>
      <x:c r="U27">
        <x:f>($N27)*(IF($D27="E",$E27,0)+IF($F27="E",$G27,0))</x:f>
        <x:v>0</x:v>
      </x:c>
      <x:c r="V27">
        <x:f>($N27)*(IF($D27="T",$E27,0)+IF($F27="T",$G27,0))</x:f>
        <x:v>0</x:v>
      </x:c>
      <x:c r="W27">
        <x:f>($N27)*(IF($D27="L",$E27,0)+IF($F27="L",$G27,0))</x:f>
        <x:v>1.6</x:v>
      </x:c>
      <x:c r="X27">
        <x:f>($N27)*(IF($D27="H",$E27,0)+IF($F27="H",$G27,0))</x:f>
        <x:v>2.4</x:v>
      </x:c>
      <x:c r="Y27">
        <x:f>($N27)*(IF($D27="V",$E27,0)+IF($F27="V",$G27,0))</x:f>
        <x:v>0</x:v>
      </x:c>
      <x:c r="Z27">
        <x:f>($N27)*(IF($D27="R",$E27,0)+IF($F27="R",$G27,0))</x:f>
        <x:v>0</x:v>
      </x:c>
      <x:c r="AA27">
        <x:f>($N27)*(IF($D27="F",$E27,0)+IF($F27="F",$G27,0))</x:f>
        <x:v>0</x:v>
      </x:c>
      <x:c r="AB27">
        <x:f>($N27)*(IF($D27="W",$E27,0)+IF($F27="W",$G27,0))</x:f>
        <x:v>0</x:v>
      </x:c>
    </x:row>
    <x:row r="28" ht="40" customHeight="1">
      <x:c r="A28" t="inlineStr">
        <x:is>
          <x:t xml:space="preserve">HR-D2-Q06</x:t>
        </x:is>
      </x:c>
      <x:c r="B28" t="inlineStr">
        <x:is>
          <x:t xml:space="preserve">T2</x:t>
        </x:is>
      </x:c>
      <x:c r="C28" t="inlineStr">
        <x:is>
          <x:t xml:space="preserve">2. Protected Reporting</x:t>
        </x:is>
      </x:c>
      <x:c r="D28" t="inlineStr">
        <x:is>
          <x:t xml:space="preserve">H</x:t>
        </x:is>
      </x:c>
      <x:c r="E28" t="n">
        <x:v>1</x:v>
      </x:c>
      <x:c r="F28" t="inlineStr">
        <x:is>
          <x:t xml:space="preserve">-</x:t>
        </x:is>
      </x:c>
      <x:c r="G28" t="inlineStr">
        <x:is>
          <x:t xml:space="preserve"/>
        </x:is>
      </x:c>
      <x:c r="H28" s="2" t="inlineStr">
        <x:is>
          <x:t xml:space="preserve">(Shadow probe) If there is no formal channel, how do concerns actually get raised today?</x:t>
        </x:is>
      </x:c>
      <x:c r="I28" t="inlineStr">
        <x:is>
          <x:t xml:space="preserve">Captures practical reality in low-maturity settings.</x:t>
        </x:is>
      </x:c>
      <x:c r="J28" t="inlineStr">
        <x:is>
          <x:t xml:space="preserve">Shadow fallback (Then → HR-D3-Q09)</x:t>
        </x:is>
      </x:c>
      <x:c r="K28" t="inlineStr">
        <x:is>
          <x:t xml:space="preserve">CULT_SOFT</x:t>
        </x:is>
      </x:c>
      <x:c r="L28" t="inlineStr">
        <x:is>
          <x:t xml:space="preserve">HR-D2-Q06-A1</x:t>
        </x:is>
      </x:c>
      <x:c r="M28" s="2" t="inlineStr">
        <x:is>
          <x:t xml:space="preserve">They usually aren’t raised; people avoid speaking up.</x:t>
        </x:is>
      </x:c>
      <x:c r="N28" t="n">
        <x:v>0</x:v>
      </x:c>
      <x:c r="O28" t="inlineStr">
        <x:is>
          <x:t xml:space="preserve">culture_risk</x:t>
        </x:is>
      </x:c>
      <x:c r="P28" t="inlineStr">
        <x:is>
          <x:t xml:space="preserve">Culture Risk</x:t>
        </x:is>
      </x:c>
      <x:c r="Q28" t="inlineStr">
        <x:is>
          <x:t xml:space="preserve">Implement channels</x:t>
        </x:is>
      </x:c>
      <x:c r="R28" t="inlineStr">
        <x:is>
          <x:t xml:space="preserve">N</x:t>
        </x:is>
      </x:c>
      <x:c r="S28" s="2" t="inlineStr">
        <x:is>
          <x:t xml:space="preserve"/>
        </x:is>
      </x:c>
      <x:c r="T28">
        <x:f>($N28)*(IF($D28="G",$E28,0)+IF($F28="G",$G28,0))</x:f>
        <x:v>0</x:v>
      </x:c>
      <x:c r="U28">
        <x:f>($N28)*(IF($D28="E",$E28,0)+IF($F28="E",$G28,0))</x:f>
        <x:v>0</x:v>
      </x:c>
      <x:c r="V28">
        <x:f>($N28)*(IF($D28="T",$E28,0)+IF($F28="T",$G28,0))</x:f>
        <x:v>0</x:v>
      </x:c>
      <x:c r="W28">
        <x:f>($N28)*(IF($D28="L",$E28,0)+IF($F28="L",$G28,0))</x:f>
        <x:v>0</x:v>
      </x:c>
      <x:c r="X28">
        <x:f>($N28)*(IF($D28="H",$E28,0)+IF($F28="H",$G28,0))</x:f>
        <x:v>0</x:v>
      </x:c>
      <x:c r="Y28">
        <x:f>($N28)*(IF($D28="V",$E28,0)+IF($F28="V",$G28,0))</x:f>
        <x:v>0</x:v>
      </x:c>
      <x:c r="Z28">
        <x:f>($N28)*(IF($D28="R",$E28,0)+IF($F28="R",$G28,0))</x:f>
        <x:v>0</x:v>
      </x:c>
      <x:c r="AA28">
        <x:f>($N28)*(IF($D28="F",$E28,0)+IF($F28="F",$G28,0))</x:f>
        <x:v>0</x:v>
      </x:c>
      <x:c r="AB28">
        <x:f>($N28)*(IF($D28="W",$E28,0)+IF($F28="W",$G28,0))</x:f>
        <x:v>0</x:v>
      </x:c>
    </x:row>
    <x:row r="29" ht="40" customHeight="1">
      <x:c r="A29" t="inlineStr">
        <x:is>
          <x:t xml:space="preserve">HR-D2-Q06</x:t>
        </x:is>
      </x:c>
      <x:c r="B29" t="inlineStr">
        <x:is>
          <x:t xml:space="preserve">T2</x:t>
        </x:is>
      </x:c>
      <x:c r="C29" t="inlineStr">
        <x:is>
          <x:t xml:space="preserve">2. Protected Reporting</x:t>
        </x:is>
      </x:c>
      <x:c r="D29" t="inlineStr">
        <x:is>
          <x:t xml:space="preserve">H</x:t>
        </x:is>
      </x:c>
      <x:c r="E29" t="n">
        <x:v>1</x:v>
      </x:c>
      <x:c r="F29" t="inlineStr">
        <x:is>
          <x:t xml:space="preserve">-</x:t>
        </x:is>
      </x:c>
      <x:c r="G29" t="inlineStr">
        <x:is>
          <x:t xml:space="preserve"/>
        </x:is>
      </x:c>
      <x:c r="H29" s="2" t="inlineStr">
        <x:is>
          <x:t xml:space="preserve">(Shadow probe) If there is no formal channel, how do concerns actually get raised today?</x:t>
        </x:is>
      </x:c>
      <x:c r="I29" t="inlineStr">
        <x:is>
          <x:t xml:space="preserve">Captures practical reality in low-maturity settings.</x:t>
        </x:is>
      </x:c>
      <x:c r="J29" t="inlineStr">
        <x:is>
          <x:t xml:space="preserve">Shadow fallback (Then → HR-D3-Q09)</x:t>
        </x:is>
      </x:c>
      <x:c r="K29" t="inlineStr">
        <x:is>
          <x:t xml:space="preserve">CULT_SOFT</x:t>
        </x:is>
      </x:c>
      <x:c r="L29" t="inlineStr">
        <x:is>
          <x:t xml:space="preserve">HR-D2-Q06-A2</x:t>
        </x:is>
      </x:c>
      <x:c r="M29" s="2" t="inlineStr">
        <x:is>
          <x:t xml:space="preserve">Only to a trusted manager/HR contact; depends on relationships.</x:t>
        </x:is>
      </x:c>
      <x:c r="N29" t="n">
        <x:v>1</x:v>
      </x:c>
      <x:c r="O29" t="inlineStr">
        <x:is>
          <x:t xml:space="preserve">key_person_dependency</x:t>
        </x:is>
      </x:c>
      <x:c r="P29" t="inlineStr">
        <x:is>
          <x:t xml:space="preserve">Culture Risk</x:t>
        </x:is>
      </x:c>
      <x:c r="Q29" t="inlineStr">
        <x:is>
          <x:t xml:space="preserve">Create consistent process</x:t>
        </x:is>
      </x:c>
      <x:c r="R29" t="inlineStr">
        <x:is>
          <x:t xml:space="preserve">N</x:t>
        </x:is>
      </x:c>
      <x:c r="S29" s="2" t="inlineStr">
        <x:is>
          <x:t xml:space="preserve"/>
        </x:is>
      </x:c>
      <x:c r="T29">
        <x:f>($N29)*(IF($D29="G",$E29,0)+IF($F29="G",$G29,0))</x:f>
        <x:v>0</x:v>
      </x:c>
      <x:c r="U29">
        <x:f>($N29)*(IF($D29="E",$E29,0)+IF($F29="E",$G29,0))</x:f>
        <x:v>0</x:v>
      </x:c>
      <x:c r="V29">
        <x:f>($N29)*(IF($D29="T",$E29,0)+IF($F29="T",$G29,0))</x:f>
        <x:v>0</x:v>
      </x:c>
      <x:c r="W29">
        <x:f>($N29)*(IF($D29="L",$E29,0)+IF($F29="L",$G29,0))</x:f>
        <x:v>0</x:v>
      </x:c>
      <x:c r="X29">
        <x:f>($N29)*(IF($D29="H",$E29,0)+IF($F29="H",$G29,0))</x:f>
        <x:v>1</x:v>
      </x:c>
      <x:c r="Y29">
        <x:f>($N29)*(IF($D29="V",$E29,0)+IF($F29="V",$G29,0))</x:f>
        <x:v>0</x:v>
      </x:c>
      <x:c r="Z29">
        <x:f>($N29)*(IF($D29="R",$E29,0)+IF($F29="R",$G29,0))</x:f>
        <x:v>0</x:v>
      </x:c>
      <x:c r="AA29">
        <x:f>($N29)*(IF($D29="F",$E29,0)+IF($F29="F",$G29,0))</x:f>
        <x:v>0</x:v>
      </x:c>
      <x:c r="AB29">
        <x:f>($N29)*(IF($D29="W",$E29,0)+IF($F29="W",$G29,0))</x:f>
        <x:v>0</x:v>
      </x:c>
    </x:row>
    <x:row r="30" ht="40" customHeight="1">
      <x:c r="A30" t="inlineStr">
        <x:is>
          <x:t xml:space="preserve">HR-D2-Q06</x:t>
        </x:is>
      </x:c>
      <x:c r="B30" t="inlineStr">
        <x:is>
          <x:t xml:space="preserve">T2</x:t>
        </x:is>
      </x:c>
      <x:c r="C30" t="inlineStr">
        <x:is>
          <x:t xml:space="preserve">2. Protected Reporting</x:t>
        </x:is>
      </x:c>
      <x:c r="D30" t="inlineStr">
        <x:is>
          <x:t xml:space="preserve">H</x:t>
        </x:is>
      </x:c>
      <x:c r="E30" t="n">
        <x:v>1</x:v>
      </x:c>
      <x:c r="F30" t="inlineStr">
        <x:is>
          <x:t xml:space="preserve">-</x:t>
        </x:is>
      </x:c>
      <x:c r="G30" t="inlineStr">
        <x:is>
          <x:t xml:space="preserve"/>
        </x:is>
      </x:c>
      <x:c r="H30" s="2" t="inlineStr">
        <x:is>
          <x:t xml:space="preserve">(Shadow probe) If there is no formal channel, how do concerns actually get raised today?</x:t>
        </x:is>
      </x:c>
      <x:c r="I30" t="inlineStr">
        <x:is>
          <x:t xml:space="preserve">Captures practical reality in low-maturity settings.</x:t>
        </x:is>
      </x:c>
      <x:c r="J30" t="inlineStr">
        <x:is>
          <x:t xml:space="preserve">Shadow fallback (Then → HR-D3-Q09)</x:t>
        </x:is>
      </x:c>
      <x:c r="K30" t="inlineStr">
        <x:is>
          <x:t xml:space="preserve">CULT_SOFT</x:t>
        </x:is>
      </x:c>
      <x:c r="L30" t="inlineStr">
        <x:is>
          <x:t xml:space="preserve">HR-D2-Q06-A3</x:t>
        </x:is>
      </x:c>
      <x:c r="M30" s="2" t="inlineStr">
        <x:is>
          <x:t xml:space="preserve">Sometimes reported, but follow-up is inconsistent and not documented.</x:t>
        </x:is>
      </x:c>
      <x:c r="N30" t="n">
        <x:v>2</x:v>
      </x:c>
      <x:c r="O30" t="inlineStr">
        <x:is>
          <x:t xml:space="preserve">shadow_mature_signal</x:t>
        </x:is>
      </x:c>
      <x:c r="P30" t="inlineStr">
        <x:is>
          <x:t xml:space="preserve">Operating Model Gap</x:t>
        </x:is>
      </x:c>
      <x:c r="Q30" t="inlineStr">
        <x:is>
          <x:t xml:space="preserve">Standardize triage</x:t>
        </x:is>
      </x:c>
      <x:c r="R30" t="inlineStr">
        <x:is>
          <x:t xml:space="preserve">N</x:t>
        </x:is>
      </x:c>
      <x:c r="S30" s="2" t="inlineStr">
        <x:is>
          <x:t xml:space="preserve"/>
        </x:is>
      </x:c>
      <x:c r="T30">
        <x:f>($N30)*(IF($D30="G",$E30,0)+IF($F30="G",$G30,0))</x:f>
        <x:v>0</x:v>
      </x:c>
      <x:c r="U30">
        <x:f>($N30)*(IF($D30="E",$E30,0)+IF($F30="E",$G30,0))</x:f>
        <x:v>0</x:v>
      </x:c>
      <x:c r="V30">
        <x:f>($N30)*(IF($D30="T",$E30,0)+IF($F30="T",$G30,0))</x:f>
        <x:v>0</x:v>
      </x:c>
      <x:c r="W30">
        <x:f>($N30)*(IF($D30="L",$E30,0)+IF($F30="L",$G30,0))</x:f>
        <x:v>0</x:v>
      </x:c>
      <x:c r="X30">
        <x:f>($N30)*(IF($D30="H",$E30,0)+IF($F30="H",$G30,0))</x:f>
        <x:v>2</x:v>
      </x:c>
      <x:c r="Y30">
        <x:f>($N30)*(IF($D30="V",$E30,0)+IF($F30="V",$G30,0))</x:f>
        <x:v>0</x:v>
      </x:c>
      <x:c r="Z30">
        <x:f>($N30)*(IF($D30="R",$E30,0)+IF($F30="R",$G30,0))</x:f>
        <x:v>0</x:v>
      </x:c>
      <x:c r="AA30">
        <x:f>($N30)*(IF($D30="F",$E30,0)+IF($F30="F",$G30,0))</x:f>
        <x:v>0</x:v>
      </x:c>
      <x:c r="AB30">
        <x:f>($N30)*(IF($D30="W",$E30,0)+IF($F30="W",$G30,0))</x:f>
        <x:v>0</x:v>
      </x:c>
    </x:row>
    <x:row r="31" ht="40" customHeight="1">
      <x:c r="A31" t="inlineStr">
        <x:is>
          <x:t xml:space="preserve">HR-D2-Q06</x:t>
        </x:is>
      </x:c>
      <x:c r="B31" t="inlineStr">
        <x:is>
          <x:t xml:space="preserve">T2</x:t>
        </x:is>
      </x:c>
      <x:c r="C31" t="inlineStr">
        <x:is>
          <x:t xml:space="preserve">2. Protected Reporting</x:t>
        </x:is>
      </x:c>
      <x:c r="D31" t="inlineStr">
        <x:is>
          <x:t xml:space="preserve">H</x:t>
        </x:is>
      </x:c>
      <x:c r="E31" t="n">
        <x:v>1</x:v>
      </x:c>
      <x:c r="F31" t="inlineStr">
        <x:is>
          <x:t xml:space="preserve">-</x:t>
        </x:is>
      </x:c>
      <x:c r="G31" t="inlineStr">
        <x:is>
          <x:t xml:space="preserve"/>
        </x:is>
      </x:c>
      <x:c r="H31" s="2" t="inlineStr">
        <x:is>
          <x:t xml:space="preserve">(Shadow probe) If there is no formal channel, how do concerns actually get raised today?</x:t>
        </x:is>
      </x:c>
      <x:c r="I31" t="inlineStr">
        <x:is>
          <x:t xml:space="preserve">Captures practical reality in low-maturity settings.</x:t>
        </x:is>
      </x:c>
      <x:c r="J31" t="inlineStr">
        <x:is>
          <x:t xml:space="preserve">Shadow fallback (Then → HR-D3-Q09)</x:t>
        </x:is>
      </x:c>
      <x:c r="K31" t="inlineStr">
        <x:is>
          <x:t xml:space="preserve">CULT_SOFT</x:t>
        </x:is>
      </x:c>
      <x:c r="L31" t="inlineStr">
        <x:is>
          <x:t xml:space="preserve">HR-D2-Q06-A4</x:t>
        </x:is>
      </x:c>
      <x:c r="M31" s="2" t="inlineStr">
        <x:is>
          <x:t xml:space="preserve">Raised and acted on quickly even if informal; patterns discussed.</x:t>
        </x:is>
      </x:c>
      <x:c r="N31" t="n">
        <x:v>3</x:v>
      </x:c>
      <x:c r="O31" t="inlineStr">
        <x:is>
          <x:t xml:space="preserve">shadow_mature_signal</x:t>
        </x:is>
      </x:c>
      <x:c r="P31" t="inlineStr">
        <x:is>
          <x:t xml:space="preserve">Culture Risk</x:t>
        </x:is>
      </x:c>
      <x:c r="Q31" t="inlineStr">
        <x:is>
          <x:t xml:space="preserve">Formalize without harming trust</x:t>
        </x:is>
      </x:c>
      <x:c r="R31" t="inlineStr">
        <x:is>
          <x:t xml:space="preserve">N</x:t>
        </x:is>
      </x:c>
      <x:c r="S31" s="2" t="inlineStr">
        <x:is>
          <x:t xml:space="preserve">Example: concerns per quarter.</x:t>
        </x:is>
      </x:c>
      <x:c r="T31">
        <x:f>($N31)*(IF($D31="G",$E31,0)+IF($F31="G",$G31,0))</x:f>
        <x:v>0</x:v>
      </x:c>
      <x:c r="U31">
        <x:f>($N31)*(IF($D31="E",$E31,0)+IF($F31="E",$G31,0))</x:f>
        <x:v>0</x:v>
      </x:c>
      <x:c r="V31">
        <x:f>($N31)*(IF($D31="T",$E31,0)+IF($F31="T",$G31,0))</x:f>
        <x:v>0</x:v>
      </x:c>
      <x:c r="W31">
        <x:f>($N31)*(IF($D31="L",$E31,0)+IF($F31="L",$G31,0))</x:f>
        <x:v>0</x:v>
      </x:c>
      <x:c r="X31">
        <x:f>($N31)*(IF($D31="H",$E31,0)+IF($F31="H",$G31,0))</x:f>
        <x:v>3</x:v>
      </x:c>
      <x:c r="Y31">
        <x:f>($N31)*(IF($D31="V",$E31,0)+IF($F31="V",$G31,0))</x:f>
        <x:v>0</x:v>
      </x:c>
      <x:c r="Z31">
        <x:f>($N31)*(IF($D31="R",$E31,0)+IF($F31="R",$G31,0))</x:f>
        <x:v>0</x:v>
      </x:c>
      <x:c r="AA31">
        <x:f>($N31)*(IF($D31="F",$E31,0)+IF($F31="F",$G31,0))</x:f>
        <x:v>0</x:v>
      </x:c>
      <x:c r="AB31">
        <x:f>($N31)*(IF($D31="W",$E31,0)+IF($F31="W",$G31,0))</x:f>
        <x:v>0</x:v>
      </x:c>
    </x:row>
    <x:row r="32" ht="40" customHeight="1">
      <x:c r="A32" t="inlineStr">
        <x:is>
          <x:t xml:space="preserve">HR-D2-Q07</x:t>
        </x:is>
      </x:c>
      <x:c r="B32" t="inlineStr">
        <x:is>
          <x:t xml:space="preserve">T2</x:t>
        </x:is>
      </x:c>
      <x:c r="C32" t="inlineStr">
        <x:is>
          <x:t xml:space="preserve">2. Protected Reporting</x:t>
        </x:is>
      </x:c>
      <x:c r="D32" t="inlineStr">
        <x:is>
          <x:t xml:space="preserve">L</x:t>
        </x:is>
      </x:c>
      <x:c r="E32" t="n">
        <x:v>0.5</x:v>
      </x:c>
      <x:c r="F32" t="inlineStr">
        <x:is>
          <x:t xml:space="preserve">H</x:t>
        </x:is>
      </x:c>
      <x:c r="G32" t="n">
        <x:v>0.5</x:v>
      </x:c>
      <x:c r="H32" s="2" t="inlineStr">
        <x:is>
          <x:t xml:space="preserve">How do you prevent and respond to retaliation against reporters (or witnesses)?</x:t>
        </x:is>
      </x:c>
      <x:c r="I32" t="inlineStr">
        <x:is>
          <x:t xml:space="preserve">Include policy, manager training, investigation steps, and consequences.</x:t>
        </x:is>
      </x:c>
      <x:c r="J32" t="inlineStr">
        <x:is>
          <x:t xml:space="preserve">Drill-down</x:t>
        </x:is>
      </x:c>
      <x:c r="K32" t="inlineStr">
        <x:is>
          <x:t xml:space="preserve">LEG_STRICT</x:t>
        </x:is>
      </x:c>
      <x:c r="L32" t="inlineStr">
        <x:is>
          <x:t xml:space="preserve">HR-D2-Q07-A1</x:t>
        </x:is>
      </x:c>
      <x:c r="M32" s="2" t="inlineStr">
        <x:is>
          <x:t xml:space="preserve">No explicit protection; handled like any other conflict.</x:t>
        </x:is>
      </x:c>
      <x:c r="N32" t="n">
        <x:v>0</x:v>
      </x:c>
      <x:c r="O32" t="inlineStr">
        <x:is>
          <x:t xml:space="preserve">legal_exposure,culture_risk</x:t>
        </x:is>
      </x:c>
      <x:c r="P32" t="inlineStr">
        <x:is>
          <x:t xml:space="preserve">Legal Exposure</x:t>
        </x:is>
      </x:c>
      <x:c r="Q32" t="inlineStr">
        <x:is>
          <x:t xml:space="preserve">Define non-retaliation policy</x:t>
        </x:is>
      </x:c>
      <x:c r="R32" t="inlineStr">
        <x:is>
          <x:t xml:space="preserve">N</x:t>
        </x:is>
      </x:c>
      <x:c r="S32" s="2" t="inlineStr">
        <x:is>
          <x:t xml:space="preserve"/>
        </x:is>
      </x:c>
      <x:c r="T32">
        <x:f>($N32)*(IF($D32="G",$E32,0)+IF($F32="G",$G32,0))</x:f>
        <x:v>0</x:v>
      </x:c>
      <x:c r="U32">
        <x:f>($N32)*(IF($D32="E",$E32,0)+IF($F32="E",$G32,0))</x:f>
        <x:v>0</x:v>
      </x:c>
      <x:c r="V32">
        <x:f>($N32)*(IF($D32="T",$E32,0)+IF($F32="T",$G32,0))</x:f>
        <x:v>0</x:v>
      </x:c>
      <x:c r="W32">
        <x:f>($N32)*(IF($D32="L",$E32,0)+IF($F32="L",$G32,0))</x:f>
        <x:v>0</x:v>
      </x:c>
      <x:c r="X32">
        <x:f>($N32)*(IF($D32="H",$E32,0)+IF($F32="H",$G32,0))</x:f>
        <x:v>0</x:v>
      </x:c>
      <x:c r="Y32">
        <x:f>($N32)*(IF($D32="V",$E32,0)+IF($F32="V",$G32,0))</x:f>
        <x:v>0</x:v>
      </x:c>
      <x:c r="Z32">
        <x:f>($N32)*(IF($D32="R",$E32,0)+IF($F32="R",$G32,0))</x:f>
        <x:v>0</x:v>
      </x:c>
      <x:c r="AA32">
        <x:f>($N32)*(IF($D32="F",$E32,0)+IF($F32="F",$G32,0))</x:f>
        <x:v>0</x:v>
      </x:c>
      <x:c r="AB32">
        <x:f>($N32)*(IF($D32="W",$E32,0)+IF($F32="W",$G32,0))</x:f>
        <x:v>0</x:v>
      </x:c>
    </x:row>
    <x:row r="33" ht="40" customHeight="1">
      <x:c r="A33" t="inlineStr">
        <x:is>
          <x:t xml:space="preserve">HR-D2-Q07</x:t>
        </x:is>
      </x:c>
      <x:c r="B33" t="inlineStr">
        <x:is>
          <x:t xml:space="preserve">T2</x:t>
        </x:is>
      </x:c>
      <x:c r="C33" t="inlineStr">
        <x:is>
          <x:t xml:space="preserve">2. Protected Reporting</x:t>
        </x:is>
      </x:c>
      <x:c r="D33" t="inlineStr">
        <x:is>
          <x:t xml:space="preserve">L</x:t>
        </x:is>
      </x:c>
      <x:c r="E33" t="n">
        <x:v>0.5</x:v>
      </x:c>
      <x:c r="F33" t="inlineStr">
        <x:is>
          <x:t xml:space="preserve">H</x:t>
        </x:is>
      </x:c>
      <x:c r="G33" t="n">
        <x:v>0.5</x:v>
      </x:c>
      <x:c r="H33" s="2" t="inlineStr">
        <x:is>
          <x:t xml:space="preserve">How do you prevent and respond to retaliation against reporters (or witnesses)?</x:t>
        </x:is>
      </x:c>
      <x:c r="I33" t="inlineStr">
        <x:is>
          <x:t xml:space="preserve">Include policy, manager training, investigation steps, and consequences.</x:t>
        </x:is>
      </x:c>
      <x:c r="J33" t="inlineStr">
        <x:is>
          <x:t xml:space="preserve">Drill-down</x:t>
        </x:is>
      </x:c>
      <x:c r="K33" t="inlineStr">
        <x:is>
          <x:t xml:space="preserve">LEG_STRICT</x:t>
        </x:is>
      </x:c>
      <x:c r="L33" t="inlineStr">
        <x:is>
          <x:t xml:space="preserve">HR-D2-Q07-A2</x:t>
        </x:is>
      </x:c>
      <x:c r="M33" s="2" t="inlineStr">
        <x:is>
          <x:t xml:space="preserve">Policy exists but not well-known; enforcement inconsistent.</x:t>
        </x:is>
      </x:c>
      <x:c r="N33" t="n">
        <x:v>1</x:v>
      </x:c>
      <x:c r="O33" t="inlineStr">
        <x:is>
          <x:t xml:space="preserve">paper_dragon_signal</x:t>
        </x:is>
      </x:c>
      <x:c r="P33" t="inlineStr">
        <x:is>
          <x:t xml:space="preserve">Paper Dragon</x:t>
        </x:is>
      </x:c>
      <x:c r="Q33" t="inlineStr">
        <x:is>
          <x:t xml:space="preserve">Improve training &amp; enforcement</x:t>
        </x:is>
      </x:c>
      <x:c r="R33" t="inlineStr">
        <x:is>
          <x:t xml:space="preserve">N</x:t>
        </x:is>
      </x:c>
      <x:c r="S33" s="2" t="inlineStr">
        <x:is>
          <x:t xml:space="preserve">Evidence: policy and comms.</x:t>
        </x:is>
      </x:c>
      <x:c r="T33">
        <x:f>($N33)*(IF($D33="G",$E33,0)+IF($F33="G",$G33,0))</x:f>
        <x:v>0</x:v>
      </x:c>
      <x:c r="U33">
        <x:f>($N33)*(IF($D33="E",$E33,0)+IF($F33="E",$G33,0))</x:f>
        <x:v>0</x:v>
      </x:c>
      <x:c r="V33">
        <x:f>($N33)*(IF($D33="T",$E33,0)+IF($F33="T",$G33,0))</x:f>
        <x:v>0</x:v>
      </x:c>
      <x:c r="W33">
        <x:f>($N33)*(IF($D33="L",$E33,0)+IF($F33="L",$G33,0))</x:f>
        <x:v>0.5</x:v>
      </x:c>
      <x:c r="X33">
        <x:f>($N33)*(IF($D33="H",$E33,0)+IF($F33="H",$G33,0))</x:f>
        <x:v>0.5</x:v>
      </x:c>
      <x:c r="Y33">
        <x:f>($N33)*(IF($D33="V",$E33,0)+IF($F33="V",$G33,0))</x:f>
        <x:v>0</x:v>
      </x:c>
      <x:c r="Z33">
        <x:f>($N33)*(IF($D33="R",$E33,0)+IF($F33="R",$G33,0))</x:f>
        <x:v>0</x:v>
      </x:c>
      <x:c r="AA33">
        <x:f>($N33)*(IF($D33="F",$E33,0)+IF($F33="F",$G33,0))</x:f>
        <x:v>0</x:v>
      </x:c>
      <x:c r="AB33">
        <x:f>($N33)*(IF($D33="W",$E33,0)+IF($F33="W",$G33,0))</x:f>
        <x:v>0</x:v>
      </x:c>
    </x:row>
    <x:row r="34" ht="40" customHeight="1">
      <x:c r="A34" t="inlineStr">
        <x:is>
          <x:t xml:space="preserve">HR-D2-Q07</x:t>
        </x:is>
      </x:c>
      <x:c r="B34" t="inlineStr">
        <x:is>
          <x:t xml:space="preserve">T2</x:t>
        </x:is>
      </x:c>
      <x:c r="C34" t="inlineStr">
        <x:is>
          <x:t xml:space="preserve">2. Protected Reporting</x:t>
        </x:is>
      </x:c>
      <x:c r="D34" t="inlineStr">
        <x:is>
          <x:t xml:space="preserve">L</x:t>
        </x:is>
      </x:c>
      <x:c r="E34" t="n">
        <x:v>0.5</x:v>
      </x:c>
      <x:c r="F34" t="inlineStr">
        <x:is>
          <x:t xml:space="preserve">H</x:t>
        </x:is>
      </x:c>
      <x:c r="G34" t="n">
        <x:v>0.5</x:v>
      </x:c>
      <x:c r="H34" s="2" t="inlineStr">
        <x:is>
          <x:t xml:space="preserve">How do you prevent and respond to retaliation against reporters (or witnesses)?</x:t>
        </x:is>
      </x:c>
      <x:c r="I34" t="inlineStr">
        <x:is>
          <x:t xml:space="preserve">Include policy, manager training, investigation steps, and consequences.</x:t>
        </x:is>
      </x:c>
      <x:c r="J34" t="inlineStr">
        <x:is>
          <x:t xml:space="preserve">Drill-down</x:t>
        </x:is>
      </x:c>
      <x:c r="K34" t="inlineStr">
        <x:is>
          <x:t xml:space="preserve">LEG_STRICT</x:t>
        </x:is>
      </x:c>
      <x:c r="L34" t="inlineStr">
        <x:is>
          <x:t xml:space="preserve">HR-D2-Q07-A3</x:t>
        </x:is>
      </x:c>
      <x:c r="M34" s="2" t="inlineStr">
        <x:is>
          <x:t xml:space="preserve">Managers trained; retaliation checks part of investigations.</x:t>
        </x:is>
      </x:c>
      <x:c r="N34" t="n">
        <x:v>2</x:v>
      </x:c>
      <x:c r="O34" t="inlineStr">
        <x:is>
          <x:t xml:space="preserve"/>
        </x:is>
      </x:c>
      <x:c r="P34" t="inlineStr">
        <x:is>
          <x:t xml:space="preserve">Culture Risk</x:t>
        </x:is>
      </x:c>
      <x:c r="Q34" t="inlineStr">
        <x:is>
          <x:t xml:space="preserve">Improve monitoring &amp; metrics</x:t>
        </x:is>
      </x:c>
      <x:c r="R34" t="inlineStr">
        <x:is>
          <x:t xml:space="preserve">N</x:t>
        </x:is>
      </x:c>
      <x:c r="S34" s="2" t="inlineStr">
        <x:is>
          <x:t xml:space="preserve">Evidence: training completion.</x:t>
        </x:is>
      </x:c>
      <x:c r="T34">
        <x:f>($N34)*(IF($D34="G",$E34,0)+IF($F34="G",$G34,0))</x:f>
        <x:v>0</x:v>
      </x:c>
      <x:c r="U34">
        <x:f>($N34)*(IF($D34="E",$E34,0)+IF($F34="E",$G34,0))</x:f>
        <x:v>0</x:v>
      </x:c>
      <x:c r="V34">
        <x:f>($N34)*(IF($D34="T",$E34,0)+IF($F34="T",$G34,0))</x:f>
        <x:v>0</x:v>
      </x:c>
      <x:c r="W34">
        <x:f>($N34)*(IF($D34="L",$E34,0)+IF($F34="L",$G34,0))</x:f>
        <x:v>1</x:v>
      </x:c>
      <x:c r="X34">
        <x:f>($N34)*(IF($D34="H",$E34,0)+IF($F34="H",$G34,0))</x:f>
        <x:v>1</x:v>
      </x:c>
      <x:c r="Y34">
        <x:f>($N34)*(IF($D34="V",$E34,0)+IF($F34="V",$G34,0))</x:f>
        <x:v>0</x:v>
      </x:c>
      <x:c r="Z34">
        <x:f>($N34)*(IF($D34="R",$E34,0)+IF($F34="R",$G34,0))</x:f>
        <x:v>0</x:v>
      </x:c>
      <x:c r="AA34">
        <x:f>($N34)*(IF($D34="F",$E34,0)+IF($F34="F",$G34,0))</x:f>
        <x:v>0</x:v>
      </x:c>
      <x:c r="AB34">
        <x:f>($N34)*(IF($D34="W",$E34,0)+IF($F34="W",$G34,0))</x:f>
        <x:v>0</x:v>
      </x:c>
    </x:row>
    <x:row r="35" ht="40" customHeight="1">
      <x:c r="A35" t="inlineStr">
        <x:is>
          <x:t xml:space="preserve">HR-D2-Q07</x:t>
        </x:is>
      </x:c>
      <x:c r="B35" t="inlineStr">
        <x:is>
          <x:t xml:space="preserve">T2</x:t>
        </x:is>
      </x:c>
      <x:c r="C35" t="inlineStr">
        <x:is>
          <x:t xml:space="preserve">2. Protected Reporting</x:t>
        </x:is>
      </x:c>
      <x:c r="D35" t="inlineStr">
        <x:is>
          <x:t xml:space="preserve">L</x:t>
        </x:is>
      </x:c>
      <x:c r="E35" t="n">
        <x:v>0.5</x:v>
      </x:c>
      <x:c r="F35" t="inlineStr">
        <x:is>
          <x:t xml:space="preserve">H</x:t>
        </x:is>
      </x:c>
      <x:c r="G35" t="n">
        <x:v>0.5</x:v>
      </x:c>
      <x:c r="H35" s="2" t="inlineStr">
        <x:is>
          <x:t xml:space="preserve">How do you prevent and respond to retaliation against reporters (or witnesses)?</x:t>
        </x:is>
      </x:c>
      <x:c r="I35" t="inlineStr">
        <x:is>
          <x:t xml:space="preserve">Include policy, manager training, investigation steps, and consequences.</x:t>
        </x:is>
      </x:c>
      <x:c r="J35" t="inlineStr">
        <x:is>
          <x:t xml:space="preserve">Drill-down</x:t>
        </x:is>
      </x:c>
      <x:c r="K35" t="inlineStr">
        <x:is>
          <x:t xml:space="preserve">LEG_STRICT</x:t>
        </x:is>
      </x:c>
      <x:c r="L35" t="inlineStr">
        <x:is>
          <x:t xml:space="preserve">HR-D2-Q07-A4</x:t>
        </x:is>
      </x:c>
      <x:c r="M35" s="2" t="inlineStr">
        <x:is>
          <x:t xml:space="preserve">Active monitoring: retaliation claims tracked and escalated; outcomes documented.</x:t>
        </x:is>
      </x:c>
      <x:c r="N35" t="n">
        <x:v>3</x:v>
      </x:c>
      <x:c r="O35" t="inlineStr">
        <x:is>
          <x:t xml:space="preserve"/>
        </x:is>
      </x:c>
      <x:c r="P35" t="inlineStr">
        <x:is>
          <x:t xml:space="preserve">Culture Risk</x:t>
        </x:is>
      </x:c>
      <x:c r="Q35" t="inlineStr">
        <x:is>
          <x:t xml:space="preserve">Maintain assurance</x:t>
        </x:is>
      </x:c>
      <x:c r="R35" t="inlineStr">
        <x:is>
          <x:t xml:space="preserve">N</x:t>
        </x:is>
      </x:c>
      <x:c r="S35" s="2" t="inlineStr">
        <x:is>
          <x:t xml:space="preserve">Evidence: anonymized retaliation metrics.</x:t>
        </x:is>
      </x:c>
      <x:c r="T35">
        <x:f>($N35)*(IF($D35="G",$E35,0)+IF($F35="G",$G35,0))</x:f>
        <x:v>0</x:v>
      </x:c>
      <x:c r="U35">
        <x:f>($N35)*(IF($D35="E",$E35,0)+IF($F35="E",$G35,0))</x:f>
        <x:v>0</x:v>
      </x:c>
      <x:c r="V35">
        <x:f>($N35)*(IF($D35="T",$E35,0)+IF($F35="T",$G35,0))</x:f>
        <x:v>0</x:v>
      </x:c>
      <x:c r="W35">
        <x:f>($N35)*(IF($D35="L",$E35,0)+IF($F35="L",$G35,0))</x:f>
        <x:v>1.5</x:v>
      </x:c>
      <x:c r="X35">
        <x:f>($N35)*(IF($D35="H",$E35,0)+IF($F35="H",$G35,0))</x:f>
        <x:v>1.5</x:v>
      </x:c>
      <x:c r="Y35">
        <x:f>($N35)*(IF($D35="V",$E35,0)+IF($F35="V",$G35,0))</x:f>
        <x:v>0</x:v>
      </x:c>
      <x:c r="Z35">
        <x:f>($N35)*(IF($D35="R",$E35,0)+IF($F35="R",$G35,0))</x:f>
        <x:v>0</x:v>
      </x:c>
      <x:c r="AA35">
        <x:f>($N35)*(IF($D35="F",$E35,0)+IF($F35="F",$G35,0))</x:f>
        <x:v>0</x:v>
      </x:c>
      <x:c r="AB35">
        <x:f>($N35)*(IF($D35="W",$E35,0)+IF($F35="W",$G35,0))</x:f>
        <x:v>0</x:v>
      </x:c>
    </x:row>
    <x:row r="36" ht="40" customHeight="1">
      <x:c r="A36" t="inlineStr">
        <x:is>
          <x:t xml:space="preserve">HR-D2-Q07</x:t>
        </x:is>
      </x:c>
      <x:c r="B36" t="inlineStr">
        <x:is>
          <x:t xml:space="preserve">T2</x:t>
        </x:is>
      </x:c>
      <x:c r="C36" t="inlineStr">
        <x:is>
          <x:t xml:space="preserve">2. Protected Reporting</x:t>
        </x:is>
      </x:c>
      <x:c r="D36" t="inlineStr">
        <x:is>
          <x:t xml:space="preserve">L</x:t>
        </x:is>
      </x:c>
      <x:c r="E36" t="n">
        <x:v>0.5</x:v>
      </x:c>
      <x:c r="F36" t="inlineStr">
        <x:is>
          <x:t xml:space="preserve">H</x:t>
        </x:is>
      </x:c>
      <x:c r="G36" t="n">
        <x:v>0.5</x:v>
      </x:c>
      <x:c r="H36" s="2" t="inlineStr">
        <x:is>
          <x:t xml:space="preserve">How do you prevent and respond to retaliation against reporters (or witnesses)?</x:t>
        </x:is>
      </x:c>
      <x:c r="I36" t="inlineStr">
        <x:is>
          <x:t xml:space="preserve">Include policy, manager training, investigation steps, and consequences.</x:t>
        </x:is>
      </x:c>
      <x:c r="J36" t="inlineStr">
        <x:is>
          <x:t xml:space="preserve">Drill-down</x:t>
        </x:is>
      </x:c>
      <x:c r="K36" t="inlineStr">
        <x:is>
          <x:t xml:space="preserve">LEG_STRICT</x:t>
        </x:is>
      </x:c>
      <x:c r="L36" t="inlineStr">
        <x:is>
          <x:t xml:space="preserve">HR-D2-Q07-A5</x:t>
        </x:is>
      </x:c>
      <x:c r="M36" s="2" t="inlineStr">
        <x:is>
          <x:t xml:space="preserve">Independent oversight reviews retaliation handling.</x:t>
        </x:is>
      </x:c>
      <x:c r="N36" t="n">
        <x:v>4</x:v>
      </x:c>
      <x:c r="O36" t="inlineStr">
        <x:is>
          <x:t xml:space="preserve"/>
        </x:is>
      </x:c>
      <x:c r="P36" t="inlineStr">
        <x:is>
          <x:t xml:space="preserve">Culture Risk</x:t>
        </x:is>
      </x:c>
      <x:c r="Q36" t="inlineStr">
        <x:is>
          <x:t xml:space="preserve">Maintain oversight</x:t>
        </x:is>
      </x:c>
      <x:c r="R36" t="inlineStr">
        <x:is>
          <x:t xml:space="preserve">N</x:t>
        </x:is>
      </x:c>
      <x:c r="S36" s="2" t="inlineStr">
        <x:is>
          <x:t xml:space="preserve">Evidence: oversight process.</x:t>
        </x:is>
      </x:c>
      <x:c r="T36">
        <x:f>($N36)*(IF($D36="G",$E36,0)+IF($F36="G",$G36,0))</x:f>
        <x:v>0</x:v>
      </x:c>
      <x:c r="U36">
        <x:f>($N36)*(IF($D36="E",$E36,0)+IF($F36="E",$G36,0))</x:f>
        <x:v>0</x:v>
      </x:c>
      <x:c r="V36">
        <x:f>($N36)*(IF($D36="T",$E36,0)+IF($F36="T",$G36,0))</x:f>
        <x:v>0</x:v>
      </x:c>
      <x:c r="W36">
        <x:f>($N36)*(IF($D36="L",$E36,0)+IF($F36="L",$G36,0))</x:f>
        <x:v>2</x:v>
      </x:c>
      <x:c r="X36">
        <x:f>($N36)*(IF($D36="H",$E36,0)+IF($F36="H",$G36,0))</x:f>
        <x:v>2</x:v>
      </x:c>
      <x:c r="Y36">
        <x:f>($N36)*(IF($D36="V",$E36,0)+IF($F36="V",$G36,0))</x:f>
        <x:v>0</x:v>
      </x:c>
      <x:c r="Z36">
        <x:f>($N36)*(IF($D36="R",$E36,0)+IF($F36="R",$G36,0))</x:f>
        <x:v>0</x:v>
      </x:c>
      <x:c r="AA36">
        <x:f>($N36)*(IF($D36="F",$E36,0)+IF($F36="F",$G36,0))</x:f>
        <x:v>0</x:v>
      </x:c>
      <x:c r="AB36">
        <x:f>($N36)*(IF($D36="W",$E36,0)+IF($F36="W",$G36,0))</x:f>
        <x:v>0</x:v>
      </x:c>
    </x:row>
    <x:row r="37" ht="40" customHeight="1">
      <x:c r="A37" t="inlineStr">
        <x:is>
          <x:t xml:space="preserve">HR-D2-Q08</x:t>
        </x:is>
      </x:c>
      <x:c r="B37" t="inlineStr">
        <x:is>
          <x:t xml:space="preserve">T3</x:t>
        </x:is>
      </x:c>
      <x:c r="C37" t="inlineStr">
        <x:is>
          <x:t xml:space="preserve">2. Protected Reporting</x:t>
        </x:is>
      </x:c>
      <x:c r="D37" t="inlineStr">
        <x:is>
          <x:t xml:space="preserve">E</x:t>
        </x:is>
      </x:c>
      <x:c r="E37" t="n">
        <x:v>1</x:v>
      </x:c>
      <x:c r="F37" t="inlineStr">
        <x:is>
          <x:t xml:space="preserve">-</x:t>
        </x:is>
      </x:c>
      <x:c r="G37" t="inlineStr">
        <x:is>
          <x:t xml:space="preserve"/>
        </x:is>
      </x:c>
      <x:c r="H37" s="2" t="inlineStr">
        <x:is>
          <x:t xml:space="preserve">When a report is made, how quickly is it acknowledged, triaged, and progressed (with appropriate confidentiality)?</x:t>
        </x:is>
      </x:c>
      <x:c r="I37" t="inlineStr">
        <x:is>
          <x:t xml:space="preserve">Focus on typical timelines; aggregated evidence is sufficient.</x:t>
        </x:is>
      </x:c>
      <x:c r="J37" t="inlineStr">
        <x:is>
          <x:t xml:space="preserve">Business-proofing</x:t>
        </x:is>
      </x:c>
      <x:c r="K37" t="inlineStr">
        <x:is>
          <x:t xml:space="preserve">OPS_STD</x:t>
        </x:is>
      </x:c>
      <x:c r="L37" t="inlineStr">
        <x:is>
          <x:t xml:space="preserve">HR-D2-Q08-A1</x:t>
        </x:is>
      </x:c>
      <x:c r="M37" s="2" t="inlineStr">
        <x:is>
          <x:t xml:space="preserve">Unclear: reporters often hear nothing back.</x:t>
        </x:is>
      </x:c>
      <x:c r="N37" t="n">
        <x:v>0</x:v>
      </x:c>
      <x:c r="O37" t="inlineStr">
        <x:is>
          <x:t xml:space="preserve">culture_risk</x:t>
        </x:is>
      </x:c>
      <x:c r="P37" t="inlineStr">
        <x:is>
          <x:t xml:space="preserve">Culture Risk</x:t>
        </x:is>
      </x:c>
      <x:c r="Q37" t="inlineStr">
        <x:is>
          <x:t xml:space="preserve">Define SLAs and tracking</x:t>
        </x:is>
      </x:c>
      <x:c r="R37" t="inlineStr">
        <x:is>
          <x:t xml:space="preserve">N</x:t>
        </x:is>
      </x:c>
      <x:c r="S37" s="2" t="inlineStr">
        <x:is>
          <x:t xml:space="preserve"/>
        </x:is>
      </x:c>
      <x:c r="T37">
        <x:f>($N37)*(IF($D37="G",$E37,0)+IF($F37="G",$G37,0))</x:f>
        <x:v>0</x:v>
      </x:c>
      <x:c r="U37">
        <x:f>($N37)*(IF($D37="E",$E37,0)+IF($F37="E",$G37,0))</x:f>
        <x:v>0</x:v>
      </x:c>
      <x:c r="V37">
        <x:f>($N37)*(IF($D37="T",$E37,0)+IF($F37="T",$G37,0))</x:f>
        <x:v>0</x:v>
      </x:c>
      <x:c r="W37">
        <x:f>($N37)*(IF($D37="L",$E37,0)+IF($F37="L",$G37,0))</x:f>
        <x:v>0</x:v>
      </x:c>
      <x:c r="X37">
        <x:f>($N37)*(IF($D37="H",$E37,0)+IF($F37="H",$G37,0))</x:f>
        <x:v>0</x:v>
      </x:c>
      <x:c r="Y37">
        <x:f>($N37)*(IF($D37="V",$E37,0)+IF($F37="V",$G37,0))</x:f>
        <x:v>0</x:v>
      </x:c>
      <x:c r="Z37">
        <x:f>($N37)*(IF($D37="R",$E37,0)+IF($F37="R",$G37,0))</x:f>
        <x:v>0</x:v>
      </x:c>
      <x:c r="AA37">
        <x:f>($N37)*(IF($D37="F",$E37,0)+IF($F37="F",$G37,0))</x:f>
        <x:v>0</x:v>
      </x:c>
      <x:c r="AB37">
        <x:f>($N37)*(IF($D37="W",$E37,0)+IF($F37="W",$G37,0))</x:f>
        <x:v>0</x:v>
      </x:c>
    </x:row>
    <x:row r="38" ht="40" customHeight="1">
      <x:c r="A38" t="inlineStr">
        <x:is>
          <x:t xml:space="preserve">HR-D2-Q08</x:t>
        </x:is>
      </x:c>
      <x:c r="B38" t="inlineStr">
        <x:is>
          <x:t xml:space="preserve">T3</x:t>
        </x:is>
      </x:c>
      <x:c r="C38" t="inlineStr">
        <x:is>
          <x:t xml:space="preserve">2. Protected Reporting</x:t>
        </x:is>
      </x:c>
      <x:c r="D38" t="inlineStr">
        <x:is>
          <x:t xml:space="preserve">E</x:t>
        </x:is>
      </x:c>
      <x:c r="E38" t="n">
        <x:v>1</x:v>
      </x:c>
      <x:c r="F38" t="inlineStr">
        <x:is>
          <x:t xml:space="preserve">-</x:t>
        </x:is>
      </x:c>
      <x:c r="G38" t="inlineStr">
        <x:is>
          <x:t xml:space="preserve"/>
        </x:is>
      </x:c>
      <x:c r="H38" s="2" t="inlineStr">
        <x:is>
          <x:t xml:space="preserve">When a report is made, how quickly is it acknowledged, triaged, and progressed (with appropriate confidentiality)?</x:t>
        </x:is>
      </x:c>
      <x:c r="I38" t="inlineStr">
        <x:is>
          <x:t xml:space="preserve">Focus on typical timelines; aggregated evidence is sufficient.</x:t>
        </x:is>
      </x:c>
      <x:c r="J38" t="inlineStr">
        <x:is>
          <x:t xml:space="preserve">Business-proofing</x:t>
        </x:is>
      </x:c>
      <x:c r="K38" t="inlineStr">
        <x:is>
          <x:t xml:space="preserve">OPS_STD</x:t>
        </x:is>
      </x:c>
      <x:c r="L38" t="inlineStr">
        <x:is>
          <x:t xml:space="preserve">HR-D2-Q08-A2</x:t>
        </x:is>
      </x:c>
      <x:c r="M38" s="2" t="inlineStr">
        <x:is>
          <x:t xml:space="preserve">Slow: depends on workload; no tracking.</x:t>
        </x:is>
      </x:c>
      <x:c r="N38" t="n">
        <x:v>1</x:v>
      </x:c>
      <x:c r="O38" t="inlineStr">
        <x:is>
          <x:t xml:space="preserve">operating_model_gap</x:t>
        </x:is>
      </x:c>
      <x:c r="P38" t="inlineStr">
        <x:is>
          <x:t xml:space="preserve">Operating Model Gap</x:t>
        </x:is>
      </x:c>
      <x:c r="Q38" t="inlineStr">
        <x:is>
          <x:t xml:space="preserve">Introduce case tracking</x:t>
        </x:is>
      </x:c>
      <x:c r="R38" t="inlineStr">
        <x:is>
          <x:t xml:space="preserve">N</x:t>
        </x:is>
      </x:c>
      <x:c r="S38" s="2" t="inlineStr">
        <x:is>
          <x:t xml:space="preserve"/>
        </x:is>
      </x:c>
      <x:c r="T38">
        <x:f>($N38)*(IF($D38="G",$E38,0)+IF($F38="G",$G38,0))</x:f>
        <x:v>0</x:v>
      </x:c>
      <x:c r="U38">
        <x:f>($N38)*(IF($D38="E",$E38,0)+IF($F38="E",$G38,0))</x:f>
        <x:v>1</x:v>
      </x:c>
      <x:c r="V38">
        <x:f>($N38)*(IF($D38="T",$E38,0)+IF($F38="T",$G38,0))</x:f>
        <x:v>0</x:v>
      </x:c>
      <x:c r="W38">
        <x:f>($N38)*(IF($D38="L",$E38,0)+IF($F38="L",$G38,0))</x:f>
        <x:v>0</x:v>
      </x:c>
      <x:c r="X38">
        <x:f>($N38)*(IF($D38="H",$E38,0)+IF($F38="H",$G38,0))</x:f>
        <x:v>0</x:v>
      </x:c>
      <x:c r="Y38">
        <x:f>($N38)*(IF($D38="V",$E38,0)+IF($F38="V",$G38,0))</x:f>
        <x:v>0</x:v>
      </x:c>
      <x:c r="Z38">
        <x:f>($N38)*(IF($D38="R",$E38,0)+IF($F38="R",$G38,0))</x:f>
        <x:v>0</x:v>
      </x:c>
      <x:c r="AA38">
        <x:f>($N38)*(IF($D38="F",$E38,0)+IF($F38="F",$G38,0))</x:f>
        <x:v>0</x:v>
      </x:c>
      <x:c r="AB38">
        <x:f>($N38)*(IF($D38="W",$E38,0)+IF($F38="W",$G38,0))</x:f>
        <x:v>0</x:v>
      </x:c>
    </x:row>
    <x:row r="39" ht="40" customHeight="1">
      <x:c r="A39" t="inlineStr">
        <x:is>
          <x:t xml:space="preserve">HR-D2-Q08</x:t>
        </x:is>
      </x:c>
      <x:c r="B39" t="inlineStr">
        <x:is>
          <x:t xml:space="preserve">T3</x:t>
        </x:is>
      </x:c>
      <x:c r="C39" t="inlineStr">
        <x:is>
          <x:t xml:space="preserve">2. Protected Reporting</x:t>
        </x:is>
      </x:c>
      <x:c r="D39" t="inlineStr">
        <x:is>
          <x:t xml:space="preserve">E</x:t>
        </x:is>
      </x:c>
      <x:c r="E39" t="n">
        <x:v>1</x:v>
      </x:c>
      <x:c r="F39" t="inlineStr">
        <x:is>
          <x:t xml:space="preserve">-</x:t>
        </x:is>
      </x:c>
      <x:c r="G39" t="inlineStr">
        <x:is>
          <x:t xml:space="preserve"/>
        </x:is>
      </x:c>
      <x:c r="H39" s="2" t="inlineStr">
        <x:is>
          <x:t xml:space="preserve">When a report is made, how quickly is it acknowledged, triaged, and progressed (with appropriate confidentiality)?</x:t>
        </x:is>
      </x:c>
      <x:c r="I39" t="inlineStr">
        <x:is>
          <x:t xml:space="preserve">Focus on typical timelines; aggregated evidence is sufficient.</x:t>
        </x:is>
      </x:c>
      <x:c r="J39" t="inlineStr">
        <x:is>
          <x:t xml:space="preserve">Business-proofing</x:t>
        </x:is>
      </x:c>
      <x:c r="K39" t="inlineStr">
        <x:is>
          <x:t xml:space="preserve">OPS_STD</x:t>
        </x:is>
      </x:c>
      <x:c r="L39" t="inlineStr">
        <x:is>
          <x:t xml:space="preserve">HR-D2-Q08-A3</x:t>
        </x:is>
      </x:c>
      <x:c r="M39" s="2" t="inlineStr">
        <x:is>
          <x:t xml:space="preserve">Basic: acknowledgement within ~1–2 weeks; tracking not consistent.</x:t>
        </x:is>
      </x:c>
      <x:c r="N39" t="n">
        <x:v>2</x:v>
      </x:c>
      <x:c r="O39" t="inlineStr">
        <x:is>
          <x:t xml:space="preserve"/>
        </x:is>
      </x:c>
      <x:c r="P39" t="inlineStr">
        <x:is>
          <x:t xml:space="preserve">Operating Model Gap</x:t>
        </x:is>
      </x:c>
      <x:c r="Q39" t="inlineStr">
        <x:is>
          <x:t xml:space="preserve">Improve SLAs</x:t>
        </x:is>
      </x:c>
      <x:c r="R39" t="inlineStr">
        <x:is>
          <x:t xml:space="preserve">N</x:t>
        </x:is>
      </x:c>
      <x:c r="S39" s="2" t="inlineStr">
        <x:is>
          <x:t xml:space="preserve">Evidence: redacted timestamps.</x:t>
        </x:is>
      </x:c>
      <x:c r="T39">
        <x:f>($N39)*(IF($D39="G",$E39,0)+IF($F39="G",$G39,0))</x:f>
        <x:v>0</x:v>
      </x:c>
      <x:c r="U39">
        <x:f>($N39)*(IF($D39="E",$E39,0)+IF($F39="E",$G39,0))</x:f>
        <x:v>2</x:v>
      </x:c>
      <x:c r="V39">
        <x:f>($N39)*(IF($D39="T",$E39,0)+IF($F39="T",$G39,0))</x:f>
        <x:v>0</x:v>
      </x:c>
      <x:c r="W39">
        <x:f>($N39)*(IF($D39="L",$E39,0)+IF($F39="L",$G39,0))</x:f>
        <x:v>0</x:v>
      </x:c>
      <x:c r="X39">
        <x:f>($N39)*(IF($D39="H",$E39,0)+IF($F39="H",$G39,0))</x:f>
        <x:v>0</x:v>
      </x:c>
      <x:c r="Y39">
        <x:f>($N39)*(IF($D39="V",$E39,0)+IF($F39="V",$G39,0))</x:f>
        <x:v>0</x:v>
      </x:c>
      <x:c r="Z39">
        <x:f>($N39)*(IF($D39="R",$E39,0)+IF($F39="R",$G39,0))</x:f>
        <x:v>0</x:v>
      </x:c>
      <x:c r="AA39">
        <x:f>($N39)*(IF($D39="F",$E39,0)+IF($F39="F",$G39,0))</x:f>
        <x:v>0</x:v>
      </x:c>
      <x:c r="AB39">
        <x:f>($N39)*(IF($D39="W",$E39,0)+IF($F39="W",$G39,0))</x:f>
        <x:v>0</x:v>
      </x:c>
    </x:row>
    <x:row r="40" ht="40" customHeight="1">
      <x:c r="A40" t="inlineStr">
        <x:is>
          <x:t xml:space="preserve">HR-D2-Q08</x:t>
        </x:is>
      </x:c>
      <x:c r="B40" t="inlineStr">
        <x:is>
          <x:t xml:space="preserve">T3</x:t>
        </x:is>
      </x:c>
      <x:c r="C40" t="inlineStr">
        <x:is>
          <x:t xml:space="preserve">2. Protected Reporting</x:t>
        </x:is>
      </x:c>
      <x:c r="D40" t="inlineStr">
        <x:is>
          <x:t xml:space="preserve">E</x:t>
        </x:is>
      </x:c>
      <x:c r="E40" t="n">
        <x:v>1</x:v>
      </x:c>
      <x:c r="F40" t="inlineStr">
        <x:is>
          <x:t xml:space="preserve">-</x:t>
        </x:is>
      </x:c>
      <x:c r="G40" t="inlineStr">
        <x:is>
          <x:t xml:space="preserve"/>
        </x:is>
      </x:c>
      <x:c r="H40" s="2" t="inlineStr">
        <x:is>
          <x:t xml:space="preserve">When a report is made, how quickly is it acknowledged, triaged, and progressed (with appropriate confidentiality)?</x:t>
        </x:is>
      </x:c>
      <x:c r="I40" t="inlineStr">
        <x:is>
          <x:t xml:space="preserve">Focus on typical timelines; aggregated evidence is sufficient.</x:t>
        </x:is>
      </x:c>
      <x:c r="J40" t="inlineStr">
        <x:is>
          <x:t xml:space="preserve">Business-proofing</x:t>
        </x:is>
      </x:c>
      <x:c r="K40" t="inlineStr">
        <x:is>
          <x:t xml:space="preserve">OPS_STD</x:t>
        </x:is>
      </x:c>
      <x:c r="L40" t="inlineStr">
        <x:is>
          <x:t xml:space="preserve">HR-D2-Q08-A4</x:t>
        </x:is>
      </x:c>
      <x:c r="M40" s="2" t="inlineStr">
        <x:is>
          <x:t xml:space="preserve">Managed: acknowledgement within 2–3 days; triage within a week; documented routing.</x:t>
        </x:is>
      </x:c>
      <x:c r="N40" t="n">
        <x:v>3</x:v>
      </x:c>
      <x:c r="O40" t="inlineStr">
        <x:is>
          <x:t xml:space="preserve"/>
        </x:is>
      </x:c>
      <x:c r="P40" t="inlineStr">
        <x:is>
          <x:t xml:space="preserve">Operating Model Gap</x:t>
        </x:is>
      </x:c>
      <x:c r="Q40" t="inlineStr">
        <x:is>
          <x:t xml:space="preserve">Maintain and monitor</x:t>
        </x:is>
      </x:c>
      <x:c r="R40" t="inlineStr">
        <x:is>
          <x:t xml:space="preserve">N</x:t>
        </x:is>
      </x:c>
      <x:c r="S40" s="2" t="inlineStr">
        <x:is>
          <x:t xml:space="preserve">Evidence: workflow metrics.</x:t>
        </x:is>
      </x:c>
      <x:c r="T40">
        <x:f>($N40)*(IF($D40="G",$E40,0)+IF($F40="G",$G40,0))</x:f>
        <x:v>0</x:v>
      </x:c>
      <x:c r="U40">
        <x:f>($N40)*(IF($D40="E",$E40,0)+IF($F40="E",$G40,0))</x:f>
        <x:v>3</x:v>
      </x:c>
      <x:c r="V40">
        <x:f>($N40)*(IF($D40="T",$E40,0)+IF($F40="T",$G40,0))</x:f>
        <x:v>0</x:v>
      </x:c>
      <x:c r="W40">
        <x:f>($N40)*(IF($D40="L",$E40,0)+IF($F40="L",$G40,0))</x:f>
        <x:v>0</x:v>
      </x:c>
      <x:c r="X40">
        <x:f>($N40)*(IF($D40="H",$E40,0)+IF($F40="H",$G40,0))</x:f>
        <x:v>0</x:v>
      </x:c>
      <x:c r="Y40">
        <x:f>($N40)*(IF($D40="V",$E40,0)+IF($F40="V",$G40,0))</x:f>
        <x:v>0</x:v>
      </x:c>
      <x:c r="Z40">
        <x:f>($N40)*(IF($D40="R",$E40,0)+IF($F40="R",$G40,0))</x:f>
        <x:v>0</x:v>
      </x:c>
      <x:c r="AA40">
        <x:f>($N40)*(IF($D40="F",$E40,0)+IF($F40="F",$G40,0))</x:f>
        <x:v>0</x:v>
      </x:c>
      <x:c r="AB40">
        <x:f>($N40)*(IF($D40="W",$E40,0)+IF($F40="W",$G40,0))</x:f>
        <x:v>0</x:v>
      </x:c>
    </x:row>
    <x:row r="41" ht="40" customHeight="1">
      <x:c r="A41" t="inlineStr">
        <x:is>
          <x:t xml:space="preserve">HR-D2-Q08</x:t>
        </x:is>
      </x:c>
      <x:c r="B41" t="inlineStr">
        <x:is>
          <x:t xml:space="preserve">T3</x:t>
        </x:is>
      </x:c>
      <x:c r="C41" t="inlineStr">
        <x:is>
          <x:t xml:space="preserve">2. Protected Reporting</x:t>
        </x:is>
      </x:c>
      <x:c r="D41" t="inlineStr">
        <x:is>
          <x:t xml:space="preserve">E</x:t>
        </x:is>
      </x:c>
      <x:c r="E41" t="n">
        <x:v>1</x:v>
      </x:c>
      <x:c r="F41" t="inlineStr">
        <x:is>
          <x:t xml:space="preserve">-</x:t>
        </x:is>
      </x:c>
      <x:c r="G41" t="inlineStr">
        <x:is>
          <x:t xml:space="preserve"/>
        </x:is>
      </x:c>
      <x:c r="H41" s="2" t="inlineStr">
        <x:is>
          <x:t xml:space="preserve">When a report is made, how quickly is it acknowledged, triaged, and progressed (with appropriate confidentiality)?</x:t>
        </x:is>
      </x:c>
      <x:c r="I41" t="inlineStr">
        <x:is>
          <x:t xml:space="preserve">Focus on typical timelines; aggregated evidence is sufficient.</x:t>
        </x:is>
      </x:c>
      <x:c r="J41" t="inlineStr">
        <x:is>
          <x:t xml:space="preserve">Business-proofing</x:t>
        </x:is>
      </x:c>
      <x:c r="K41" t="inlineStr">
        <x:is>
          <x:t xml:space="preserve">OPS_STD</x:t>
        </x:is>
      </x:c>
      <x:c r="L41" t="inlineStr">
        <x:is>
          <x:t xml:space="preserve">HR-D2-Q08-A5</x:t>
        </x:is>
      </x:c>
      <x:c r="M41" s="2" t="inlineStr">
        <x:is>
          <x:t xml:space="preserve">Optimized: SLAs monitored; backlog managed; appropriate status updates provided.</x:t>
        </x:is>
      </x:c>
      <x:c r="N41" t="n">
        <x:v>4</x:v>
      </x:c>
      <x:c r="O41" t="inlineStr">
        <x:is>
          <x:t xml:space="preserve"/>
        </x:is>
      </x:c>
      <x:c r="P41" t="inlineStr">
        <x:is>
          <x:t xml:space="preserve">Operating Model Gap</x:t>
        </x:is>
      </x:c>
      <x:c r="Q41" t="inlineStr">
        <x:is>
          <x:t xml:space="preserve">Continuous improvement</x:t>
        </x:is>
      </x:c>
      <x:c r="R41" t="inlineStr">
        <x:is>
          <x:t xml:space="preserve">N</x:t>
        </x:is>
      </x:c>
      <x:c r="S41" s="2" t="inlineStr">
        <x:is>
          <x:t xml:space="preserve">Evidence: anonymized KPI dashboard.</x:t>
        </x:is>
      </x:c>
      <x:c r="T41">
        <x:f>($N41)*(IF($D41="G",$E41,0)+IF($F41="G",$G41,0))</x:f>
        <x:v>0</x:v>
      </x:c>
      <x:c r="U41">
        <x:f>($N41)*(IF($D41="E",$E41,0)+IF($F41="E",$G41,0))</x:f>
        <x:v>4</x:v>
      </x:c>
      <x:c r="V41">
        <x:f>($N41)*(IF($D41="T",$E41,0)+IF($F41="T",$G41,0))</x:f>
        <x:v>0</x:v>
      </x:c>
      <x:c r="W41">
        <x:f>($N41)*(IF($D41="L",$E41,0)+IF($F41="L",$G41,0))</x:f>
        <x:v>0</x:v>
      </x:c>
      <x:c r="X41">
        <x:f>($N41)*(IF($D41="H",$E41,0)+IF($F41="H",$G41,0))</x:f>
        <x:v>0</x:v>
      </x:c>
      <x:c r="Y41">
        <x:f>($N41)*(IF($D41="V",$E41,0)+IF($F41="V",$G41,0))</x:f>
        <x:v>0</x:v>
      </x:c>
      <x:c r="Z41">
        <x:f>($N41)*(IF($D41="R",$E41,0)+IF($F41="R",$G41,0))</x:f>
        <x:v>0</x:v>
      </x:c>
      <x:c r="AA41">
        <x:f>($N41)*(IF($D41="F",$E41,0)+IF($F41="F",$G41,0))</x:f>
        <x:v>0</x:v>
      </x:c>
      <x:c r="AB41">
        <x:f>($N41)*(IF($D41="W",$E41,0)+IF($F41="W",$G41,0))</x:f>
        <x:v>0</x:v>
      </x:c>
    </x:row>
    <x:row r="42" ht="40" customHeight="1">
      <x:c r="A42" t="inlineStr">
        <x:is>
          <x:t xml:space="preserve">HR-D3-Q09</x:t>
        </x:is>
      </x:c>
      <x:c r="B42" t="inlineStr">
        <x:is>
          <x:t xml:space="preserve">T1</x:t>
        </x:is>
      </x:c>
      <x:c r="C42" t="inlineStr">
        <x:is>
          <x:t xml:space="preserve">3. Manager Capability &amp; Culture</x:t>
        </x:is>
      </x:c>
      <x:c r="D42" t="inlineStr">
        <x:is>
          <x:t xml:space="preserve">H</x:t>
        </x:is>
      </x:c>
      <x:c r="E42" t="n">
        <x:v>0.5</x:v>
      </x:c>
      <x:c r="F42" t="inlineStr">
        <x:is>
          <x:t xml:space="preserve">E</x:t>
        </x:is>
      </x:c>
      <x:c r="G42" t="n">
        <x:v>0.5</x:v>
      </x:c>
      <x:c r="H42" s="2" t="inlineStr">
        <x:is>
          <x:t xml:space="preserve">Are managers trained and expected to escalate people-related risk signals (conflict, distress, policy breaches) in a consistent way?</x:t>
        </x:is>
      </x:c>
      <x:c r="I42" t="inlineStr">
        <x:is>
          <x:t xml:space="preserve">Early intervention + knowing who to contact; avoid clinical labels.</x:t>
        </x:is>
      </x:c>
      <x:c r="J42" t="inlineStr">
        <x:is>
          <x:t xml:space="preserve">Gatekeeper (If BaseScore &lt;2 → HR-D3-Q10; If ≥2 → HR-D3-Q11)</x:t>
        </x:is>
      </x:c>
      <x:c r="K42" t="inlineStr">
        <x:is>
          <x:t xml:space="preserve">CULT_SOFT</x:t>
        </x:is>
      </x:c>
      <x:c r="L42" t="inlineStr">
        <x:is>
          <x:t xml:space="preserve">HR-D3-Q09-A0</x:t>
        </x:is>
      </x:c>
      <x:c r="M42" s="2" t="inlineStr">
        <x:is>
          <x:t xml:space="preserve">I don't know / Not sure.</x:t>
        </x:is>
      </x:c>
      <x:c r="N42" t="n">
        <x:v>0</x:v>
      </x:c>
      <x:c r="O42" t="inlineStr">
        <x:is>
          <x:t xml:space="preserve">low-confidence</x:t>
        </x:is>
      </x:c>
      <x:c r="P42" t="inlineStr">
        <x:is>
          <x:t xml:space="preserve">Culture Risk</x:t>
        </x:is>
      </x:c>
      <x:c r="Q42" t="inlineStr">
        <x:is>
          <x:t xml:space="preserve">Clarify manager support</x:t>
        </x:is>
      </x:c>
      <x:c r="R42" t="inlineStr">
        <x:is>
          <x:t xml:space="preserve">N</x:t>
        </x:is>
      </x:c>
      <x:c r="S42" s="2" t="inlineStr">
        <x:is>
          <x:t xml:space="preserve"/>
        </x:is>
      </x:c>
      <x:c r="T42">
        <x:f>($N42)*(IF($D42="G",$E42,0)+IF($F42="G",$G42,0))</x:f>
        <x:v>0</x:v>
      </x:c>
      <x:c r="U42">
        <x:f>($N42)*(IF($D42="E",$E42,0)+IF($F42="E",$G42,0))</x:f>
        <x:v>0</x:v>
      </x:c>
      <x:c r="V42">
        <x:f>($N42)*(IF($D42="T",$E42,0)+IF($F42="T",$G42,0))</x:f>
        <x:v>0</x:v>
      </x:c>
      <x:c r="W42">
        <x:f>($N42)*(IF($D42="L",$E42,0)+IF($F42="L",$G42,0))</x:f>
        <x:v>0</x:v>
      </x:c>
      <x:c r="X42">
        <x:f>($N42)*(IF($D42="H",$E42,0)+IF($F42="H",$G42,0))</x:f>
        <x:v>0</x:v>
      </x:c>
      <x:c r="Y42">
        <x:f>($N42)*(IF($D42="V",$E42,0)+IF($F42="V",$G42,0))</x:f>
        <x:v>0</x:v>
      </x:c>
      <x:c r="Z42">
        <x:f>($N42)*(IF($D42="R",$E42,0)+IF($F42="R",$G42,0))</x:f>
        <x:v>0</x:v>
      </x:c>
      <x:c r="AA42">
        <x:f>($N42)*(IF($D42="F",$E42,0)+IF($F42="F",$G42,0))</x:f>
        <x:v>0</x:v>
      </x:c>
      <x:c r="AB42">
        <x:f>($N42)*(IF($D42="W",$E42,0)+IF($F42="W",$G42,0))</x:f>
        <x:v>0</x:v>
      </x:c>
    </x:row>
    <x:row r="43" ht="40" customHeight="1">
      <x:c r="A43" t="inlineStr">
        <x:is>
          <x:t xml:space="preserve">HR-D3-Q09</x:t>
        </x:is>
      </x:c>
      <x:c r="B43" t="inlineStr">
        <x:is>
          <x:t xml:space="preserve">T1</x:t>
        </x:is>
      </x:c>
      <x:c r="C43" t="inlineStr">
        <x:is>
          <x:t xml:space="preserve">3. Manager Capability &amp; Culture</x:t>
        </x:is>
      </x:c>
      <x:c r="D43" t="inlineStr">
        <x:is>
          <x:t xml:space="preserve">H</x:t>
        </x:is>
      </x:c>
      <x:c r="E43" t="n">
        <x:v>0.5</x:v>
      </x:c>
      <x:c r="F43" t="inlineStr">
        <x:is>
          <x:t xml:space="preserve">E</x:t>
        </x:is>
      </x:c>
      <x:c r="G43" t="n">
        <x:v>0.5</x:v>
      </x:c>
      <x:c r="H43" s="2" t="inlineStr">
        <x:is>
          <x:t xml:space="preserve">Are managers trained and expected to escalate people-related risk signals (conflict, distress, policy breaches) in a consistent way?</x:t>
        </x:is>
      </x:c>
      <x:c r="I43" t="inlineStr">
        <x:is>
          <x:t xml:space="preserve">Early intervention + knowing who to contact; avoid clinical labels.</x:t>
        </x:is>
      </x:c>
      <x:c r="J43" t="inlineStr">
        <x:is>
          <x:t xml:space="preserve">Gatekeeper (If BaseScore &lt;2 → HR-D3-Q10; If ≥2 → HR-D3-Q11)</x:t>
        </x:is>
      </x:c>
      <x:c r="K43" t="inlineStr">
        <x:is>
          <x:t xml:space="preserve">CULT_SOFT</x:t>
        </x:is>
      </x:c>
      <x:c r="L43" t="inlineStr">
        <x:is>
          <x:t xml:space="preserve">HR-D3-Q09-A1</x:t>
        </x:is>
      </x:c>
      <x:c r="M43" s="2" t="inlineStr">
        <x:is>
          <x:t xml:space="preserve">No: managers handle issues individually; escalation is rare or avoided.</x:t>
        </x:is>
      </x:c>
      <x:c r="N43" t="n">
        <x:v>0</x:v>
      </x:c>
      <x:c r="O43" t="inlineStr">
        <x:is>
          <x:t xml:space="preserve">culture_risk</x:t>
        </x:is>
      </x:c>
      <x:c r="P43" t="inlineStr">
        <x:is>
          <x:t xml:space="preserve">Culture Risk</x:t>
        </x:is>
      </x:c>
      <x:c r="Q43" t="inlineStr">
        <x:is>
          <x:t xml:space="preserve">Design escalation pathways</x:t>
        </x:is>
      </x:c>
      <x:c r="R43" t="inlineStr">
        <x:is>
          <x:t xml:space="preserve">N</x:t>
        </x:is>
      </x:c>
      <x:c r="S43" s="2" t="inlineStr">
        <x:is>
          <x:t xml:space="preserve"/>
        </x:is>
      </x:c>
      <x:c r="T43">
        <x:f>($N43)*(IF($D43="G",$E43,0)+IF($F43="G",$G43,0))</x:f>
        <x:v>0</x:v>
      </x:c>
      <x:c r="U43">
        <x:f>($N43)*(IF($D43="E",$E43,0)+IF($F43="E",$G43,0))</x:f>
        <x:v>0</x:v>
      </x:c>
      <x:c r="V43">
        <x:f>($N43)*(IF($D43="T",$E43,0)+IF($F43="T",$G43,0))</x:f>
        <x:v>0</x:v>
      </x:c>
      <x:c r="W43">
        <x:f>($N43)*(IF($D43="L",$E43,0)+IF($F43="L",$G43,0))</x:f>
        <x:v>0</x:v>
      </x:c>
      <x:c r="X43">
        <x:f>($N43)*(IF($D43="H",$E43,0)+IF($F43="H",$G43,0))</x:f>
        <x:v>0</x:v>
      </x:c>
      <x:c r="Y43">
        <x:f>($N43)*(IF($D43="V",$E43,0)+IF($F43="V",$G43,0))</x:f>
        <x:v>0</x:v>
      </x:c>
      <x:c r="Z43">
        <x:f>($N43)*(IF($D43="R",$E43,0)+IF($F43="R",$G43,0))</x:f>
        <x:v>0</x:v>
      </x:c>
      <x:c r="AA43">
        <x:f>($N43)*(IF($D43="F",$E43,0)+IF($F43="F",$G43,0))</x:f>
        <x:v>0</x:v>
      </x:c>
      <x:c r="AB43">
        <x:f>($N43)*(IF($D43="W",$E43,0)+IF($F43="W",$G43,0))</x:f>
        <x:v>0</x:v>
      </x:c>
    </x:row>
    <x:row r="44" ht="40" customHeight="1">
      <x:c r="A44" t="inlineStr">
        <x:is>
          <x:t xml:space="preserve">HR-D3-Q09</x:t>
        </x:is>
      </x:c>
      <x:c r="B44" t="inlineStr">
        <x:is>
          <x:t xml:space="preserve">T1</x:t>
        </x:is>
      </x:c>
      <x:c r="C44" t="inlineStr">
        <x:is>
          <x:t xml:space="preserve">3. Manager Capability &amp; Culture</x:t>
        </x:is>
      </x:c>
      <x:c r="D44" t="inlineStr">
        <x:is>
          <x:t xml:space="preserve">H</x:t>
        </x:is>
      </x:c>
      <x:c r="E44" t="n">
        <x:v>0.5</x:v>
      </x:c>
      <x:c r="F44" t="inlineStr">
        <x:is>
          <x:t xml:space="preserve">E</x:t>
        </x:is>
      </x:c>
      <x:c r="G44" t="n">
        <x:v>0.5</x:v>
      </x:c>
      <x:c r="H44" s="2" t="inlineStr">
        <x:is>
          <x:t xml:space="preserve">Are managers trained and expected to escalate people-related risk signals (conflict, distress, policy breaches) in a consistent way?</x:t>
        </x:is>
      </x:c>
      <x:c r="I44" t="inlineStr">
        <x:is>
          <x:t xml:space="preserve">Early intervention + knowing who to contact; avoid clinical labels.</x:t>
        </x:is>
      </x:c>
      <x:c r="J44" t="inlineStr">
        <x:is>
          <x:t xml:space="preserve">Gatekeeper (If BaseScore &lt;2 → HR-D3-Q10; If ≥2 → HR-D3-Q11)</x:t>
        </x:is>
      </x:c>
      <x:c r="K44" t="inlineStr">
        <x:is>
          <x:t xml:space="preserve">CULT_SOFT</x:t>
        </x:is>
      </x:c>
      <x:c r="L44" t="inlineStr">
        <x:is>
          <x:t xml:space="preserve">HR-D3-Q09-A2</x:t>
        </x:is>
      </x:c>
      <x:c r="M44" s="2" t="inlineStr">
        <x:is>
          <x:t xml:space="preserve">Ad-hoc: some escalate, others don’t; no shared guidance.</x:t>
        </x:is>
      </x:c>
      <x:c r="N44" t="n">
        <x:v>1</x:v>
      </x:c>
      <x:c r="O44" t="inlineStr">
        <x:is>
          <x:t xml:space="preserve">key_person_dependency</x:t>
        </x:is>
      </x:c>
      <x:c r="P44" t="inlineStr">
        <x:is>
          <x:t xml:space="preserve">Operating Model Gap</x:t>
        </x:is>
      </x:c>
      <x:c r="Q44" t="inlineStr">
        <x:is>
          <x:t xml:space="preserve">Standardize guidance</x:t>
        </x:is>
      </x:c>
      <x:c r="R44" t="inlineStr">
        <x:is>
          <x:t xml:space="preserve">N</x:t>
        </x:is>
      </x:c>
      <x:c r="S44" s="2" t="inlineStr">
        <x:is>
          <x:t xml:space="preserve"/>
        </x:is>
      </x:c>
      <x:c r="T44">
        <x:f>($N44)*(IF($D44="G",$E44,0)+IF($F44="G",$G44,0))</x:f>
        <x:v>0</x:v>
      </x:c>
      <x:c r="U44">
        <x:f>($N44)*(IF($D44="E",$E44,0)+IF($F44="E",$G44,0))</x:f>
        <x:v>0.5</x:v>
      </x:c>
      <x:c r="V44">
        <x:f>($N44)*(IF($D44="T",$E44,0)+IF($F44="T",$G44,0))</x:f>
        <x:v>0</x:v>
      </x:c>
      <x:c r="W44">
        <x:f>($N44)*(IF($D44="L",$E44,0)+IF($F44="L",$G44,0))</x:f>
        <x:v>0</x:v>
      </x:c>
      <x:c r="X44">
        <x:f>($N44)*(IF($D44="H",$E44,0)+IF($F44="H",$G44,0))</x:f>
        <x:v>0.5</x:v>
      </x:c>
      <x:c r="Y44">
        <x:f>($N44)*(IF($D44="V",$E44,0)+IF($F44="V",$G44,0))</x:f>
        <x:v>0</x:v>
      </x:c>
      <x:c r="Z44">
        <x:f>($N44)*(IF($D44="R",$E44,0)+IF($F44="R",$G44,0))</x:f>
        <x:v>0</x:v>
      </x:c>
      <x:c r="AA44">
        <x:f>($N44)*(IF($D44="F",$E44,0)+IF($F44="F",$G44,0))</x:f>
        <x:v>0</x:v>
      </x:c>
      <x:c r="AB44">
        <x:f>($N44)*(IF($D44="W",$E44,0)+IF($F44="W",$G44,0))</x:f>
        <x:v>0</x:v>
      </x:c>
    </x:row>
    <x:row r="45" ht="40" customHeight="1">
      <x:c r="A45" t="inlineStr">
        <x:is>
          <x:t xml:space="preserve">HR-D3-Q09</x:t>
        </x:is>
      </x:c>
      <x:c r="B45" t="inlineStr">
        <x:is>
          <x:t xml:space="preserve">T1</x:t>
        </x:is>
      </x:c>
      <x:c r="C45" t="inlineStr">
        <x:is>
          <x:t xml:space="preserve">3. Manager Capability &amp; Culture</x:t>
        </x:is>
      </x:c>
      <x:c r="D45" t="inlineStr">
        <x:is>
          <x:t xml:space="preserve">H</x:t>
        </x:is>
      </x:c>
      <x:c r="E45" t="n">
        <x:v>0.5</x:v>
      </x:c>
      <x:c r="F45" t="inlineStr">
        <x:is>
          <x:t xml:space="preserve">E</x:t>
        </x:is>
      </x:c>
      <x:c r="G45" t="n">
        <x:v>0.5</x:v>
      </x:c>
      <x:c r="H45" s="2" t="inlineStr">
        <x:is>
          <x:t xml:space="preserve">Are managers trained and expected to escalate people-related risk signals (conflict, distress, policy breaches) in a consistent way?</x:t>
        </x:is>
      </x:c>
      <x:c r="I45" t="inlineStr">
        <x:is>
          <x:t xml:space="preserve">Early intervention + knowing who to contact; avoid clinical labels.</x:t>
        </x:is>
      </x:c>
      <x:c r="J45" t="inlineStr">
        <x:is>
          <x:t xml:space="preserve">Gatekeeper (If BaseScore &lt;2 → HR-D3-Q10; If ≥2 → HR-D3-Q11)</x:t>
        </x:is>
      </x:c>
      <x:c r="K45" t="inlineStr">
        <x:is>
          <x:t xml:space="preserve">CULT_SOFT</x:t>
        </x:is>
      </x:c>
      <x:c r="L45" t="inlineStr">
        <x:is>
          <x:t xml:space="preserve">HR-D3-Q09-A3</x:t>
        </x:is>
      </x:c>
      <x:c r="M45" s="2" t="inlineStr">
        <x:is>
          <x:t xml:space="preserve">Defined: guidance exists but training is limited.</x:t>
        </x:is>
      </x:c>
      <x:c r="N45" t="n">
        <x:v>2</x:v>
      </x:c>
      <x:c r="O45" t="inlineStr">
        <x:is>
          <x:t xml:space="preserve">paper_dragon_signal</x:t>
        </x:is>
      </x:c>
      <x:c r="P45" t="inlineStr">
        <x:is>
          <x:t xml:space="preserve">Paper Dragon</x:t>
        </x:is>
      </x:c>
      <x:c r="Q45" t="inlineStr">
        <x:is>
          <x:t xml:space="preserve">Expand training</x:t>
        </x:is>
      </x:c>
      <x:c r="R45" t="inlineStr">
        <x:is>
          <x:t xml:space="preserve">N</x:t>
        </x:is>
      </x:c>
      <x:c r="S45" s="2" t="inlineStr">
        <x:is>
          <x:t xml:space="preserve">Evidence: guidance doc.</x:t>
        </x:is>
      </x:c>
      <x:c r="T45">
        <x:f>($N45)*(IF($D45="G",$E45,0)+IF($F45="G",$G45,0))</x:f>
        <x:v>0</x:v>
      </x:c>
      <x:c r="U45">
        <x:f>($N45)*(IF($D45="E",$E45,0)+IF($F45="E",$G45,0))</x:f>
        <x:v>1</x:v>
      </x:c>
      <x:c r="V45">
        <x:f>($N45)*(IF($D45="T",$E45,0)+IF($F45="T",$G45,0))</x:f>
        <x:v>0</x:v>
      </x:c>
      <x:c r="W45">
        <x:f>($N45)*(IF($D45="L",$E45,0)+IF($F45="L",$G45,0))</x:f>
        <x:v>0</x:v>
      </x:c>
      <x:c r="X45">
        <x:f>($N45)*(IF($D45="H",$E45,0)+IF($F45="H",$G45,0))</x:f>
        <x:v>1</x:v>
      </x:c>
      <x:c r="Y45">
        <x:f>($N45)*(IF($D45="V",$E45,0)+IF($F45="V",$G45,0))</x:f>
        <x:v>0</x:v>
      </x:c>
      <x:c r="Z45">
        <x:f>($N45)*(IF($D45="R",$E45,0)+IF($F45="R",$G45,0))</x:f>
        <x:v>0</x:v>
      </x:c>
      <x:c r="AA45">
        <x:f>($N45)*(IF($D45="F",$E45,0)+IF($F45="F",$G45,0))</x:f>
        <x:v>0</x:v>
      </x:c>
      <x:c r="AB45">
        <x:f>($N45)*(IF($D45="W",$E45,0)+IF($F45="W",$G45,0))</x:f>
        <x:v>0</x:v>
      </x:c>
    </x:row>
    <x:row r="46" ht="40" customHeight="1">
      <x:c r="A46" t="inlineStr">
        <x:is>
          <x:t xml:space="preserve">HR-D3-Q09</x:t>
        </x:is>
      </x:c>
      <x:c r="B46" t="inlineStr">
        <x:is>
          <x:t xml:space="preserve">T1</x:t>
        </x:is>
      </x:c>
      <x:c r="C46" t="inlineStr">
        <x:is>
          <x:t xml:space="preserve">3. Manager Capability &amp; Culture</x:t>
        </x:is>
      </x:c>
      <x:c r="D46" t="inlineStr">
        <x:is>
          <x:t xml:space="preserve">H</x:t>
        </x:is>
      </x:c>
      <x:c r="E46" t="n">
        <x:v>0.5</x:v>
      </x:c>
      <x:c r="F46" t="inlineStr">
        <x:is>
          <x:t xml:space="preserve">E</x:t>
        </x:is>
      </x:c>
      <x:c r="G46" t="n">
        <x:v>0.5</x:v>
      </x:c>
      <x:c r="H46" s="2" t="inlineStr">
        <x:is>
          <x:t xml:space="preserve">Are managers trained and expected to escalate people-related risk signals (conflict, distress, policy breaches) in a consistent way?</x:t>
        </x:is>
      </x:c>
      <x:c r="I46" t="inlineStr">
        <x:is>
          <x:t xml:space="preserve">Early intervention + knowing who to contact; avoid clinical labels.</x:t>
        </x:is>
      </x:c>
      <x:c r="J46" t="inlineStr">
        <x:is>
          <x:t xml:space="preserve">Gatekeeper (If BaseScore &lt;2 → HR-D3-Q10; If ≥2 → HR-D3-Q11)</x:t>
        </x:is>
      </x:c>
      <x:c r="K46" t="inlineStr">
        <x:is>
          <x:t xml:space="preserve">CULT_SOFT</x:t>
        </x:is>
      </x:c>
      <x:c r="L46" t="inlineStr">
        <x:is>
          <x:t xml:space="preserve">HR-D3-Q09-A4</x:t>
        </x:is>
      </x:c>
      <x:c r="M46" s="2" t="inlineStr">
        <x:is>
          <x:t xml:space="preserve">Trained: managers receive training and use a clear escalation path.</x:t>
        </x:is>
      </x:c>
      <x:c r="N46" t="n">
        <x:v>3</x:v>
      </x:c>
      <x:c r="O46" t="inlineStr">
        <x:is>
          <x:t xml:space="preserve"/>
        </x:is>
      </x:c>
      <x:c r="P46" t="inlineStr">
        <x:is>
          <x:t xml:space="preserve">Culture Risk</x:t>
        </x:is>
      </x:c>
      <x:c r="Q46" t="inlineStr">
        <x:is>
          <x:t xml:space="preserve">Maintain training cadence</x:t>
        </x:is>
      </x:c>
      <x:c r="R46" t="inlineStr">
        <x:is>
          <x:t xml:space="preserve">N</x:t>
        </x:is>
      </x:c>
      <x:c r="S46" s="2" t="inlineStr">
        <x:is>
          <x:t xml:space="preserve">Evidence: training completion.</x:t>
        </x:is>
      </x:c>
      <x:c r="T46">
        <x:f>($N46)*(IF($D46="G",$E46,0)+IF($F46="G",$G46,0))</x:f>
        <x:v>0</x:v>
      </x:c>
      <x:c r="U46">
        <x:f>($N46)*(IF($D46="E",$E46,0)+IF($F46="E",$G46,0))</x:f>
        <x:v>1.5</x:v>
      </x:c>
      <x:c r="V46">
        <x:f>($N46)*(IF($D46="T",$E46,0)+IF($F46="T",$G46,0))</x:f>
        <x:v>0</x:v>
      </x:c>
      <x:c r="W46">
        <x:f>($N46)*(IF($D46="L",$E46,0)+IF($F46="L",$G46,0))</x:f>
        <x:v>0</x:v>
      </x:c>
      <x:c r="X46">
        <x:f>($N46)*(IF($D46="H",$E46,0)+IF($F46="H",$G46,0))</x:f>
        <x:v>1.5</x:v>
      </x:c>
      <x:c r="Y46">
        <x:f>($N46)*(IF($D46="V",$E46,0)+IF($F46="V",$G46,0))</x:f>
        <x:v>0</x:v>
      </x:c>
      <x:c r="Z46">
        <x:f>($N46)*(IF($D46="R",$E46,0)+IF($F46="R",$G46,0))</x:f>
        <x:v>0</x:v>
      </x:c>
      <x:c r="AA46">
        <x:f>($N46)*(IF($D46="F",$E46,0)+IF($F46="F",$G46,0))</x:f>
        <x:v>0</x:v>
      </x:c>
      <x:c r="AB46">
        <x:f>($N46)*(IF($D46="W",$E46,0)+IF($F46="W",$G46,0))</x:f>
        <x:v>0</x:v>
      </x:c>
    </x:row>
    <x:row r="47" ht="40" customHeight="1">
      <x:c r="A47" t="inlineStr">
        <x:is>
          <x:t xml:space="preserve">HR-D3-Q09</x:t>
        </x:is>
      </x:c>
      <x:c r="B47" t="inlineStr">
        <x:is>
          <x:t xml:space="preserve">T1</x:t>
        </x:is>
      </x:c>
      <x:c r="C47" t="inlineStr">
        <x:is>
          <x:t xml:space="preserve">3. Manager Capability &amp; Culture</x:t>
        </x:is>
      </x:c>
      <x:c r="D47" t="inlineStr">
        <x:is>
          <x:t xml:space="preserve">H</x:t>
        </x:is>
      </x:c>
      <x:c r="E47" t="n">
        <x:v>0.5</x:v>
      </x:c>
      <x:c r="F47" t="inlineStr">
        <x:is>
          <x:t xml:space="preserve">E</x:t>
        </x:is>
      </x:c>
      <x:c r="G47" t="n">
        <x:v>0.5</x:v>
      </x:c>
      <x:c r="H47" s="2" t="inlineStr">
        <x:is>
          <x:t xml:space="preserve">Are managers trained and expected to escalate people-related risk signals (conflict, distress, policy breaches) in a consistent way?</x:t>
        </x:is>
      </x:c>
      <x:c r="I47" t="inlineStr">
        <x:is>
          <x:t xml:space="preserve">Early intervention + knowing who to contact; avoid clinical labels.</x:t>
        </x:is>
      </x:c>
      <x:c r="J47" t="inlineStr">
        <x:is>
          <x:t xml:space="preserve">Gatekeeper (If BaseScore &lt;2 → HR-D3-Q10; If ≥2 → HR-D3-Q11)</x:t>
        </x:is>
      </x:c>
      <x:c r="K47" t="inlineStr">
        <x:is>
          <x:t xml:space="preserve">CULT_SOFT</x:t>
        </x:is>
      </x:c>
      <x:c r="L47" t="inlineStr">
        <x:is>
          <x:t xml:space="preserve">HR-D3-Q09-A5</x:t>
        </x:is>
      </x:c>
      <x:c r="M47" s="2" t="inlineStr">
        <x:is>
          <x:t xml:space="preserve">Embedded: escalation expectations in manager KPIs; audited for consistency.</x:t>
        </x:is>
      </x:c>
      <x:c r="N47" t="n">
        <x:v>4</x:v>
      </x:c>
      <x:c r="O47" t="inlineStr">
        <x:is>
          <x:t xml:space="preserve"/>
        </x:is>
      </x:c>
      <x:c r="P47" t="inlineStr">
        <x:is>
          <x:t xml:space="preserve">Culture Risk</x:t>
        </x:is>
      </x:c>
      <x:c r="Q47" t="inlineStr">
        <x:is>
          <x:t xml:space="preserve">Maintain assurance</x:t>
        </x:is>
      </x:c>
      <x:c r="R47" t="inlineStr">
        <x:is>
          <x:t xml:space="preserve">N</x:t>
        </x:is>
      </x:c>
      <x:c r="S47" s="2" t="inlineStr">
        <x:is>
          <x:t xml:space="preserve">Evidence: KPI or audit outputs.</x:t>
        </x:is>
      </x:c>
      <x:c r="T47">
        <x:f>($N47)*(IF($D47="G",$E47,0)+IF($F47="G",$G47,0))</x:f>
        <x:v>0</x:v>
      </x:c>
      <x:c r="U47">
        <x:f>($N47)*(IF($D47="E",$E47,0)+IF($F47="E",$G47,0))</x:f>
        <x:v>2</x:v>
      </x:c>
      <x:c r="V47">
        <x:f>($N47)*(IF($D47="T",$E47,0)+IF($F47="T",$G47,0))</x:f>
        <x:v>0</x:v>
      </x:c>
      <x:c r="W47">
        <x:f>($N47)*(IF($D47="L",$E47,0)+IF($F47="L",$G47,0))</x:f>
        <x:v>0</x:v>
      </x:c>
      <x:c r="X47">
        <x:f>($N47)*(IF($D47="H",$E47,0)+IF($F47="H",$G47,0))</x:f>
        <x:v>2</x:v>
      </x:c>
      <x:c r="Y47">
        <x:f>($N47)*(IF($D47="V",$E47,0)+IF($F47="V",$G47,0))</x:f>
        <x:v>0</x:v>
      </x:c>
      <x:c r="Z47">
        <x:f>($N47)*(IF($D47="R",$E47,0)+IF($F47="R",$G47,0))</x:f>
        <x:v>0</x:v>
      </x:c>
      <x:c r="AA47">
        <x:f>($N47)*(IF($D47="F",$E47,0)+IF($F47="F",$G47,0))</x:f>
        <x:v>0</x:v>
      </x:c>
      <x:c r="AB47">
        <x:f>($N47)*(IF($D47="W",$E47,0)+IF($F47="W",$G47,0))</x:f>
        <x:v>0</x:v>
      </x:c>
    </x:row>
    <x:row r="48" ht="40" customHeight="1">
      <x:c r="A48" t="inlineStr">
        <x:is>
          <x:t xml:space="preserve">HR-D3-Q10</x:t>
        </x:is>
      </x:c>
      <x:c r="B48" t="inlineStr">
        <x:is>
          <x:t xml:space="preserve">T2</x:t>
        </x:is>
      </x:c>
      <x:c r="C48" t="inlineStr">
        <x:is>
          <x:t xml:space="preserve">3. Manager Capability &amp; Culture</x:t>
        </x:is>
      </x:c>
      <x:c r="D48" t="inlineStr">
        <x:is>
          <x:t xml:space="preserve">E</x:t>
        </x:is>
      </x:c>
      <x:c r="E48" t="n">
        <x:v>1</x:v>
      </x:c>
      <x:c r="F48" t="inlineStr">
        <x:is>
          <x:t xml:space="preserve">-</x:t>
        </x:is>
      </x:c>
      <x:c r="G48" t="inlineStr">
        <x:is>
          <x:t xml:space="preserve"/>
        </x:is>
      </x:c>
      <x:c r="H48" s="2" t="inlineStr">
        <x:is>
          <x:t xml:space="preserve">(Shadow probe) In practice, do managers know who to contact and do they use that path when something is 'off'?</x:t>
        </x:is>
      </x:c>
      <x:c r="I48" t="inlineStr">
        <x:is>
          <x:t xml:space="preserve">Checks whether escalation works in real life.</x:t>
        </x:is>
      </x:c>
      <x:c r="J48" t="inlineStr">
        <x:is>
          <x:t xml:space="preserve">Shadow fallback (Then → HR-D4-Q13)</x:t>
        </x:is>
      </x:c>
      <x:c r="K48" t="inlineStr">
        <x:is>
          <x:t xml:space="preserve">OPS_STD</x:t>
        </x:is>
      </x:c>
      <x:c r="L48" t="inlineStr">
        <x:is>
          <x:t xml:space="preserve">HR-D3-Q10-A1</x:t>
        </x:is>
      </x:c>
      <x:c r="M48" s="2" t="inlineStr">
        <x:is>
          <x:t xml:space="preserve">No: escalation unclear; handled locally or ignored.</x:t>
        </x:is>
      </x:c>
      <x:c r="N48" t="n">
        <x:v>0</x:v>
      </x:c>
      <x:c r="O48" t="inlineStr">
        <x:is>
          <x:t xml:space="preserve">culture_risk</x:t>
        </x:is>
      </x:c>
      <x:c r="P48" t="inlineStr">
        <x:is>
          <x:t xml:space="preserve">Operating Model Gap</x:t>
        </x:is>
      </x:c>
      <x:c r="Q48" t="inlineStr">
        <x:is>
          <x:t xml:space="preserve">Define escalation route</x:t>
        </x:is>
      </x:c>
      <x:c r="R48" t="inlineStr">
        <x:is>
          <x:t xml:space="preserve">N</x:t>
        </x:is>
      </x:c>
      <x:c r="S48" s="2" t="inlineStr">
        <x:is>
          <x:t xml:space="preserve"/>
        </x:is>
      </x:c>
      <x:c r="T48">
        <x:f>($N48)*(IF($D48="G",$E48,0)+IF($F48="G",$G48,0))</x:f>
        <x:v>0</x:v>
      </x:c>
      <x:c r="U48">
        <x:f>($N48)*(IF($D48="E",$E48,0)+IF($F48="E",$G48,0))</x:f>
        <x:v>0</x:v>
      </x:c>
      <x:c r="V48">
        <x:f>($N48)*(IF($D48="T",$E48,0)+IF($F48="T",$G48,0))</x:f>
        <x:v>0</x:v>
      </x:c>
      <x:c r="W48">
        <x:f>($N48)*(IF($D48="L",$E48,0)+IF($F48="L",$G48,0))</x:f>
        <x:v>0</x:v>
      </x:c>
      <x:c r="X48">
        <x:f>($N48)*(IF($D48="H",$E48,0)+IF($F48="H",$G48,0))</x:f>
        <x:v>0</x:v>
      </x:c>
      <x:c r="Y48">
        <x:f>($N48)*(IF($D48="V",$E48,0)+IF($F48="V",$G48,0))</x:f>
        <x:v>0</x:v>
      </x:c>
      <x:c r="Z48">
        <x:f>($N48)*(IF($D48="R",$E48,0)+IF($F48="R",$G48,0))</x:f>
        <x:v>0</x:v>
      </x:c>
      <x:c r="AA48">
        <x:f>($N48)*(IF($D48="F",$E48,0)+IF($F48="F",$G48,0))</x:f>
        <x:v>0</x:v>
      </x:c>
      <x:c r="AB48">
        <x:f>($N48)*(IF($D48="W",$E48,0)+IF($F48="W",$G48,0))</x:f>
        <x:v>0</x:v>
      </x:c>
    </x:row>
    <x:row r="49" ht="40" customHeight="1">
      <x:c r="A49" t="inlineStr">
        <x:is>
          <x:t xml:space="preserve">HR-D3-Q10</x:t>
        </x:is>
      </x:c>
      <x:c r="B49" t="inlineStr">
        <x:is>
          <x:t xml:space="preserve">T2</x:t>
        </x:is>
      </x:c>
      <x:c r="C49" t="inlineStr">
        <x:is>
          <x:t xml:space="preserve">3. Manager Capability &amp; Culture</x:t>
        </x:is>
      </x:c>
      <x:c r="D49" t="inlineStr">
        <x:is>
          <x:t xml:space="preserve">E</x:t>
        </x:is>
      </x:c>
      <x:c r="E49" t="n">
        <x:v>1</x:v>
      </x:c>
      <x:c r="F49" t="inlineStr">
        <x:is>
          <x:t xml:space="preserve">-</x:t>
        </x:is>
      </x:c>
      <x:c r="G49" t="inlineStr">
        <x:is>
          <x:t xml:space="preserve"/>
        </x:is>
      </x:c>
      <x:c r="H49" s="2" t="inlineStr">
        <x:is>
          <x:t xml:space="preserve">(Shadow probe) In practice, do managers know who to contact and do they use that path when something is 'off'?</x:t>
        </x:is>
      </x:c>
      <x:c r="I49" t="inlineStr">
        <x:is>
          <x:t xml:space="preserve">Checks whether escalation works in real life.</x:t>
        </x:is>
      </x:c>
      <x:c r="J49" t="inlineStr">
        <x:is>
          <x:t xml:space="preserve">Shadow fallback (Then → HR-D4-Q13)</x:t>
        </x:is>
      </x:c>
      <x:c r="K49" t="inlineStr">
        <x:is>
          <x:t xml:space="preserve">OPS_STD</x:t>
        </x:is>
      </x:c>
      <x:c r="L49" t="inlineStr">
        <x:is>
          <x:t xml:space="preserve">HR-D3-Q10-A2</x:t>
        </x:is>
      </x:c>
      <x:c r="M49" s="2" t="inlineStr">
        <x:is>
          <x:t xml:space="preserve">Sometimes: depends on networks; not documented.</x:t>
        </x:is>
      </x:c>
      <x:c r="N49" t="n">
        <x:v>1</x:v>
      </x:c>
      <x:c r="O49" t="inlineStr">
        <x:is>
          <x:t xml:space="preserve">key_person_dependency,shadow_mature_signal</x:t>
        </x:is>
      </x:c>
      <x:c r="P49" t="inlineStr">
        <x:is>
          <x:t xml:space="preserve">Operating Model Gap</x:t>
        </x:is>
      </x:c>
      <x:c r="Q49" t="inlineStr">
        <x:is>
          <x:t xml:space="preserve">Document and socialize path</x:t>
        </x:is>
      </x:c>
      <x:c r="R49" t="inlineStr">
        <x:is>
          <x:t xml:space="preserve">N</x:t>
        </x:is>
      </x:c>
      <x:c r="S49" s="2" t="inlineStr">
        <x:is>
          <x:t xml:space="preserve"/>
        </x:is>
      </x:c>
      <x:c r="T49">
        <x:f>($N49)*(IF($D49="G",$E49,0)+IF($F49="G",$G49,0))</x:f>
        <x:v>0</x:v>
      </x:c>
      <x:c r="U49">
        <x:f>($N49)*(IF($D49="E",$E49,0)+IF($F49="E",$G49,0))</x:f>
        <x:v>1</x:v>
      </x:c>
      <x:c r="V49">
        <x:f>($N49)*(IF($D49="T",$E49,0)+IF($F49="T",$G49,0))</x:f>
        <x:v>0</x:v>
      </x:c>
      <x:c r="W49">
        <x:f>($N49)*(IF($D49="L",$E49,0)+IF($F49="L",$G49,0))</x:f>
        <x:v>0</x:v>
      </x:c>
      <x:c r="X49">
        <x:f>($N49)*(IF($D49="H",$E49,0)+IF($F49="H",$G49,0))</x:f>
        <x:v>0</x:v>
      </x:c>
      <x:c r="Y49">
        <x:f>($N49)*(IF($D49="V",$E49,0)+IF($F49="V",$G49,0))</x:f>
        <x:v>0</x:v>
      </x:c>
      <x:c r="Z49">
        <x:f>($N49)*(IF($D49="R",$E49,0)+IF($F49="R",$G49,0))</x:f>
        <x:v>0</x:v>
      </x:c>
      <x:c r="AA49">
        <x:f>($N49)*(IF($D49="F",$E49,0)+IF($F49="F",$G49,0))</x:f>
        <x:v>0</x:v>
      </x:c>
      <x:c r="AB49">
        <x:f>($N49)*(IF($D49="W",$E49,0)+IF($F49="W",$G49,0))</x:f>
        <x:v>0</x:v>
      </x:c>
    </x:row>
    <x:row r="50" ht="40" customHeight="1">
      <x:c r="A50" t="inlineStr">
        <x:is>
          <x:t xml:space="preserve">HR-D3-Q10</x:t>
        </x:is>
      </x:c>
      <x:c r="B50" t="inlineStr">
        <x:is>
          <x:t xml:space="preserve">T2</x:t>
        </x:is>
      </x:c>
      <x:c r="C50" t="inlineStr">
        <x:is>
          <x:t xml:space="preserve">3. Manager Capability &amp; Culture</x:t>
        </x:is>
      </x:c>
      <x:c r="D50" t="inlineStr">
        <x:is>
          <x:t xml:space="preserve">E</x:t>
        </x:is>
      </x:c>
      <x:c r="E50" t="n">
        <x:v>1</x:v>
      </x:c>
      <x:c r="F50" t="inlineStr">
        <x:is>
          <x:t xml:space="preserve">-</x:t>
        </x:is>
      </x:c>
      <x:c r="G50" t="inlineStr">
        <x:is>
          <x:t xml:space="preserve"/>
        </x:is>
      </x:c>
      <x:c r="H50" s="2" t="inlineStr">
        <x:is>
          <x:t xml:space="preserve">(Shadow probe) In practice, do managers know who to contact and do they use that path when something is 'off'?</x:t>
        </x:is>
      </x:c>
      <x:c r="I50" t="inlineStr">
        <x:is>
          <x:t xml:space="preserve">Checks whether escalation works in real life.</x:t>
        </x:is>
      </x:c>
      <x:c r="J50" t="inlineStr">
        <x:is>
          <x:t xml:space="preserve">Shadow fallback (Then → HR-D4-Q13)</x:t>
        </x:is>
      </x:c>
      <x:c r="K50" t="inlineStr">
        <x:is>
          <x:t xml:space="preserve">OPS_STD</x:t>
        </x:is>
      </x:c>
      <x:c r="L50" t="inlineStr">
        <x:is>
          <x:t xml:space="preserve">HR-D3-Q10-A3</x:t>
        </x:is>
      </x:c>
      <x:c r="M50" s="2" t="inlineStr">
        <x:is>
          <x:t xml:space="preserve">Yes, usually: managers know contacts and escalate within a reasonable time.</x:t>
        </x:is>
      </x:c>
      <x:c r="N50" t="n">
        <x:v>2</x:v>
      </x:c>
      <x:c r="O50" t="inlineStr">
        <x:is>
          <x:t xml:space="preserve">shadow_mature_signal</x:t>
        </x:is>
      </x:c>
      <x:c r="P50" t="inlineStr">
        <x:is>
          <x:t xml:space="preserve">Operating Model Gap</x:t>
        </x:is>
      </x:c>
      <x:c r="Q50" t="inlineStr">
        <x:is>
          <x:t xml:space="preserve">Formalize and measure</x:t>
        </x:is>
      </x:c>
      <x:c r="R50" t="inlineStr">
        <x:is>
          <x:t xml:space="preserve">N</x:t>
        </x:is>
      </x:c>
      <x:c r="S50" s="2" t="inlineStr">
        <x:is>
          <x:t xml:space="preserve">Typical time to escalate.</x:t>
        </x:is>
      </x:c>
      <x:c r="T50">
        <x:f>($N50)*(IF($D50="G",$E50,0)+IF($F50="G",$G50,0))</x:f>
        <x:v>0</x:v>
      </x:c>
      <x:c r="U50">
        <x:f>($N50)*(IF($D50="E",$E50,0)+IF($F50="E",$G50,0))</x:f>
        <x:v>2</x:v>
      </x:c>
      <x:c r="V50">
        <x:f>($N50)*(IF($D50="T",$E50,0)+IF($F50="T",$G50,0))</x:f>
        <x:v>0</x:v>
      </x:c>
      <x:c r="W50">
        <x:f>($N50)*(IF($D50="L",$E50,0)+IF($F50="L",$G50,0))</x:f>
        <x:v>0</x:v>
      </x:c>
      <x:c r="X50">
        <x:f>($N50)*(IF($D50="H",$E50,0)+IF($F50="H",$G50,0))</x:f>
        <x:v>0</x:v>
      </x:c>
      <x:c r="Y50">
        <x:f>($N50)*(IF($D50="V",$E50,0)+IF($F50="V",$G50,0))</x:f>
        <x:v>0</x:v>
      </x:c>
      <x:c r="Z50">
        <x:f>($N50)*(IF($D50="R",$E50,0)+IF($F50="R",$G50,0))</x:f>
        <x:v>0</x:v>
      </x:c>
      <x:c r="AA50">
        <x:f>($N50)*(IF($D50="F",$E50,0)+IF($F50="F",$G50,0))</x:f>
        <x:v>0</x:v>
      </x:c>
      <x:c r="AB50">
        <x:f>($N50)*(IF($D50="W",$E50,0)+IF($F50="W",$G50,0))</x:f>
        <x:v>0</x:v>
      </x:c>
    </x:row>
    <x:row r="51" ht="40" customHeight="1">
      <x:c r="A51" t="inlineStr">
        <x:is>
          <x:t xml:space="preserve">HR-D3-Q10</x:t>
        </x:is>
      </x:c>
      <x:c r="B51" t="inlineStr">
        <x:is>
          <x:t xml:space="preserve">T2</x:t>
        </x:is>
      </x:c>
      <x:c r="C51" t="inlineStr">
        <x:is>
          <x:t xml:space="preserve">3. Manager Capability &amp; Culture</x:t>
        </x:is>
      </x:c>
      <x:c r="D51" t="inlineStr">
        <x:is>
          <x:t xml:space="preserve">E</x:t>
        </x:is>
      </x:c>
      <x:c r="E51" t="n">
        <x:v>1</x:v>
      </x:c>
      <x:c r="F51" t="inlineStr">
        <x:is>
          <x:t xml:space="preserve">-</x:t>
        </x:is>
      </x:c>
      <x:c r="G51" t="inlineStr">
        <x:is>
          <x:t xml:space="preserve"/>
        </x:is>
      </x:c>
      <x:c r="H51" s="2" t="inlineStr">
        <x:is>
          <x:t xml:space="preserve">(Shadow probe) In practice, do managers know who to contact and do they use that path when something is 'off'?</x:t>
        </x:is>
      </x:c>
      <x:c r="I51" t="inlineStr">
        <x:is>
          <x:t xml:space="preserve">Checks whether escalation works in real life.</x:t>
        </x:is>
      </x:c>
      <x:c r="J51" t="inlineStr">
        <x:is>
          <x:t xml:space="preserve">Shadow fallback (Then → HR-D4-Q13)</x:t>
        </x:is>
      </x:c>
      <x:c r="K51" t="inlineStr">
        <x:is>
          <x:t xml:space="preserve">OPS_STD</x:t>
        </x:is>
      </x:c>
      <x:c r="L51" t="inlineStr">
        <x:is>
          <x:t xml:space="preserve">HR-D3-Q10-A4</x:t>
        </x:is>
      </x:c>
      <x:c r="M51" s="2" t="inlineStr">
        <x:is>
          <x:t xml:space="preserve">Yes, consistently: escalation is used and tracked (without over-monitoring).</x:t>
        </x:is>
      </x:c>
      <x:c r="N51" t="n">
        <x:v>3</x:v>
      </x:c>
      <x:c r="O51" t="inlineStr">
        <x:is>
          <x:t xml:space="preserve"/>
        </x:is>
      </x:c>
      <x:c r="P51" t="inlineStr">
        <x:is>
          <x:t xml:space="preserve">Operating Model Gap</x:t>
        </x:is>
      </x:c>
      <x:c r="Q51" t="inlineStr">
        <x:is>
          <x:t xml:space="preserve">Maintain tracking</x:t>
        </x:is>
      </x:c>
      <x:c r="R51" t="inlineStr">
        <x:is>
          <x:t xml:space="preserve">N</x:t>
        </x:is>
      </x:c>
      <x:c r="S51" s="2" t="inlineStr">
        <x:is>
          <x:t xml:space="preserve">Evidence: anonymized escalation metrics.</x:t>
        </x:is>
      </x:c>
      <x:c r="T51">
        <x:f>($N51)*(IF($D51="G",$E51,0)+IF($F51="G",$G51,0))</x:f>
      </x:c>
      <x:c r="U51">
        <x:f>($N51)*(IF($D51="E",$E51,0)+IF($F51="E",$G51,0))</x:f>
      </x:c>
      <x:c r="V51">
        <x:f>($N51)*(IF($D51="T",$E51,0)+IF($F51="T",$G51,0))</x:f>
      </x:c>
      <x:c r="W51">
        <x:f>($N51)*(IF($D51="L",$E51,0)+IF($F51="L",$G51,0))</x:f>
      </x:c>
      <x:c r="X51">
        <x:f>($N51)*(IF($D51="H",$E51,0)+IF($F51="H",$G51,0))</x:f>
      </x:c>
      <x:c r="Y51">
        <x:f>($N51)*(IF($D51="V",$E51,0)+IF($F51="V",$G51,0))</x:f>
      </x:c>
      <x:c r="Z51">
        <x:f>($N51)*(IF($D51="R",$E51,0)+IF($F51="R",$G51,0))</x:f>
      </x:c>
      <x:c r="AA51">
        <x:f>($N51)*(IF($D51="F",$E51,0)+IF($F51="F",$G51,0))</x:f>
      </x:c>
      <x:c r="AB51">
        <x:f>($N51)*(IF($D51="W",$E51,0)+IF($F51="W",$G51,0))</x:f>
      </x:c>
    </x:row>
    <x:row r="52" ht="40" customHeight="1">
      <x:c r="A52" t="inlineStr">
        <x:is>
          <x:t xml:space="preserve">HR-D3-Q11</x:t>
        </x:is>
      </x:c>
      <x:c r="B52" t="inlineStr">
        <x:is>
          <x:t xml:space="preserve">T2</x:t>
        </x:is>
      </x:c>
      <x:c r="C52" t="inlineStr">
        <x:is>
          <x:t xml:space="preserve">3. Manager Capability &amp; Culture</x:t>
        </x:is>
      </x:c>
      <x:c r="D52" t="inlineStr">
        <x:is>
          <x:t xml:space="preserve">H</x:t>
        </x:is>
      </x:c>
      <x:c r="E52" t="n">
        <x:v>1</x:v>
      </x:c>
      <x:c r="F52" t="inlineStr">
        <x:is>
          <x:t xml:space="preserve">-</x:t>
        </x:is>
      </x:c>
      <x:c r="G52" t="inlineStr">
        <x:is>
          <x:t xml:space="preserve"/>
        </x:is>
      </x:c>
      <x:c r="H52" s="2" t="inlineStr">
        <x:is>
          <x:t xml:space="preserve">Do you measure speak-up / trust / psychological safety and act on results?</x:t>
        </x:is>
      </x:c>
      <x:c r="I52" t="inlineStr">
        <x:is>
          <x:t xml:space="preserve">Measurement without action is not mature.</x:t>
        </x:is>
      </x:c>
      <x:c r="J52" t="inlineStr">
        <x:is>
          <x:t xml:space="preserve">Drill-down</x:t>
        </x:is>
      </x:c>
      <x:c r="K52" t="inlineStr">
        <x:is>
          <x:t xml:space="preserve">CULT_SOFT</x:t>
        </x:is>
      </x:c>
      <x:c r="L52" t="inlineStr">
        <x:is>
          <x:t xml:space="preserve">HR-D3-Q11-A1</x:t>
        </x:is>
      </x:c>
      <x:c r="M52" s="2" t="inlineStr">
        <x:is>
          <x:t xml:space="preserve">No measurement; leadership relies on anecdotes.</x:t>
        </x:is>
      </x:c>
      <x:c r="N52" t="n">
        <x:v>0</x:v>
      </x:c>
      <x:c r="O52" t="inlineStr">
        <x:is>
          <x:t xml:space="preserve">culture_risk</x:t>
        </x:is>
      </x:c>
      <x:c r="P52" t="inlineStr">
        <x:is>
          <x:t xml:space="preserve">Culture Risk</x:t>
        </x:is>
      </x:c>
      <x:c r="Q52" t="inlineStr">
        <x:is>
          <x:t xml:space="preserve">Introduce measurement</x:t>
        </x:is>
      </x:c>
      <x:c r="R52" t="inlineStr">
        <x:is>
          <x:t xml:space="preserve">N</x:t>
        </x:is>
      </x:c>
      <x:c r="S52" s="2" t="inlineStr">
        <x:is>
          <x:t xml:space="preserve"/>
        </x:is>
      </x:c>
      <x:c r="T52">
        <x:f>($N52)*(IF($D52="G",$E52,0)+IF($F52="G",$G52,0))</x:f>
      </x:c>
      <x:c r="U52">
        <x:f>($N52)*(IF($D52="E",$E52,0)+IF($F52="E",$G52,0))</x:f>
      </x:c>
      <x:c r="V52">
        <x:f>($N52)*(IF($D52="T",$E52,0)+IF($F52="T",$G52,0))</x:f>
      </x:c>
      <x:c r="W52">
        <x:f>($N52)*(IF($D52="L",$E52,0)+IF($F52="L",$G52,0))</x:f>
      </x:c>
      <x:c r="X52">
        <x:f>($N52)*(IF($D52="H",$E52,0)+IF($F52="H",$G52,0))</x:f>
      </x:c>
      <x:c r="Y52">
        <x:f>($N52)*(IF($D52="V",$E52,0)+IF($F52="V",$G52,0))</x:f>
      </x:c>
      <x:c r="Z52">
        <x:f>($N52)*(IF($D52="R",$E52,0)+IF($F52="R",$G52,0))</x:f>
      </x:c>
      <x:c r="AA52">
        <x:f>($N52)*(IF($D52="F",$E52,0)+IF($F52="F",$G52,0))</x:f>
      </x:c>
      <x:c r="AB52">
        <x:f>($N52)*(IF($D52="W",$E52,0)+IF($F52="W",$G52,0))</x:f>
      </x:c>
    </x:row>
    <x:row r="53" ht="40" customHeight="1">
      <x:c r="A53" t="inlineStr">
        <x:is>
          <x:t xml:space="preserve">HR-D3-Q11</x:t>
        </x:is>
      </x:c>
      <x:c r="B53" t="inlineStr">
        <x:is>
          <x:t xml:space="preserve">T2</x:t>
        </x:is>
      </x:c>
      <x:c r="C53" t="inlineStr">
        <x:is>
          <x:t xml:space="preserve">3. Manager Capability &amp; Culture</x:t>
        </x:is>
      </x:c>
      <x:c r="D53" t="inlineStr">
        <x:is>
          <x:t xml:space="preserve">H</x:t>
        </x:is>
      </x:c>
      <x:c r="E53" t="n">
        <x:v>1</x:v>
      </x:c>
      <x:c r="F53" t="inlineStr">
        <x:is>
          <x:t xml:space="preserve">-</x:t>
        </x:is>
      </x:c>
      <x:c r="G53" t="inlineStr">
        <x:is>
          <x:t xml:space="preserve"/>
        </x:is>
      </x:c>
      <x:c r="H53" s="2" t="inlineStr">
        <x:is>
          <x:t xml:space="preserve">Do you measure speak-up / trust / psychological safety and act on results?</x:t>
        </x:is>
      </x:c>
      <x:c r="I53" t="inlineStr">
        <x:is>
          <x:t xml:space="preserve">Measurement without action is not mature.</x:t>
        </x:is>
      </x:c>
      <x:c r="J53" t="inlineStr">
        <x:is>
          <x:t xml:space="preserve">Drill-down</x:t>
        </x:is>
      </x:c>
      <x:c r="K53" t="inlineStr">
        <x:is>
          <x:t xml:space="preserve">CULT_SOFT</x:t>
        </x:is>
      </x:c>
      <x:c r="L53" t="inlineStr">
        <x:is>
          <x:t xml:space="preserve">HR-D3-Q11-A2</x:t>
        </x:is>
      </x:c>
      <x:c r="M53" s="2" t="inlineStr">
        <x:is>
          <x:t xml:space="preserve">Occasional survey; results not acted on.</x:t>
        </x:is>
      </x:c>
      <x:c r="N53" t="n">
        <x:v>1</x:v>
      </x:c>
      <x:c r="O53" t="inlineStr">
        <x:is>
          <x:t xml:space="preserve">paper_dragon_signal</x:t>
        </x:is>
      </x:c>
      <x:c r="P53" t="inlineStr">
        <x:is>
          <x:t xml:space="preserve">Paper Dragon</x:t>
        </x:is>
      </x:c>
      <x:c r="Q53" t="inlineStr">
        <x:is>
          <x:t xml:space="preserve">Create action plan cycle</x:t>
        </x:is>
      </x:c>
      <x:c r="R53" t="inlineStr">
        <x:is>
          <x:t xml:space="preserve">N</x:t>
        </x:is>
      </x:c>
      <x:c r="S53" s="2" t="inlineStr">
        <x:is>
          <x:t xml:space="preserve">Evidence: last survey date.</x:t>
        </x:is>
      </x:c>
      <x:c r="T53">
        <x:f>($N53)*(IF($D53="G",$E53,0)+IF($F53="G",$G53,0))</x:f>
      </x:c>
      <x:c r="U53">
        <x:f>($N53)*(IF($D53="E",$E53,0)+IF($F53="E",$G53,0))</x:f>
      </x:c>
      <x:c r="V53">
        <x:f>($N53)*(IF($D53="T",$E53,0)+IF($F53="T",$G53,0))</x:f>
      </x:c>
      <x:c r="W53">
        <x:f>($N53)*(IF($D53="L",$E53,0)+IF($F53="L",$G53,0))</x:f>
      </x:c>
      <x:c r="X53">
        <x:f>($N53)*(IF($D53="H",$E53,0)+IF($F53="H",$G53,0))</x:f>
      </x:c>
      <x:c r="Y53">
        <x:f>($N53)*(IF($D53="V",$E53,0)+IF($F53="V",$G53,0))</x:f>
      </x:c>
      <x:c r="Z53">
        <x:f>($N53)*(IF($D53="R",$E53,0)+IF($F53="R",$G53,0))</x:f>
      </x:c>
      <x:c r="AA53">
        <x:f>($N53)*(IF($D53="F",$E53,0)+IF($F53="F",$G53,0))</x:f>
      </x:c>
      <x:c r="AB53">
        <x:f>($N53)*(IF($D53="W",$E53,0)+IF($F53="W",$G53,0))</x:f>
      </x:c>
    </x:row>
    <x:row r="54" ht="40" customHeight="1">
      <x:c r="A54" t="inlineStr">
        <x:is>
          <x:t xml:space="preserve">HR-D3-Q11</x:t>
        </x:is>
      </x:c>
      <x:c r="B54" t="inlineStr">
        <x:is>
          <x:t xml:space="preserve">T2</x:t>
        </x:is>
      </x:c>
      <x:c r="C54" t="inlineStr">
        <x:is>
          <x:t xml:space="preserve">3. Manager Capability &amp; Culture</x:t>
        </x:is>
      </x:c>
      <x:c r="D54" t="inlineStr">
        <x:is>
          <x:t xml:space="preserve">H</x:t>
        </x:is>
      </x:c>
      <x:c r="E54" t="n">
        <x:v>1</x:v>
      </x:c>
      <x:c r="F54" t="inlineStr">
        <x:is>
          <x:t xml:space="preserve">-</x:t>
        </x:is>
      </x:c>
      <x:c r="G54" t="inlineStr">
        <x:is>
          <x:t xml:space="preserve"/>
        </x:is>
      </x:c>
      <x:c r="H54" s="2" t="inlineStr">
        <x:is>
          <x:t xml:space="preserve">Do you measure speak-up / trust / psychological safety and act on results?</x:t>
        </x:is>
      </x:c>
      <x:c r="I54" t="inlineStr">
        <x:is>
          <x:t xml:space="preserve">Measurement without action is not mature.</x:t>
        </x:is>
      </x:c>
      <x:c r="J54" t="inlineStr">
        <x:is>
          <x:t xml:space="preserve">Drill-down</x:t>
        </x:is>
      </x:c>
      <x:c r="K54" t="inlineStr">
        <x:is>
          <x:t xml:space="preserve">CULT_SOFT</x:t>
        </x:is>
      </x:c>
      <x:c r="L54" t="inlineStr">
        <x:is>
          <x:t xml:space="preserve">HR-D3-Q11-A3</x:t>
        </x:is>
      </x:c>
      <x:c r="M54" s="2" t="inlineStr">
        <x:is>
          <x:t xml:space="preserve">Regular survey; some actions taken; follow-through varies.</x:t>
        </x:is>
      </x:c>
      <x:c r="N54" t="n">
        <x:v>2</x:v>
      </x:c>
      <x:c r="O54" t="inlineStr">
        <x:is>
          <x:t xml:space="preserve"/>
        </x:is>
      </x:c>
      <x:c r="P54" t="inlineStr">
        <x:is>
          <x:t xml:space="preserve">Culture Risk</x:t>
        </x:is>
      </x:c>
      <x:c r="Q54" t="inlineStr">
        <x:is>
          <x:t xml:space="preserve">Strengthen action tracking</x:t>
        </x:is>
      </x:c>
      <x:c r="R54" t="inlineStr">
        <x:is>
          <x:t xml:space="preserve">N</x:t>
        </x:is>
      </x:c>
      <x:c r="S54" s="2" t="inlineStr">
        <x:is>
          <x:t xml:space="preserve">Evidence: action plan examples.</x:t>
        </x:is>
      </x:c>
      <x:c r="T54">
        <x:f>($N54)*(IF($D54="G",$E54,0)+IF($F54="G",$G54,0))</x:f>
      </x:c>
      <x:c r="U54">
        <x:f>($N54)*(IF($D54="E",$E54,0)+IF($F54="E",$G54,0))</x:f>
      </x:c>
      <x:c r="V54">
        <x:f>($N54)*(IF($D54="T",$E54,0)+IF($F54="T",$G54,0))</x:f>
      </x:c>
      <x:c r="W54">
        <x:f>($N54)*(IF($D54="L",$E54,0)+IF($F54="L",$G54,0))</x:f>
      </x:c>
      <x:c r="X54">
        <x:f>($N54)*(IF($D54="H",$E54,0)+IF($F54="H",$G54,0))</x:f>
      </x:c>
      <x:c r="Y54">
        <x:f>($N54)*(IF($D54="V",$E54,0)+IF($F54="V",$G54,0))</x:f>
      </x:c>
      <x:c r="Z54">
        <x:f>($N54)*(IF($D54="R",$E54,0)+IF($F54="R",$G54,0))</x:f>
      </x:c>
      <x:c r="AA54">
        <x:f>($N54)*(IF($D54="F",$E54,0)+IF($F54="F",$G54,0))</x:f>
      </x:c>
      <x:c r="AB54">
        <x:f>($N54)*(IF($D54="W",$E54,0)+IF($F54="W",$G54,0))</x:f>
      </x:c>
    </x:row>
    <x:row r="55" ht="40" customHeight="1">
      <x:c r="A55" t="inlineStr">
        <x:is>
          <x:t xml:space="preserve">HR-D3-Q11</x:t>
        </x:is>
      </x:c>
      <x:c r="B55" t="inlineStr">
        <x:is>
          <x:t xml:space="preserve">T2</x:t>
        </x:is>
      </x:c>
      <x:c r="C55" t="inlineStr">
        <x:is>
          <x:t xml:space="preserve">3. Manager Capability &amp; Culture</x:t>
        </x:is>
      </x:c>
      <x:c r="D55" t="inlineStr">
        <x:is>
          <x:t xml:space="preserve">H</x:t>
        </x:is>
      </x:c>
      <x:c r="E55" t="n">
        <x:v>1</x:v>
      </x:c>
      <x:c r="F55" t="inlineStr">
        <x:is>
          <x:t xml:space="preserve">-</x:t>
        </x:is>
      </x:c>
      <x:c r="G55" t="inlineStr">
        <x:is>
          <x:t xml:space="preserve"/>
        </x:is>
      </x:c>
      <x:c r="H55" s="2" t="inlineStr">
        <x:is>
          <x:t xml:space="preserve">Do you measure speak-up / trust / psychological safety and act on results?</x:t>
        </x:is>
      </x:c>
      <x:c r="I55" t="inlineStr">
        <x:is>
          <x:t xml:space="preserve">Measurement without action is not mature.</x:t>
        </x:is>
      </x:c>
      <x:c r="J55" t="inlineStr">
        <x:is>
          <x:t xml:space="preserve">Drill-down</x:t>
        </x:is>
      </x:c>
      <x:c r="K55" t="inlineStr">
        <x:is>
          <x:t xml:space="preserve">CULT_SOFT</x:t>
        </x:is>
      </x:c>
      <x:c r="L55" t="inlineStr">
        <x:is>
          <x:t xml:space="preserve">HR-D3-Q11-A4</x:t>
        </x:is>
      </x:c>
      <x:c r="M55" s="2" t="inlineStr">
        <x:is>
          <x:t xml:space="preserve">Measured + managed: results drive actions and progress is communicated.</x:t>
        </x:is>
      </x:c>
      <x:c r="N55" t="n">
        <x:v>3</x:v>
      </x:c>
      <x:c r="O55" t="inlineStr">
        <x:is>
          <x:t xml:space="preserve"/>
        </x:is>
      </x:c>
      <x:c r="P55" t="inlineStr">
        <x:is>
          <x:t xml:space="preserve">Culture Risk</x:t>
        </x:is>
      </x:c>
      <x:c r="Q55" t="inlineStr">
        <x:is>
          <x:t xml:space="preserve">Maintain cadence</x:t>
        </x:is>
      </x:c>
      <x:c r="R55" t="inlineStr">
        <x:is>
          <x:t xml:space="preserve">N</x:t>
        </x:is>
      </x:c>
      <x:c r="S55" s="2" t="inlineStr">
        <x:is>
          <x:t xml:space="preserve">Evidence: action tracker.</x:t>
        </x:is>
      </x:c>
      <x:c r="T55">
        <x:f>($N55)*(IF($D55="G",$E55,0)+IF($F55="G",$G55,0))</x:f>
      </x:c>
      <x:c r="U55">
        <x:f>($N55)*(IF($D55="E",$E55,0)+IF($F55="E",$G55,0))</x:f>
      </x:c>
      <x:c r="V55">
        <x:f>($N55)*(IF($D55="T",$E55,0)+IF($F55="T",$G55,0))</x:f>
      </x:c>
      <x:c r="W55">
        <x:f>($N55)*(IF($D55="L",$E55,0)+IF($F55="L",$G55,0))</x:f>
      </x:c>
      <x:c r="X55">
        <x:f>($N55)*(IF($D55="H",$E55,0)+IF($F55="H",$G55,0))</x:f>
      </x:c>
      <x:c r="Y55">
        <x:f>($N55)*(IF($D55="V",$E55,0)+IF($F55="V",$G55,0))</x:f>
      </x:c>
      <x:c r="Z55">
        <x:f>($N55)*(IF($D55="R",$E55,0)+IF($F55="R",$G55,0))</x:f>
      </x:c>
      <x:c r="AA55">
        <x:f>($N55)*(IF($D55="F",$E55,0)+IF($F55="F",$G55,0))</x:f>
      </x:c>
      <x:c r="AB55">
        <x:f>($N55)*(IF($D55="W",$E55,0)+IF($F55="W",$G55,0))</x:f>
      </x:c>
    </x:row>
    <x:row r="56" ht="40" customHeight="1">
      <x:c r="A56" t="inlineStr">
        <x:is>
          <x:t xml:space="preserve">HR-D3-Q11</x:t>
        </x:is>
      </x:c>
      <x:c r="B56" t="inlineStr">
        <x:is>
          <x:t xml:space="preserve">T2</x:t>
        </x:is>
      </x:c>
      <x:c r="C56" t="inlineStr">
        <x:is>
          <x:t xml:space="preserve">3. Manager Capability &amp; Culture</x:t>
        </x:is>
      </x:c>
      <x:c r="D56" t="inlineStr">
        <x:is>
          <x:t xml:space="preserve">H</x:t>
        </x:is>
      </x:c>
      <x:c r="E56" t="n">
        <x:v>1</x:v>
      </x:c>
      <x:c r="F56" t="inlineStr">
        <x:is>
          <x:t xml:space="preserve">-</x:t>
        </x:is>
      </x:c>
      <x:c r="G56" t="inlineStr">
        <x:is>
          <x:t xml:space="preserve"/>
        </x:is>
      </x:c>
      <x:c r="H56" s="2" t="inlineStr">
        <x:is>
          <x:t xml:space="preserve">Do you measure speak-up / trust / psychological safety and act on results?</x:t>
        </x:is>
      </x:c>
      <x:c r="I56" t="inlineStr">
        <x:is>
          <x:t xml:space="preserve">Measurement without action is not mature.</x:t>
        </x:is>
      </x:c>
      <x:c r="J56" t="inlineStr">
        <x:is>
          <x:t xml:space="preserve">Drill-down</x:t>
        </x:is>
      </x:c>
      <x:c r="K56" t="inlineStr">
        <x:is>
          <x:t xml:space="preserve">CULT_SOFT</x:t>
        </x:is>
      </x:c>
      <x:c r="L56" t="inlineStr">
        <x:is>
          <x:t xml:space="preserve">HR-D3-Q11-A5</x:t>
        </x:is>
      </x:c>
      <x:c r="M56" s="2" t="inlineStr">
        <x:is>
          <x:t xml:space="preserve">Optimized: metrics tied to leadership objectives and continuous improvement.</x:t>
        </x:is>
      </x:c>
      <x:c r="N56" t="n">
        <x:v>4</x:v>
      </x:c>
      <x:c r="O56" t="inlineStr">
        <x:is>
          <x:t xml:space="preserve"/>
        </x:is>
      </x:c>
      <x:c r="P56" t="inlineStr">
        <x:is>
          <x:t xml:space="preserve">Culture Risk</x:t>
        </x:is>
      </x:c>
      <x:c r="Q56" t="inlineStr">
        <x:is>
          <x:t xml:space="preserve">Maintain maturity</x:t>
        </x:is>
      </x:c>
      <x:c r="R56" t="inlineStr">
        <x:is>
          <x:t xml:space="preserve">N</x:t>
        </x:is>
      </x:c>
      <x:c r="S56" s="2" t="inlineStr">
        <x:is>
          <x:t xml:space="preserve">Evidence: KPI trends.</x:t>
        </x:is>
      </x:c>
      <x:c r="T56">
        <x:f>($N56)*(IF($D56="G",$E56,0)+IF($F56="G",$G56,0))</x:f>
      </x:c>
      <x:c r="U56">
        <x:f>($N56)*(IF($D56="E",$E56,0)+IF($F56="E",$G56,0))</x:f>
      </x:c>
      <x:c r="V56">
        <x:f>($N56)*(IF($D56="T",$E56,0)+IF($F56="T",$G56,0))</x:f>
      </x:c>
      <x:c r="W56">
        <x:f>($N56)*(IF($D56="L",$E56,0)+IF($F56="L",$G56,0))</x:f>
      </x:c>
      <x:c r="X56">
        <x:f>($N56)*(IF($D56="H",$E56,0)+IF($F56="H",$G56,0))</x:f>
      </x:c>
      <x:c r="Y56">
        <x:f>($N56)*(IF($D56="V",$E56,0)+IF($F56="V",$G56,0))</x:f>
      </x:c>
      <x:c r="Z56">
        <x:f>($N56)*(IF($D56="R",$E56,0)+IF($F56="R",$G56,0))</x:f>
      </x:c>
      <x:c r="AA56">
        <x:f>($N56)*(IF($D56="F",$E56,0)+IF($F56="F",$G56,0))</x:f>
      </x:c>
      <x:c r="AB56">
        <x:f>($N56)*(IF($D56="W",$E56,0)+IF($F56="W",$G56,0))</x:f>
      </x:c>
    </x:row>
    <x:row r="57" ht="40" customHeight="1">
      <x:c r="A57" t="inlineStr">
        <x:is>
          <x:t xml:space="preserve">HR-D3-Q12</x:t>
        </x:is>
      </x:c>
      <x:c r="B57" t="inlineStr">
        <x:is>
          <x:t xml:space="preserve">T3</x:t>
        </x:is>
      </x:c>
      <x:c r="C57" t="inlineStr">
        <x:is>
          <x:t xml:space="preserve">3. Manager Capability &amp; Culture</x:t>
        </x:is>
      </x:c>
      <x:c r="D57" t="inlineStr">
        <x:is>
          <x:t xml:space="preserve">H</x:t>
        </x:is>
      </x:c>
      <x:c r="E57" t="n">
        <x:v>0.7</x:v>
      </x:c>
      <x:c r="F57" t="inlineStr">
        <x:is>
          <x:t xml:space="preserve">F</x:t>
        </x:is>
      </x:c>
      <x:c r="G57" t="n">
        <x:v>0.3</x:v>
      </x:c>
      <x:c r="H57" s="2" t="inlineStr">
        <x:is>
          <x:t xml:space="preserve">How is positive, risk-reducing behavior reinforced (e.g., reporting near-misses, using approved tools) without creating fear or blame?</x:t>
        </x:is>
      </x:c>
      <x:c r="I57" t="inlineStr">
        <x:is>
          <x:t xml:space="preserve">Recognition + learning loops; avoid name-and-shame.</x:t>
        </x:is>
      </x:c>
      <x:c r="J57" t="inlineStr">
        <x:is>
          <x:t xml:space="preserve">Business-proofing</x:t>
        </x:is>
      </x:c>
      <x:c r="K57" t="inlineStr">
        <x:is>
          <x:t xml:space="preserve">CULT_SOFT</x:t>
        </x:is>
      </x:c>
      <x:c r="L57" t="inlineStr">
        <x:is>
          <x:t xml:space="preserve">HR-D3-Q12-A1</x:t>
        </x:is>
      </x:c>
      <x:c r="M57" s="2" t="inlineStr">
        <x:is>
          <x:t xml:space="preserve">Punitive: only bad behavior highlighted; people avoid reporting.</x:t>
        </x:is>
      </x:c>
      <x:c r="N57" t="n">
        <x:v>0</x:v>
      </x:c>
      <x:c r="O57" t="inlineStr">
        <x:is>
          <x:t xml:space="preserve">toxic_enforcer_signal,culture_risk</x:t>
        </x:is>
      </x:c>
      <x:c r="P57" t="inlineStr">
        <x:is>
          <x:t xml:space="preserve">Culture Risk</x:t>
        </x:is>
      </x:c>
      <x:c r="Q57" t="inlineStr">
        <x:is>
          <x:t xml:space="preserve">Shift to positive reinforcement</x:t>
        </x:is>
      </x:c>
      <x:c r="R57" t="inlineStr">
        <x:is>
          <x:t xml:space="preserve">N</x:t>
        </x:is>
      </x:c>
      <x:c r="S57" s="2" t="inlineStr">
        <x:is>
          <x:t xml:space="preserve"/>
        </x:is>
      </x:c>
      <x:c r="T57">
        <x:f>($N57)*(IF($D57="G",$E57,0)+IF($F57="G",$G57,0))</x:f>
      </x:c>
      <x:c r="U57">
        <x:f>($N57)*(IF($D57="E",$E57,0)+IF($F57="E",$G57,0))</x:f>
      </x:c>
      <x:c r="V57">
        <x:f>($N57)*(IF($D57="T",$E57,0)+IF($F57="T",$G57,0))</x:f>
      </x:c>
      <x:c r="W57">
        <x:f>($N57)*(IF($D57="L",$E57,0)+IF($F57="L",$G57,0))</x:f>
      </x:c>
      <x:c r="X57">
        <x:f>($N57)*(IF($D57="H",$E57,0)+IF($F57="H",$G57,0))</x:f>
      </x:c>
      <x:c r="Y57">
        <x:f>($N57)*(IF($D57="V",$E57,0)+IF($F57="V",$G57,0))</x:f>
      </x:c>
      <x:c r="Z57">
        <x:f>($N57)*(IF($D57="R",$E57,0)+IF($F57="R",$G57,0))</x:f>
      </x:c>
      <x:c r="AA57">
        <x:f>($N57)*(IF($D57="F",$E57,0)+IF($F57="F",$G57,0))</x:f>
      </x:c>
      <x:c r="AB57">
        <x:f>($N57)*(IF($D57="W",$E57,0)+IF($F57="W",$G57,0))</x:f>
      </x:c>
    </x:row>
    <x:row r="58" ht="40" customHeight="1">
      <x:c r="A58" t="inlineStr">
        <x:is>
          <x:t xml:space="preserve">HR-D3-Q12</x:t>
        </x:is>
      </x:c>
      <x:c r="B58" t="inlineStr">
        <x:is>
          <x:t xml:space="preserve">T3</x:t>
        </x:is>
      </x:c>
      <x:c r="C58" t="inlineStr">
        <x:is>
          <x:t xml:space="preserve">3. Manager Capability &amp; Culture</x:t>
        </x:is>
      </x:c>
      <x:c r="D58" t="inlineStr">
        <x:is>
          <x:t xml:space="preserve">H</x:t>
        </x:is>
      </x:c>
      <x:c r="E58" t="n">
        <x:v>0.7</x:v>
      </x:c>
      <x:c r="F58" t="inlineStr">
        <x:is>
          <x:t xml:space="preserve">F</x:t>
        </x:is>
      </x:c>
      <x:c r="G58" t="n">
        <x:v>0.3</x:v>
      </x:c>
      <x:c r="H58" s="2" t="inlineStr">
        <x:is>
          <x:t xml:space="preserve">How is positive, risk-reducing behavior reinforced (e.g., reporting near-misses, using approved tools) without creating fear or blame?</x:t>
        </x:is>
      </x:c>
      <x:c r="I58" t="inlineStr">
        <x:is>
          <x:t xml:space="preserve">Recognition + learning loops; avoid name-and-shame.</x:t>
        </x:is>
      </x:c>
      <x:c r="J58" t="inlineStr">
        <x:is>
          <x:t xml:space="preserve">Business-proofing</x:t>
        </x:is>
      </x:c>
      <x:c r="K58" t="inlineStr">
        <x:is>
          <x:t xml:space="preserve">CULT_SOFT</x:t>
        </x:is>
      </x:c>
      <x:c r="L58" t="inlineStr">
        <x:is>
          <x:t xml:space="preserve">HR-D3-Q12-A2</x:t>
        </x:is>
      </x:c>
      <x:c r="M58" s="2" t="inlineStr">
        <x:is>
          <x:t xml:space="preserve">Informal thanks by managers; no consistent approach.</x:t>
        </x:is>
      </x:c>
      <x:c r="N58" t="n">
        <x:v>1</x:v>
      </x:c>
      <x:c r="O58" t="inlineStr">
        <x:is>
          <x:t xml:space="preserve">key_person_dependency</x:t>
        </x:is>
      </x:c>
      <x:c r="P58" t="inlineStr">
        <x:is>
          <x:t xml:space="preserve">Culture Risk</x:t>
        </x:is>
      </x:c>
      <x:c r="Q58" t="inlineStr">
        <x:is>
          <x:t xml:space="preserve">Create lightweight recognition</x:t>
        </x:is>
      </x:c>
      <x:c r="R58" t="inlineStr">
        <x:is>
          <x:t xml:space="preserve">N</x:t>
        </x:is>
      </x:c>
      <x:c r="S58" s="2" t="inlineStr">
        <x:is>
          <x:t xml:space="preserve"/>
        </x:is>
      </x:c>
      <x:c r="T58">
        <x:f>($N58)*(IF($D58="G",$E58,0)+IF($F58="G",$G58,0))</x:f>
      </x:c>
      <x:c r="U58">
        <x:f>($N58)*(IF($D58="E",$E58,0)+IF($F58="E",$G58,0))</x:f>
      </x:c>
      <x:c r="V58">
        <x:f>($N58)*(IF($D58="T",$E58,0)+IF($F58="T",$G58,0))</x:f>
      </x:c>
      <x:c r="W58">
        <x:f>($N58)*(IF($D58="L",$E58,0)+IF($F58="L",$G58,0))</x:f>
      </x:c>
      <x:c r="X58">
        <x:f>($N58)*(IF($D58="H",$E58,0)+IF($F58="H",$G58,0))</x:f>
      </x:c>
      <x:c r="Y58">
        <x:f>($N58)*(IF($D58="V",$E58,0)+IF($F58="V",$G58,0))</x:f>
      </x:c>
      <x:c r="Z58">
        <x:f>($N58)*(IF($D58="R",$E58,0)+IF($F58="R",$G58,0))</x:f>
      </x:c>
      <x:c r="AA58">
        <x:f>($N58)*(IF($D58="F",$E58,0)+IF($F58="F",$G58,0))</x:f>
      </x:c>
      <x:c r="AB58">
        <x:f>($N58)*(IF($D58="W",$E58,0)+IF($F58="W",$G58,0))</x:f>
      </x:c>
    </x:row>
    <x:row r="59" ht="40" customHeight="1">
      <x:c r="A59" t="inlineStr">
        <x:is>
          <x:t xml:space="preserve">HR-D3-Q12</x:t>
        </x:is>
      </x:c>
      <x:c r="B59" t="inlineStr">
        <x:is>
          <x:t xml:space="preserve">T3</x:t>
        </x:is>
      </x:c>
      <x:c r="C59" t="inlineStr">
        <x:is>
          <x:t xml:space="preserve">3. Manager Capability &amp; Culture</x:t>
        </x:is>
      </x:c>
      <x:c r="D59" t="inlineStr">
        <x:is>
          <x:t xml:space="preserve">H</x:t>
        </x:is>
      </x:c>
      <x:c r="E59" t="n">
        <x:v>0.7</x:v>
      </x:c>
      <x:c r="F59" t="inlineStr">
        <x:is>
          <x:t xml:space="preserve">F</x:t>
        </x:is>
      </x:c>
      <x:c r="G59" t="n">
        <x:v>0.3</x:v>
      </x:c>
      <x:c r="H59" s="2" t="inlineStr">
        <x:is>
          <x:t xml:space="preserve">How is positive, risk-reducing behavior reinforced (e.g., reporting near-misses, using approved tools) without creating fear or blame?</x:t>
        </x:is>
      </x:c>
      <x:c r="I59" t="inlineStr">
        <x:is>
          <x:t xml:space="preserve">Recognition + learning loops; avoid name-and-shame.</x:t>
        </x:is>
      </x:c>
      <x:c r="J59" t="inlineStr">
        <x:is>
          <x:t xml:space="preserve">Business-proofing</x:t>
        </x:is>
      </x:c>
      <x:c r="K59" t="inlineStr">
        <x:is>
          <x:t xml:space="preserve">CULT_SOFT</x:t>
        </x:is>
      </x:c>
      <x:c r="L59" t="inlineStr">
        <x:is>
          <x:t xml:space="preserve">HR-D3-Q12-A3</x:t>
        </x:is>
      </x:c>
      <x:c r="M59" s="2" t="inlineStr">
        <x:is>
          <x:t xml:space="preserve">Campaigns exist but limited ongoing reinforcement.</x:t>
        </x:is>
      </x:c>
      <x:c r="N59" t="n">
        <x:v>2</x:v>
      </x:c>
      <x:c r="O59" t="inlineStr">
        <x:is>
          <x:t xml:space="preserve">paper_dragon_signal</x:t>
        </x:is>
      </x:c>
      <x:c r="P59" t="inlineStr">
        <x:is>
          <x:t xml:space="preserve">Paper Dragon</x:t>
        </x:is>
      </x:c>
      <x:c r="Q59" t="inlineStr">
        <x:is>
          <x:t xml:space="preserve">Build continuous reinforcement</x:t>
        </x:is>
      </x:c>
      <x:c r="R59" t="inlineStr">
        <x:is>
          <x:t xml:space="preserve">N</x:t>
        </x:is>
      </x:c>
      <x:c r="S59" s="2" t="inlineStr">
        <x:is>
          <x:t xml:space="preserve"/>
        </x:is>
      </x:c>
      <x:c r="T59">
        <x:f>($N59)*(IF($D59="G",$E59,0)+IF($F59="G",$G59,0))</x:f>
      </x:c>
      <x:c r="U59">
        <x:f>($N59)*(IF($D59="E",$E59,0)+IF($F59="E",$G59,0))</x:f>
      </x:c>
      <x:c r="V59">
        <x:f>($N59)*(IF($D59="T",$E59,0)+IF($F59="T",$G59,0))</x:f>
      </x:c>
      <x:c r="W59">
        <x:f>($N59)*(IF($D59="L",$E59,0)+IF($F59="L",$G59,0))</x:f>
      </x:c>
      <x:c r="X59">
        <x:f>($N59)*(IF($D59="H",$E59,0)+IF($F59="H",$G59,0))</x:f>
      </x:c>
      <x:c r="Y59">
        <x:f>($N59)*(IF($D59="V",$E59,0)+IF($F59="V",$G59,0))</x:f>
      </x:c>
      <x:c r="Z59">
        <x:f>($N59)*(IF($D59="R",$E59,0)+IF($F59="R",$G59,0))</x:f>
      </x:c>
      <x:c r="AA59">
        <x:f>($N59)*(IF($D59="F",$E59,0)+IF($F59="F",$G59,0))</x:f>
      </x:c>
      <x:c r="AB59">
        <x:f>($N59)*(IF($D59="W",$E59,0)+IF($F59="W",$G59,0))</x:f>
      </x:c>
    </x:row>
    <x:row r="60" ht="40" customHeight="1">
      <x:c r="A60" t="inlineStr">
        <x:is>
          <x:t xml:space="preserve">HR-D3-Q12</x:t>
        </x:is>
      </x:c>
      <x:c r="B60" t="inlineStr">
        <x:is>
          <x:t xml:space="preserve">T3</x:t>
        </x:is>
      </x:c>
      <x:c r="C60" t="inlineStr">
        <x:is>
          <x:t xml:space="preserve">3. Manager Capability &amp; Culture</x:t>
        </x:is>
      </x:c>
      <x:c r="D60" t="inlineStr">
        <x:is>
          <x:t xml:space="preserve">H</x:t>
        </x:is>
      </x:c>
      <x:c r="E60" t="n">
        <x:v>0.7</x:v>
      </x:c>
      <x:c r="F60" t="inlineStr">
        <x:is>
          <x:t xml:space="preserve">F</x:t>
        </x:is>
      </x:c>
      <x:c r="G60" t="n">
        <x:v>0.3</x:v>
      </x:c>
      <x:c r="H60" s="2" t="inlineStr">
        <x:is>
          <x:t xml:space="preserve">How is positive, risk-reducing behavior reinforced (e.g., reporting near-misses, using approved tools) without creating fear or blame?</x:t>
        </x:is>
      </x:c>
      <x:c r="I60" t="inlineStr">
        <x:is>
          <x:t xml:space="preserve">Recognition + learning loops; avoid name-and-shame.</x:t>
        </x:is>
      </x:c>
      <x:c r="J60" t="inlineStr">
        <x:is>
          <x:t xml:space="preserve">Business-proofing</x:t>
        </x:is>
      </x:c>
      <x:c r="K60" t="inlineStr">
        <x:is>
          <x:t xml:space="preserve">CULT_SOFT</x:t>
        </x:is>
      </x:c>
      <x:c r="L60" t="inlineStr">
        <x:is>
          <x:t xml:space="preserve">HR-D3-Q12-A4</x:t>
        </x:is>
      </x:c>
      <x:c r="M60" s="2" t="inlineStr">
        <x:is>
          <x:t xml:space="preserve">Formal recognition for reporting concerns/near-misses; lessons shared.</x:t>
        </x:is>
      </x:c>
      <x:c r="N60" t="n">
        <x:v>3</x:v>
      </x:c>
      <x:c r="O60" t="inlineStr">
        <x:is>
          <x:t xml:space="preserve"/>
        </x:is>
      </x:c>
      <x:c r="P60" t="inlineStr">
        <x:is>
          <x:t xml:space="preserve">Culture Risk</x:t>
        </x:is>
      </x:c>
      <x:c r="Q60" t="inlineStr">
        <x:is>
          <x:t xml:space="preserve">Maintain and measure</x:t>
        </x:is>
      </x:c>
      <x:c r="R60" t="inlineStr">
        <x:is>
          <x:t xml:space="preserve">N</x:t>
        </x:is>
      </x:c>
      <x:c r="S60" s="2" t="inlineStr">
        <x:is>
          <x:t xml:space="preserve">Evidence: comms examples.</x:t>
        </x:is>
      </x:c>
      <x:c r="T60">
        <x:f>($N60)*(IF($D60="G",$E60,0)+IF($F60="G",$G60,0))</x:f>
      </x:c>
      <x:c r="U60">
        <x:f>($N60)*(IF($D60="E",$E60,0)+IF($F60="E",$G60,0))</x:f>
      </x:c>
      <x:c r="V60">
        <x:f>($N60)*(IF($D60="T",$E60,0)+IF($F60="T",$G60,0))</x:f>
      </x:c>
      <x:c r="W60">
        <x:f>($N60)*(IF($D60="L",$E60,0)+IF($F60="L",$G60,0))</x:f>
      </x:c>
      <x:c r="X60">
        <x:f>($N60)*(IF($D60="H",$E60,0)+IF($F60="H",$G60,0))</x:f>
      </x:c>
      <x:c r="Y60">
        <x:f>($N60)*(IF($D60="V",$E60,0)+IF($F60="V",$G60,0))</x:f>
      </x:c>
      <x:c r="Z60">
        <x:f>($N60)*(IF($D60="R",$E60,0)+IF($F60="R",$G60,0))</x:f>
      </x:c>
      <x:c r="AA60">
        <x:f>($N60)*(IF($D60="F",$E60,0)+IF($F60="F",$G60,0))</x:f>
      </x:c>
      <x:c r="AB60">
        <x:f>($N60)*(IF($D60="W",$E60,0)+IF($F60="W",$G60,0))</x:f>
      </x:c>
    </x:row>
    <x:row r="61" ht="40" customHeight="1">
      <x:c r="A61" t="inlineStr">
        <x:is>
          <x:t xml:space="preserve">HR-D3-Q12</x:t>
        </x:is>
      </x:c>
      <x:c r="B61" t="inlineStr">
        <x:is>
          <x:t xml:space="preserve">T3</x:t>
        </x:is>
      </x:c>
      <x:c r="C61" t="inlineStr">
        <x:is>
          <x:t xml:space="preserve">3. Manager Capability &amp; Culture</x:t>
        </x:is>
      </x:c>
      <x:c r="D61" t="inlineStr">
        <x:is>
          <x:t xml:space="preserve">H</x:t>
        </x:is>
      </x:c>
      <x:c r="E61" t="n">
        <x:v>0.7</x:v>
      </x:c>
      <x:c r="F61" t="inlineStr">
        <x:is>
          <x:t xml:space="preserve">F</x:t>
        </x:is>
      </x:c>
      <x:c r="G61" t="n">
        <x:v>0.3</x:v>
      </x:c>
      <x:c r="H61" s="2" t="inlineStr">
        <x:is>
          <x:t xml:space="preserve">How is positive, risk-reducing behavior reinforced (e.g., reporting near-misses, using approved tools) without creating fear or blame?</x:t>
        </x:is>
      </x:c>
      <x:c r="I61" t="inlineStr">
        <x:is>
          <x:t xml:space="preserve">Recognition + learning loops; avoid name-and-shame.</x:t>
        </x:is>
      </x:c>
      <x:c r="J61" t="inlineStr">
        <x:is>
          <x:t xml:space="preserve">Business-proofing</x:t>
        </x:is>
      </x:c>
      <x:c r="K61" t="inlineStr">
        <x:is>
          <x:t xml:space="preserve">CULT_SOFT</x:t>
        </x:is>
      </x:c>
      <x:c r="L61" t="inlineStr">
        <x:is>
          <x:t xml:space="preserve">HR-D3-Q12-A5</x:t>
        </x:is>
      </x:c>
      <x:c r="M61" s="2" t="inlineStr">
        <x:is>
          <x:t xml:space="preserve">Mutual accountability; reporting is normal and psychologically safe.</x:t>
        </x:is>
      </x:c>
      <x:c r="N61" t="n">
        <x:v>4</x:v>
      </x:c>
      <x:c r="O61" t="inlineStr">
        <x:is>
          <x:t xml:space="preserve"/>
        </x:is>
      </x:c>
      <x:c r="P61" t="inlineStr">
        <x:is>
          <x:t xml:space="preserve">Culture Risk</x:t>
        </x:is>
      </x:c>
      <x:c r="Q61" t="inlineStr">
        <x:is>
          <x:t xml:space="preserve">Maintain maturity</x:t>
        </x:is>
      </x:c>
      <x:c r="R61" t="inlineStr">
        <x:is>
          <x:t xml:space="preserve">N</x:t>
        </x:is>
      </x:c>
      <x:c r="S61" s="2" t="inlineStr">
        <x:is>
          <x:t xml:space="preserve">Evidence: survey + reporting trends.</x:t>
        </x:is>
      </x:c>
      <x:c r="T61">
        <x:f>($N61)*(IF($D61="G",$E61,0)+IF($F61="G",$G61,0))</x:f>
      </x:c>
      <x:c r="U61">
        <x:f>($N61)*(IF($D61="E",$E61,0)+IF($F61="E",$G61,0))</x:f>
      </x:c>
      <x:c r="V61">
        <x:f>($N61)*(IF($D61="T",$E61,0)+IF($F61="T",$G61,0))</x:f>
      </x:c>
      <x:c r="W61">
        <x:f>($N61)*(IF($D61="L",$E61,0)+IF($F61="L",$G61,0))</x:f>
      </x:c>
      <x:c r="X61">
        <x:f>($N61)*(IF($D61="H",$E61,0)+IF($F61="H",$G61,0))</x:f>
      </x:c>
      <x:c r="Y61">
        <x:f>($N61)*(IF($D61="V",$E61,0)+IF($F61="V",$G61,0))</x:f>
      </x:c>
      <x:c r="Z61">
        <x:f>($N61)*(IF($D61="R",$E61,0)+IF($F61="R",$G61,0))</x:f>
      </x:c>
      <x:c r="AA61">
        <x:f>($N61)*(IF($D61="F",$E61,0)+IF($F61="F",$G61,0))</x:f>
      </x:c>
      <x:c r="AB61">
        <x:f>($N61)*(IF($D61="W",$E61,0)+IF($F61="W",$G61,0))</x:f>
      </x:c>
    </x:row>
    <x:row r="62" ht="40" customHeight="1">
      <x:c r="A62" t="inlineStr">
        <x:is>
          <x:t xml:space="preserve">HR-D4-Q13</x:t>
        </x:is>
      </x:c>
      <x:c r="B62" t="inlineStr">
        <x:is>
          <x:t xml:space="preserve">T1</x:t>
        </x:is>
      </x:c>
      <x:c r="C62" t="inlineStr">
        <x:is>
          <x:t xml:space="preserve">4. Joiner-Mover-Leaver</x:t>
        </x:is>
      </x:c>
      <x:c r="D62" t="inlineStr">
        <x:is>
          <x:t xml:space="preserve">E</x:t>
        </x:is>
      </x:c>
      <x:c r="E62" t="n">
        <x:v>0.8</x:v>
      </x:c>
      <x:c r="F62" t="inlineStr">
        <x:is>
          <x:t xml:space="preserve">R</x:t>
        </x:is>
      </x:c>
      <x:c r="G62" t="n">
        <x:v>0.2</x:v>
      </x:c>
      <x:c r="H62" s="2" t="inlineStr">
        <x:is>
          <x:t xml:space="preserve">How reliably are joiner/mover/leaver changes coordinated with IT/IAM so access is granted/changed/removed on time?</x:t>
        </x:is>
      </x:c>
      <x:c r="I62" t="inlineStr">
        <x:is>
          <x:t xml:space="preserve">Includes employees and contractors.</x:t>
        </x:is>
      </x:c>
      <x:c r="J62" t="inlineStr">
        <x:is>
          <x:t xml:space="preserve">Gatekeeper (If BaseScore &lt;2 → HR-D4-Q14; If ≥2 → HR-D4-Q15)</x:t>
        </x:is>
      </x:c>
      <x:c r="K62" t="inlineStr">
        <x:is>
          <x:t xml:space="preserve">OPS_STD</x:t>
        </x:is>
      </x:c>
      <x:c r="L62" t="inlineStr">
        <x:is>
          <x:t xml:space="preserve">HR-D4-Q13-A0</x:t>
        </x:is>
      </x:c>
      <x:c r="M62" s="2" t="inlineStr">
        <x:is>
          <x:t xml:space="preserve">I don't know / Not sure.</x:t>
        </x:is>
      </x:c>
      <x:c r="N62" t="n">
        <x:v>0</x:v>
      </x:c>
      <x:c r="O62" t="inlineStr">
        <x:is>
          <x:t xml:space="preserve">low-confidence</x:t>
        </x:is>
      </x:c>
      <x:c r="P62" t="inlineStr">
        <x:is>
          <x:t xml:space="preserve">Operating Model Gap</x:t>
        </x:is>
      </x:c>
      <x:c r="Q62" t="inlineStr">
        <x:is>
          <x:t xml:space="preserve">Clarify JML process</x:t>
        </x:is>
      </x:c>
      <x:c r="R62" t="inlineStr">
        <x:is>
          <x:t xml:space="preserve">N</x:t>
        </x:is>
      </x:c>
      <x:c r="S62" s="2" t="inlineStr">
        <x:is>
          <x:t xml:space="preserve"/>
        </x:is>
      </x:c>
      <x:c r="T62">
        <x:f>($N62)*(IF($D62="G",$E62,0)+IF($F62="G",$G62,0))</x:f>
      </x:c>
      <x:c r="U62">
        <x:f>($N62)*(IF($D62="E",$E62,0)+IF($F62="E",$G62,0))</x:f>
      </x:c>
      <x:c r="V62">
        <x:f>($N62)*(IF($D62="T",$E62,0)+IF($F62="T",$G62,0))</x:f>
      </x:c>
      <x:c r="W62">
        <x:f>($N62)*(IF($D62="L",$E62,0)+IF($F62="L",$G62,0))</x:f>
      </x:c>
      <x:c r="X62">
        <x:f>($N62)*(IF($D62="H",$E62,0)+IF($F62="H",$G62,0))</x:f>
      </x:c>
      <x:c r="Y62">
        <x:f>($N62)*(IF($D62="V",$E62,0)+IF($F62="V",$G62,0))</x:f>
      </x:c>
      <x:c r="Z62">
        <x:f>($N62)*(IF($D62="R",$E62,0)+IF($F62="R",$G62,0))</x:f>
      </x:c>
      <x:c r="AA62">
        <x:f>($N62)*(IF($D62="F",$E62,0)+IF($F62="F",$G62,0))</x:f>
      </x:c>
      <x:c r="AB62">
        <x:f>($N62)*(IF($D62="W",$E62,0)+IF($F62="W",$G62,0))</x:f>
      </x:c>
    </x:row>
    <x:row r="63" ht="40" customHeight="1">
      <x:c r="A63" t="inlineStr">
        <x:is>
          <x:t xml:space="preserve">HR-D4-Q13</x:t>
        </x:is>
      </x:c>
      <x:c r="B63" t="inlineStr">
        <x:is>
          <x:t xml:space="preserve">T1</x:t>
        </x:is>
      </x:c>
      <x:c r="C63" t="inlineStr">
        <x:is>
          <x:t xml:space="preserve">4. Joiner-Mover-Leaver</x:t>
        </x:is>
      </x:c>
      <x:c r="D63" t="inlineStr">
        <x:is>
          <x:t xml:space="preserve">E</x:t>
        </x:is>
      </x:c>
      <x:c r="E63" t="n">
        <x:v>0.8</x:v>
      </x:c>
      <x:c r="F63" t="inlineStr">
        <x:is>
          <x:t xml:space="preserve">R</x:t>
        </x:is>
      </x:c>
      <x:c r="G63" t="n">
        <x:v>0.2</x:v>
      </x:c>
      <x:c r="H63" s="2" t="inlineStr">
        <x:is>
          <x:t xml:space="preserve">How reliably are joiner/mover/leaver changes coordinated with IT/IAM so access is granted/changed/removed on time?</x:t>
        </x:is>
      </x:c>
      <x:c r="I63" t="inlineStr">
        <x:is>
          <x:t xml:space="preserve">Includes employees and contractors.</x:t>
        </x:is>
      </x:c>
      <x:c r="J63" t="inlineStr">
        <x:is>
          <x:t xml:space="preserve">Gatekeeper (If BaseScore &lt;2 → HR-D4-Q14; If ≥2 → HR-D4-Q15)</x:t>
        </x:is>
      </x:c>
      <x:c r="K63" t="inlineStr">
        <x:is>
          <x:t xml:space="preserve">OPS_STD</x:t>
        </x:is>
      </x:c>
      <x:c r="L63" t="inlineStr">
        <x:is>
          <x:t xml:space="preserve">HR-D4-Q13-A1</x:t>
        </x:is>
      </x:c>
      <x:c r="M63" s="2" t="inlineStr">
        <x:is>
          <x:t xml:space="preserve">Unreliable: access often stays too long or changes are missed.</x:t>
        </x:is>
      </x:c>
      <x:c r="N63" t="n">
        <x:v>0</x:v>
      </x:c>
      <x:c r="O63" t="inlineStr">
        <x:is>
          <x:t xml:space="preserve">control_lag,bypass_pressure</x:t>
        </x:is>
      </x:c>
      <x:c r="P63" t="inlineStr">
        <x:is>
          <x:t xml:space="preserve">Control Lag</x:t>
        </x:is>
      </x:c>
      <x:c r="Q63" t="inlineStr">
        <x:is>
          <x:t xml:space="preserve">Stabilize JML</x:t>
        </x:is>
      </x:c>
      <x:c r="R63" t="inlineStr">
        <x:is>
          <x:t xml:space="preserve">N</x:t>
        </x:is>
      </x:c>
      <x:c r="S63" s="2" t="inlineStr">
        <x:is>
          <x:t xml:space="preserve"/>
        </x:is>
      </x:c>
      <x:c r="T63">
        <x:f>($N63)*(IF($D63="G",$E63,0)+IF($F63="G",$G63,0))</x:f>
      </x:c>
      <x:c r="U63">
        <x:f>($N63)*(IF($D63="E",$E63,0)+IF($F63="E",$G63,0))</x:f>
      </x:c>
      <x:c r="V63">
        <x:f>($N63)*(IF($D63="T",$E63,0)+IF($F63="T",$G63,0))</x:f>
      </x:c>
      <x:c r="W63">
        <x:f>($N63)*(IF($D63="L",$E63,0)+IF($F63="L",$G63,0))</x:f>
      </x:c>
      <x:c r="X63">
        <x:f>($N63)*(IF($D63="H",$E63,0)+IF($F63="H",$G63,0))</x:f>
      </x:c>
      <x:c r="Y63">
        <x:f>($N63)*(IF($D63="V",$E63,0)+IF($F63="V",$G63,0))</x:f>
      </x:c>
      <x:c r="Z63">
        <x:f>($N63)*(IF($D63="R",$E63,0)+IF($F63="R",$G63,0))</x:f>
      </x:c>
      <x:c r="AA63">
        <x:f>($N63)*(IF($D63="F",$E63,0)+IF($F63="F",$G63,0))</x:f>
      </x:c>
      <x:c r="AB63">
        <x:f>($N63)*(IF($D63="W",$E63,0)+IF($F63="W",$G63,0))</x:f>
      </x:c>
    </x:row>
    <x:row r="64" ht="40" customHeight="1">
      <x:c r="A64" t="inlineStr">
        <x:is>
          <x:t xml:space="preserve">HR-D4-Q13</x:t>
        </x:is>
      </x:c>
      <x:c r="B64" t="inlineStr">
        <x:is>
          <x:t xml:space="preserve">T1</x:t>
        </x:is>
      </x:c>
      <x:c r="C64" t="inlineStr">
        <x:is>
          <x:t xml:space="preserve">4. Joiner-Mover-Leaver</x:t>
        </x:is>
      </x:c>
      <x:c r="D64" t="inlineStr">
        <x:is>
          <x:t xml:space="preserve">E</x:t>
        </x:is>
      </x:c>
      <x:c r="E64" t="n">
        <x:v>0.8</x:v>
      </x:c>
      <x:c r="F64" t="inlineStr">
        <x:is>
          <x:t xml:space="preserve">R</x:t>
        </x:is>
      </x:c>
      <x:c r="G64" t="n">
        <x:v>0.2</x:v>
      </x:c>
      <x:c r="H64" s="2" t="inlineStr">
        <x:is>
          <x:t xml:space="preserve">How reliably are joiner/mover/leaver changes coordinated with IT/IAM so access is granted/changed/removed on time?</x:t>
        </x:is>
      </x:c>
      <x:c r="I64" t="inlineStr">
        <x:is>
          <x:t xml:space="preserve">Includes employees and contractors.</x:t>
        </x:is>
      </x:c>
      <x:c r="J64" t="inlineStr">
        <x:is>
          <x:t xml:space="preserve">Gatekeeper (If BaseScore &lt;2 → HR-D4-Q14; If ≥2 → HR-D4-Q15)</x:t>
        </x:is>
      </x:c>
      <x:c r="K64" t="inlineStr">
        <x:is>
          <x:t xml:space="preserve">OPS_STD</x:t>
        </x:is>
      </x:c>
      <x:c r="L64" t="inlineStr">
        <x:is>
          <x:t xml:space="preserve">HR-D4-Q13-A2</x:t>
        </x:is>
      </x:c>
      <x:c r="M64" s="2" t="inlineStr">
        <x:is>
          <x:t xml:space="preserve">Basic: HR notifies IT by email/spreadsheet; timeliness varies.</x:t>
        </x:is>
      </x:c>
      <x:c r="N64" t="n">
        <x:v>1</x:v>
      </x:c>
      <x:c r="O64" t="inlineStr">
        <x:is>
          <x:t xml:space="preserve">shadow_mature_signal</x:t>
        </x:is>
      </x:c>
      <x:c r="P64" t="inlineStr">
        <x:is>
          <x:t xml:space="preserve">Operating Model Gap</x:t>
        </x:is>
      </x:c>
      <x:c r="Q64" t="inlineStr">
        <x:is>
          <x:t xml:space="preserve">Standardize and track</x:t>
        </x:is>
      </x:c>
      <x:c r="R64" t="inlineStr">
        <x:is>
          <x:t xml:space="preserve">N</x:t>
        </x:is>
      </x:c>
      <x:c r="S64" s="2" t="inlineStr">
        <x:is>
          <x:t xml:space="preserve"/>
        </x:is>
      </x:c>
      <x:c r="T64">
        <x:f>($N64)*(IF($D64="G",$E64,0)+IF($F64="G",$G64,0))</x:f>
      </x:c>
      <x:c r="U64">
        <x:f>($N64)*(IF($D64="E",$E64,0)+IF($F64="E",$G64,0))</x:f>
      </x:c>
      <x:c r="V64">
        <x:f>($N64)*(IF($D64="T",$E64,0)+IF($F64="T",$G64,0))</x:f>
      </x:c>
      <x:c r="W64">
        <x:f>($N64)*(IF($D64="L",$E64,0)+IF($F64="L",$G64,0))</x:f>
      </x:c>
      <x:c r="X64">
        <x:f>($N64)*(IF($D64="H",$E64,0)+IF($F64="H",$G64,0))</x:f>
      </x:c>
      <x:c r="Y64">
        <x:f>($N64)*(IF($D64="V",$E64,0)+IF($F64="V",$G64,0))</x:f>
      </x:c>
      <x:c r="Z64">
        <x:f>($N64)*(IF($D64="R",$E64,0)+IF($F64="R",$G64,0))</x:f>
      </x:c>
      <x:c r="AA64">
        <x:f>($N64)*(IF($D64="F",$E64,0)+IF($F64="F",$G64,0))</x:f>
      </x:c>
      <x:c r="AB64">
        <x:f>($N64)*(IF($D64="W",$E64,0)+IF($F64="W",$G64,0))</x:f>
      </x:c>
    </x:row>
    <x:row r="65" ht="40" customHeight="1">
      <x:c r="A65" t="inlineStr">
        <x:is>
          <x:t xml:space="preserve">HR-D4-Q13</x:t>
        </x:is>
      </x:c>
      <x:c r="B65" t="inlineStr">
        <x:is>
          <x:t xml:space="preserve">T1</x:t>
        </x:is>
      </x:c>
      <x:c r="C65" t="inlineStr">
        <x:is>
          <x:t xml:space="preserve">4. Joiner-Mover-Leaver</x:t>
        </x:is>
      </x:c>
      <x:c r="D65" t="inlineStr">
        <x:is>
          <x:t xml:space="preserve">E</x:t>
        </x:is>
      </x:c>
      <x:c r="E65" t="n">
        <x:v>0.8</x:v>
      </x:c>
      <x:c r="F65" t="inlineStr">
        <x:is>
          <x:t xml:space="preserve">R</x:t>
        </x:is>
      </x:c>
      <x:c r="G65" t="n">
        <x:v>0.2</x:v>
      </x:c>
      <x:c r="H65" s="2" t="inlineStr">
        <x:is>
          <x:t xml:space="preserve">How reliably are joiner/mover/leaver changes coordinated with IT/IAM so access is granted/changed/removed on time?</x:t>
        </x:is>
      </x:c>
      <x:c r="I65" t="inlineStr">
        <x:is>
          <x:t xml:space="preserve">Includes employees and contractors.</x:t>
        </x:is>
      </x:c>
      <x:c r="J65" t="inlineStr">
        <x:is>
          <x:t xml:space="preserve">Gatekeeper (If BaseScore &lt;2 → HR-D4-Q14; If ≥2 → HR-D4-Q15)</x:t>
        </x:is>
      </x:c>
      <x:c r="K65" t="inlineStr">
        <x:is>
          <x:t xml:space="preserve">OPS_STD</x:t>
        </x:is>
      </x:c>
      <x:c r="L65" t="inlineStr">
        <x:is>
          <x:t xml:space="preserve">HR-D4-Q13-A3</x:t>
        </x:is>
      </x:c>
      <x:c r="M65" s="2" t="inlineStr">
        <x:is>
          <x:t xml:space="preserve">Defined: standard forms/HRIS triggers; most changes processed within days.</x:t>
        </x:is>
      </x:c>
      <x:c r="N65" t="n">
        <x:v>2</x:v>
      </x:c>
      <x:c r="O65" t="inlineStr">
        <x:is>
          <x:t xml:space="preserve"/>
        </x:is>
      </x:c>
      <x:c r="P65" t="inlineStr">
        <x:is>
          <x:t xml:space="preserve">Operating Model Gap</x:t>
        </x:is>
      </x:c>
      <x:c r="Q65" t="inlineStr">
        <x:is>
          <x:t xml:space="preserve">Improve SLAs</x:t>
        </x:is>
      </x:c>
      <x:c r="R65" t="inlineStr">
        <x:is>
          <x:t xml:space="preserve">N</x:t>
        </x:is>
      </x:c>
      <x:c r="S65" s="2" t="inlineStr">
        <x:is>
          <x:t xml:space="preserve">Evidence: process or SLA.</x:t>
        </x:is>
      </x:c>
      <x:c r="T65">
        <x:f>($N65)*(IF($D65="G",$E65,0)+IF($F65="G",$G65,0))</x:f>
      </x:c>
      <x:c r="U65">
        <x:f>($N65)*(IF($D65="E",$E65,0)+IF($F65="E",$G65,0))</x:f>
      </x:c>
      <x:c r="V65">
        <x:f>($N65)*(IF($D65="T",$E65,0)+IF($F65="T",$G65,0))</x:f>
      </x:c>
      <x:c r="W65">
        <x:f>($N65)*(IF($D65="L",$E65,0)+IF($F65="L",$G65,0))</x:f>
      </x:c>
      <x:c r="X65">
        <x:f>($N65)*(IF($D65="H",$E65,0)+IF($F65="H",$G65,0))</x:f>
      </x:c>
      <x:c r="Y65">
        <x:f>($N65)*(IF($D65="V",$E65,0)+IF($F65="V",$G65,0))</x:f>
      </x:c>
      <x:c r="Z65">
        <x:f>($N65)*(IF($D65="R",$E65,0)+IF($F65="R",$G65,0))</x:f>
      </x:c>
      <x:c r="AA65">
        <x:f>($N65)*(IF($D65="F",$E65,0)+IF($F65="F",$G65,0))</x:f>
      </x:c>
      <x:c r="AB65">
        <x:f>($N65)*(IF($D65="W",$E65,0)+IF($F65="W",$G65,0))</x:f>
      </x:c>
    </x:row>
    <x:row r="66" ht="40" customHeight="1">
      <x:c r="A66" t="inlineStr">
        <x:is>
          <x:t xml:space="preserve">HR-D4-Q13</x:t>
        </x:is>
      </x:c>
      <x:c r="B66" t="inlineStr">
        <x:is>
          <x:t xml:space="preserve">T1</x:t>
        </x:is>
      </x:c>
      <x:c r="C66" t="inlineStr">
        <x:is>
          <x:t xml:space="preserve">4. Joiner-Mover-Leaver</x:t>
        </x:is>
      </x:c>
      <x:c r="D66" t="inlineStr">
        <x:is>
          <x:t xml:space="preserve">E</x:t>
        </x:is>
      </x:c>
      <x:c r="E66" t="n">
        <x:v>0.8</x:v>
      </x:c>
      <x:c r="F66" t="inlineStr">
        <x:is>
          <x:t xml:space="preserve">R</x:t>
        </x:is>
      </x:c>
      <x:c r="G66" t="n">
        <x:v>0.2</x:v>
      </x:c>
      <x:c r="H66" s="2" t="inlineStr">
        <x:is>
          <x:t xml:space="preserve">How reliably are joiner/mover/leaver changes coordinated with IT/IAM so access is granted/changed/removed on time?</x:t>
        </x:is>
      </x:c>
      <x:c r="I66" t="inlineStr">
        <x:is>
          <x:t xml:space="preserve">Includes employees and contractors.</x:t>
        </x:is>
      </x:c>
      <x:c r="J66" t="inlineStr">
        <x:is>
          <x:t xml:space="preserve">Gatekeeper (If BaseScore &lt;2 → HR-D4-Q14; If ≥2 → HR-D4-Q15)</x:t>
        </x:is>
      </x:c>
      <x:c r="K66" t="inlineStr">
        <x:is>
          <x:t xml:space="preserve">OPS_STD</x:t>
        </x:is>
      </x:c>
      <x:c r="L66" t="inlineStr">
        <x:is>
          <x:t xml:space="preserve">HR-D4-Q13-A4</x:t>
        </x:is>
      </x:c>
      <x:c r="M66" s="2" t="inlineStr">
        <x:is>
          <x:t xml:space="preserve">Managed: SLAs monitored; leaver removal time-bound and audited.</x:t>
        </x:is>
      </x:c>
      <x:c r="N66" t="n">
        <x:v>3</x:v>
      </x:c>
      <x:c r="O66" t="inlineStr">
        <x:is>
          <x:t xml:space="preserve"/>
        </x:is>
      </x:c>
      <x:c r="P66" t="inlineStr">
        <x:is>
          <x:t xml:space="preserve">Operating Model Gap</x:t>
        </x:is>
      </x:c>
      <x:c r="Q66" t="inlineStr">
        <x:is>
          <x:t xml:space="preserve">Maintain assurance</x:t>
        </x:is>
      </x:c>
      <x:c r="R66" t="inlineStr">
        <x:is>
          <x:t xml:space="preserve">N</x:t>
        </x:is>
      </x:c>
      <x:c r="S66" s="2" t="inlineStr">
        <x:is>
          <x:t xml:space="preserve">Evidence: audit sample.</x:t>
        </x:is>
      </x:c>
      <x:c r="T66">
        <x:f>($N66)*(IF($D66="G",$E66,0)+IF($F66="G",$G66,0))</x:f>
      </x:c>
      <x:c r="U66">
        <x:f>($N66)*(IF($D66="E",$E66,0)+IF($F66="E",$G66,0))</x:f>
      </x:c>
      <x:c r="V66">
        <x:f>($N66)*(IF($D66="T",$E66,0)+IF($F66="T",$G66,0))</x:f>
      </x:c>
      <x:c r="W66">
        <x:f>($N66)*(IF($D66="L",$E66,0)+IF($F66="L",$G66,0))</x:f>
      </x:c>
      <x:c r="X66">
        <x:f>($N66)*(IF($D66="H",$E66,0)+IF($F66="H",$G66,0))</x:f>
      </x:c>
      <x:c r="Y66">
        <x:f>($N66)*(IF($D66="V",$E66,0)+IF($F66="V",$G66,0))</x:f>
      </x:c>
      <x:c r="Z66">
        <x:f>($N66)*(IF($D66="R",$E66,0)+IF($F66="R",$G66,0))</x:f>
      </x:c>
      <x:c r="AA66">
        <x:f>($N66)*(IF($D66="F",$E66,0)+IF($F66="F",$G66,0))</x:f>
      </x:c>
      <x:c r="AB66">
        <x:f>($N66)*(IF($D66="W",$E66,0)+IF($F66="W",$G66,0))</x:f>
      </x:c>
    </x:row>
    <x:row r="67" ht="40" customHeight="1">
      <x:c r="A67" t="inlineStr">
        <x:is>
          <x:t xml:space="preserve">HR-D4-Q13</x:t>
        </x:is>
      </x:c>
      <x:c r="B67" t="inlineStr">
        <x:is>
          <x:t xml:space="preserve">T1</x:t>
        </x:is>
      </x:c>
      <x:c r="C67" t="inlineStr">
        <x:is>
          <x:t xml:space="preserve">4. Joiner-Mover-Leaver</x:t>
        </x:is>
      </x:c>
      <x:c r="D67" t="inlineStr">
        <x:is>
          <x:t xml:space="preserve">E</x:t>
        </x:is>
      </x:c>
      <x:c r="E67" t="n">
        <x:v>0.8</x:v>
      </x:c>
      <x:c r="F67" t="inlineStr">
        <x:is>
          <x:t xml:space="preserve">R</x:t>
        </x:is>
      </x:c>
      <x:c r="G67" t="n">
        <x:v>0.2</x:v>
      </x:c>
      <x:c r="H67" s="2" t="inlineStr">
        <x:is>
          <x:t xml:space="preserve">How reliably are joiner/mover/leaver changes coordinated with IT/IAM so access is granted/changed/removed on time?</x:t>
        </x:is>
      </x:c>
      <x:c r="I67" t="inlineStr">
        <x:is>
          <x:t xml:space="preserve">Includes employees and contractors.</x:t>
        </x:is>
      </x:c>
      <x:c r="J67" t="inlineStr">
        <x:is>
          <x:t xml:space="preserve">Gatekeeper (If BaseScore &lt;2 → HR-D4-Q14; If ≥2 → HR-D4-Q15)</x:t>
        </x:is>
      </x:c>
      <x:c r="K67" t="inlineStr">
        <x:is>
          <x:t xml:space="preserve">OPS_STD</x:t>
        </x:is>
      </x:c>
      <x:c r="L67" t="inlineStr">
        <x:is>
          <x:t xml:space="preserve">HR-D4-Q13-A5</x:t>
        </x:is>
      </x:c>
      <x:c r="M67" s="2" t="inlineStr">
        <x:is>
          <x:t xml:space="preserve">Optimized: near-real-time updates for critical roles; exceptions controlled.</x:t>
        </x:is>
      </x:c>
      <x:c r="N67" t="n">
        <x:v>4</x:v>
      </x:c>
      <x:c r="O67" t="inlineStr">
        <x:is>
          <x:t xml:space="preserve"/>
        </x:is>
      </x:c>
      <x:c r="P67" t="inlineStr">
        <x:is>
          <x:t xml:space="preserve">Operating Model Gap</x:t>
        </x:is>
      </x:c>
      <x:c r="Q67" t="inlineStr">
        <x:is>
          <x:t xml:space="preserve">Maintain maturity</x:t>
        </x:is>
      </x:c>
      <x:c r="R67" t="inlineStr">
        <x:is>
          <x:t xml:space="preserve">N</x:t>
        </x:is>
      </x:c>
      <x:c r="S67" s="2" t="inlineStr">
        <x:is>
          <x:t xml:space="preserve">Evidence: timeliness metrics.</x:t>
        </x:is>
      </x:c>
      <x:c r="T67">
        <x:f>($N67)*(IF($D67="G",$E67,0)+IF($F67="G",$G67,0))</x:f>
      </x:c>
      <x:c r="U67">
        <x:f>($N67)*(IF($D67="E",$E67,0)+IF($F67="E",$G67,0))</x:f>
      </x:c>
      <x:c r="V67">
        <x:f>($N67)*(IF($D67="T",$E67,0)+IF($F67="T",$G67,0))</x:f>
      </x:c>
      <x:c r="W67">
        <x:f>($N67)*(IF($D67="L",$E67,0)+IF($F67="L",$G67,0))</x:f>
      </x:c>
      <x:c r="X67">
        <x:f>($N67)*(IF($D67="H",$E67,0)+IF($F67="H",$G67,0))</x:f>
      </x:c>
      <x:c r="Y67">
        <x:f>($N67)*(IF($D67="V",$E67,0)+IF($F67="V",$G67,0))</x:f>
      </x:c>
      <x:c r="Z67">
        <x:f>($N67)*(IF($D67="R",$E67,0)+IF($F67="R",$G67,0))</x:f>
      </x:c>
      <x:c r="AA67">
        <x:f>($N67)*(IF($D67="F",$E67,0)+IF($F67="F",$G67,0))</x:f>
      </x:c>
      <x:c r="AB67">
        <x:f>($N67)*(IF($D67="W",$E67,0)+IF($F67="W",$G67,0))</x:f>
      </x:c>
    </x:row>
    <x:row r="68" ht="40" customHeight="1">
      <x:c r="A68" t="inlineStr">
        <x:is>
          <x:t xml:space="preserve">HR-D4-Q14</x:t>
        </x:is>
      </x:c>
      <x:c r="B68" t="inlineStr">
        <x:is>
          <x:t xml:space="preserve">T2</x:t>
        </x:is>
      </x:c>
      <x:c r="C68" t="inlineStr">
        <x:is>
          <x:t xml:space="preserve">4. Joiner-Mover-Leaver</x:t>
        </x:is>
      </x:c>
      <x:c r="D68" t="inlineStr">
        <x:is>
          <x:t xml:space="preserve">E</x:t>
        </x:is>
      </x:c>
      <x:c r="E68" t="n">
        <x:v>1</x:v>
      </x:c>
      <x:c r="F68" t="inlineStr">
        <x:is>
          <x:t xml:space="preserve">-</x:t>
        </x:is>
      </x:c>
      <x:c r="G68" t="inlineStr">
        <x:is>
          <x:t xml:space="preserve"/>
        </x:is>
      </x:c>
      <x:c r="H68" s="2" t="inlineStr">
        <x:is>
          <x:t xml:space="preserve">(Shadow probe) If the process is informal, how do you ensure leaver/role-change access is removed quickly in practice?</x:t>
        </x:is>
      </x:c>
      <x:c r="I68" t="inlineStr">
        <x:is>
          <x:t xml:space="preserve">Captures reality: who calls whom and typical time to remove access.</x:t>
        </x:is>
      </x:c>
      <x:c r="J68" t="inlineStr">
        <x:is>
          <x:t xml:space="preserve">Shadow fallback (Then → HR-D5-Q17)</x:t>
        </x:is>
      </x:c>
      <x:c r="K68" t="inlineStr">
        <x:is>
          <x:t xml:space="preserve">OPS_STD</x:t>
        </x:is>
      </x:c>
      <x:c r="L68" t="inlineStr">
        <x:is>
          <x:t xml:space="preserve">HR-D4-Q14-A1</x:t>
        </x:is>
      </x:c>
      <x:c r="M68" s="2" t="inlineStr">
        <x:is>
          <x:t xml:space="preserve">Not reliable; depends on someone noticing.</x:t>
        </x:is>
      </x:c>
      <x:c r="N68" t="n">
        <x:v>0</x:v>
      </x:c>
      <x:c r="O68" t="inlineStr">
        <x:is>
          <x:t xml:space="preserve">control_lag</x:t>
        </x:is>
      </x:c>
      <x:c r="P68" t="inlineStr">
        <x:is>
          <x:t xml:space="preserve">Control Lag</x:t>
        </x:is>
      </x:c>
      <x:c r="Q68" t="inlineStr">
        <x:is>
          <x:t xml:space="preserve">Implement leaver checklist</x:t>
        </x:is>
      </x:c>
      <x:c r="R68" t="inlineStr">
        <x:is>
          <x:t xml:space="preserve">N</x:t>
        </x:is>
      </x:c>
      <x:c r="S68" s="2" t="inlineStr">
        <x:is>
          <x:t xml:space="preserve"/>
        </x:is>
      </x:c>
      <x:c r="T68">
        <x:f>($N68)*(IF($D68="G",$E68,0)+IF($F68="G",$G68,0))</x:f>
      </x:c>
      <x:c r="U68">
        <x:f>($N68)*(IF($D68="E",$E68,0)+IF($F68="E",$G68,0))</x:f>
      </x:c>
      <x:c r="V68">
        <x:f>($N68)*(IF($D68="T",$E68,0)+IF($F68="T",$G68,0))</x:f>
      </x:c>
      <x:c r="W68">
        <x:f>($N68)*(IF($D68="L",$E68,0)+IF($F68="L",$G68,0))</x:f>
      </x:c>
      <x:c r="X68">
        <x:f>($N68)*(IF($D68="H",$E68,0)+IF($F68="H",$G68,0))</x:f>
      </x:c>
      <x:c r="Y68">
        <x:f>($N68)*(IF($D68="V",$E68,0)+IF($F68="V",$G68,0))</x:f>
      </x:c>
      <x:c r="Z68">
        <x:f>($N68)*(IF($D68="R",$E68,0)+IF($F68="R",$G68,0))</x:f>
      </x:c>
      <x:c r="AA68">
        <x:f>($N68)*(IF($D68="F",$E68,0)+IF($F68="F",$G68,0))</x:f>
      </x:c>
      <x:c r="AB68">
        <x:f>($N68)*(IF($D68="W",$E68,0)+IF($F68="W",$G68,0))</x:f>
      </x:c>
    </x:row>
    <x:row r="69" ht="40" customHeight="1">
      <x:c r="A69" t="inlineStr">
        <x:is>
          <x:t xml:space="preserve">HR-D4-Q14</x:t>
        </x:is>
      </x:c>
      <x:c r="B69" t="inlineStr">
        <x:is>
          <x:t xml:space="preserve">T2</x:t>
        </x:is>
      </x:c>
      <x:c r="C69" t="inlineStr">
        <x:is>
          <x:t xml:space="preserve">4. Joiner-Mover-Leaver</x:t>
        </x:is>
      </x:c>
      <x:c r="D69" t="inlineStr">
        <x:is>
          <x:t xml:space="preserve">E</x:t>
        </x:is>
      </x:c>
      <x:c r="E69" t="n">
        <x:v>1</x:v>
      </x:c>
      <x:c r="F69" t="inlineStr">
        <x:is>
          <x:t xml:space="preserve">-</x:t>
        </x:is>
      </x:c>
      <x:c r="G69" t="inlineStr">
        <x:is>
          <x:t xml:space="preserve"/>
        </x:is>
      </x:c>
      <x:c r="H69" s="2" t="inlineStr">
        <x:is>
          <x:t xml:space="preserve">(Shadow probe) If the process is informal, how do you ensure leaver/role-change access is removed quickly in practice?</x:t>
        </x:is>
      </x:c>
      <x:c r="I69" t="inlineStr">
        <x:is>
          <x:t xml:space="preserve">Captures reality: who calls whom and typical time to remove access.</x:t>
        </x:is>
      </x:c>
      <x:c r="J69" t="inlineStr">
        <x:is>
          <x:t xml:space="preserve">Shadow fallback (Then → HR-D5-Q17)</x:t>
        </x:is>
      </x:c>
      <x:c r="K69" t="inlineStr">
        <x:is>
          <x:t xml:space="preserve">OPS_STD</x:t>
        </x:is>
      </x:c>
      <x:c r="L69" t="inlineStr">
        <x:is>
          <x:t xml:space="preserve">HR-D4-Q14-A2</x:t>
        </x:is>
      </x:c>
      <x:c r="M69" s="2" t="inlineStr">
        <x:is>
          <x:t xml:space="preserve">Managers/HR call IT when they remember; timing varies widely.</x:t>
        </x:is>
      </x:c>
      <x:c r="N69" t="n">
        <x:v>1</x:v>
      </x:c>
      <x:c r="O69" t="inlineStr">
        <x:is>
          <x:t xml:space="preserve">key_person_dependency,shadow_mature_signal</x:t>
        </x:is>
      </x:c>
      <x:c r="P69" t="inlineStr">
        <x:is>
          <x:t xml:space="preserve">Control Lag</x:t>
        </x:is>
      </x:c>
      <x:c r="Q69" t="inlineStr">
        <x:is>
          <x:t xml:space="preserve">Create triggers and SLAs</x:t>
        </x:is>
      </x:c>
      <x:c r="R69" t="inlineStr">
        <x:is>
          <x:t xml:space="preserve">N</x:t>
        </x:is>
      </x:c>
      <x:c r="S69" s="2" t="inlineStr">
        <x:is>
          <x:t xml:space="preserve"/>
        </x:is>
      </x:c>
      <x:c r="T69">
        <x:f>($N69)*(IF($D69="G",$E69,0)+IF($F69="G",$G69,0))</x:f>
      </x:c>
      <x:c r="U69">
        <x:f>($N69)*(IF($D69="E",$E69,0)+IF($F69="E",$G69,0))</x:f>
      </x:c>
      <x:c r="V69">
        <x:f>($N69)*(IF($D69="T",$E69,0)+IF($F69="T",$G69,0))</x:f>
      </x:c>
      <x:c r="W69">
        <x:f>($N69)*(IF($D69="L",$E69,0)+IF($F69="L",$G69,0))</x:f>
      </x:c>
      <x:c r="X69">
        <x:f>($N69)*(IF($D69="H",$E69,0)+IF($F69="H",$G69,0))</x:f>
      </x:c>
      <x:c r="Y69">
        <x:f>($N69)*(IF($D69="V",$E69,0)+IF($F69="V",$G69,0))</x:f>
      </x:c>
      <x:c r="Z69">
        <x:f>($N69)*(IF($D69="R",$E69,0)+IF($F69="R",$G69,0))</x:f>
      </x:c>
      <x:c r="AA69">
        <x:f>($N69)*(IF($D69="F",$E69,0)+IF($F69="F",$G69,0))</x:f>
      </x:c>
      <x:c r="AB69">
        <x:f>($N69)*(IF($D69="W",$E69,0)+IF($F69="W",$G69,0))</x:f>
      </x:c>
    </x:row>
    <x:row r="70" ht="40" customHeight="1">
      <x:c r="A70" t="inlineStr">
        <x:is>
          <x:t xml:space="preserve">HR-D4-Q14</x:t>
        </x:is>
      </x:c>
      <x:c r="B70" t="inlineStr">
        <x:is>
          <x:t xml:space="preserve">T2</x:t>
        </x:is>
      </x:c>
      <x:c r="C70" t="inlineStr">
        <x:is>
          <x:t xml:space="preserve">4. Joiner-Mover-Leaver</x:t>
        </x:is>
      </x:c>
      <x:c r="D70" t="inlineStr">
        <x:is>
          <x:t xml:space="preserve">E</x:t>
        </x:is>
      </x:c>
      <x:c r="E70" t="n">
        <x:v>1</x:v>
      </x:c>
      <x:c r="F70" t="inlineStr">
        <x:is>
          <x:t xml:space="preserve">-</x:t>
        </x:is>
      </x:c>
      <x:c r="G70" t="inlineStr">
        <x:is>
          <x:t xml:space="preserve"/>
        </x:is>
      </x:c>
      <x:c r="H70" s="2" t="inlineStr">
        <x:is>
          <x:t xml:space="preserve">(Shadow probe) If the process is informal, how do you ensure leaver/role-change access is removed quickly in practice?</x:t>
        </x:is>
      </x:c>
      <x:c r="I70" t="inlineStr">
        <x:is>
          <x:t xml:space="preserve">Captures reality: who calls whom and typical time to remove access.</x:t>
        </x:is>
      </x:c>
      <x:c r="J70" t="inlineStr">
        <x:is>
          <x:t xml:space="preserve">Shadow fallback (Then → HR-D5-Q17)</x:t>
        </x:is>
      </x:c>
      <x:c r="K70" t="inlineStr">
        <x:is>
          <x:t xml:space="preserve">OPS_STD</x:t>
        </x:is>
      </x:c>
      <x:c r="L70" t="inlineStr">
        <x:is>
          <x:t xml:space="preserve">HR-D4-Q14-A3</x:t>
        </x:is>
      </x:c>
      <x:c r="M70" s="2" t="inlineStr">
        <x:is>
          <x:t xml:space="preserve">HR sends a daily/weekly leaver list; not always complete.</x:t>
        </x:is>
      </x:c>
      <x:c r="N70" t="n">
        <x:v>2</x:v>
      </x:c>
      <x:c r="O70" t="inlineStr">
        <x:is>
          <x:t xml:space="preserve"/>
        </x:is>
      </x:c>
      <x:c r="P70" t="inlineStr">
        <x:is>
          <x:t xml:space="preserve">Operating Model Gap</x:t>
        </x:is>
      </x:c>
      <x:c r="Q70" t="inlineStr">
        <x:is>
          <x:t xml:space="preserve">Improve completeness</x:t>
        </x:is>
      </x:c>
      <x:c r="R70" t="inlineStr">
        <x:is>
          <x:t xml:space="preserve">N</x:t>
        </x:is>
      </x:c>
      <x:c r="S70" s="2" t="inlineStr">
        <x:is>
          <x:t xml:space="preserve">Evidence: sample leaver list.</x:t>
        </x:is>
      </x:c>
      <x:c r="T70">
        <x:f>($N70)*(IF($D70="G",$E70,0)+IF($F70="G",$G70,0))</x:f>
      </x:c>
      <x:c r="U70">
        <x:f>($N70)*(IF($D70="E",$E70,0)+IF($F70="E",$G70,0))</x:f>
      </x:c>
      <x:c r="V70">
        <x:f>($N70)*(IF($D70="T",$E70,0)+IF($F70="T",$G70,0))</x:f>
      </x:c>
      <x:c r="W70">
        <x:f>($N70)*(IF($D70="L",$E70,0)+IF($F70="L",$G70,0))</x:f>
      </x:c>
      <x:c r="X70">
        <x:f>($N70)*(IF($D70="H",$E70,0)+IF($F70="H",$G70,0))</x:f>
      </x:c>
      <x:c r="Y70">
        <x:f>($N70)*(IF($D70="V",$E70,0)+IF($F70="V",$G70,0))</x:f>
      </x:c>
      <x:c r="Z70">
        <x:f>($N70)*(IF($D70="R",$E70,0)+IF($F70="R",$G70,0))</x:f>
      </x:c>
      <x:c r="AA70">
        <x:f>($N70)*(IF($D70="F",$E70,0)+IF($F70="F",$G70,0))</x:f>
      </x:c>
      <x:c r="AB70">
        <x:f>($N70)*(IF($D70="W",$E70,0)+IF($F70="W",$G70,0))</x:f>
      </x:c>
    </x:row>
    <x:row r="71" ht="40" customHeight="1">
      <x:c r="A71" t="inlineStr">
        <x:is>
          <x:t xml:space="preserve">HR-D4-Q14</x:t>
        </x:is>
      </x:c>
      <x:c r="B71" t="inlineStr">
        <x:is>
          <x:t xml:space="preserve">T2</x:t>
        </x:is>
      </x:c>
      <x:c r="C71" t="inlineStr">
        <x:is>
          <x:t xml:space="preserve">4. Joiner-Mover-Leaver</x:t>
        </x:is>
      </x:c>
      <x:c r="D71" t="inlineStr">
        <x:is>
          <x:t xml:space="preserve">E</x:t>
        </x:is>
      </x:c>
      <x:c r="E71" t="n">
        <x:v>1</x:v>
      </x:c>
      <x:c r="F71" t="inlineStr">
        <x:is>
          <x:t xml:space="preserve">-</x:t>
        </x:is>
      </x:c>
      <x:c r="G71" t="inlineStr">
        <x:is>
          <x:t xml:space="preserve"/>
        </x:is>
      </x:c>
      <x:c r="H71" s="2" t="inlineStr">
        <x:is>
          <x:t xml:space="preserve">(Shadow probe) If the process is informal, how do you ensure leaver/role-change access is removed quickly in practice?</x:t>
        </x:is>
      </x:c>
      <x:c r="I71" t="inlineStr">
        <x:is>
          <x:t xml:space="preserve">Captures reality: who calls whom and typical time to remove access.</x:t>
        </x:is>
      </x:c>
      <x:c r="J71" t="inlineStr">
        <x:is>
          <x:t xml:space="preserve">Shadow fallback (Then → HR-D5-Q17)</x:t>
        </x:is>
      </x:c>
      <x:c r="K71" t="inlineStr">
        <x:is>
          <x:t xml:space="preserve">OPS_STD</x:t>
        </x:is>
      </x:c>
      <x:c r="L71" t="inlineStr">
        <x:is>
          <x:t xml:space="preserve">HR-D4-Q14-A4</x:t>
        </x:is>
      </x:c>
      <x:c r="M71" s="2" t="inlineStr">
        <x:is>
          <x:t xml:space="preserve">Consistent same-day/next-day removal for most cases.</x:t>
        </x:is>
      </x:c>
      <x:c r="N71" t="n">
        <x:v>3</x:v>
      </x:c>
      <x:c r="O71" t="inlineStr">
        <x:is>
          <x:t xml:space="preserve"/>
        </x:is>
      </x:c>
      <x:c r="P71" t="inlineStr">
        <x:is>
          <x:t xml:space="preserve">Operating Model Gap</x:t>
        </x:is>
      </x:c>
      <x:c r="Q71" t="inlineStr">
        <x:is>
          <x:t xml:space="preserve">Formalize and audit</x:t>
        </x:is>
      </x:c>
      <x:c r="R71" t="inlineStr">
        <x:is>
          <x:t xml:space="preserve">N</x:t>
        </x:is>
      </x:c>
      <x:c r="S71" s="2" t="inlineStr">
        <x:is>
          <x:t xml:space="preserve">Evidence: ticket timestamps (redacted).</x:t>
        </x:is>
      </x:c>
      <x:c r="T71">
        <x:f>($N71)*(IF($D71="G",$E71,0)+IF($F71="G",$G71,0))</x:f>
      </x:c>
      <x:c r="U71">
        <x:f>($N71)*(IF($D71="E",$E71,0)+IF($F71="E",$G71,0))</x:f>
      </x:c>
      <x:c r="V71">
        <x:f>($N71)*(IF($D71="T",$E71,0)+IF($F71="T",$G71,0))</x:f>
      </x:c>
      <x:c r="W71">
        <x:f>($N71)*(IF($D71="L",$E71,0)+IF($F71="L",$G71,0))</x:f>
      </x:c>
      <x:c r="X71">
        <x:f>($N71)*(IF($D71="H",$E71,0)+IF($F71="H",$G71,0))</x:f>
      </x:c>
      <x:c r="Y71">
        <x:f>($N71)*(IF($D71="V",$E71,0)+IF($F71="V",$G71,0))</x:f>
      </x:c>
      <x:c r="Z71">
        <x:f>($N71)*(IF($D71="R",$E71,0)+IF($F71="R",$G71,0))</x:f>
      </x:c>
      <x:c r="AA71">
        <x:f>($N71)*(IF($D71="F",$E71,0)+IF($F71="F",$G71,0))</x:f>
      </x:c>
      <x:c r="AB71">
        <x:f>($N71)*(IF($D71="W",$E71,0)+IF($F71="W",$G71,0))</x:f>
      </x:c>
    </x:row>
    <x:row r="72" ht="40" customHeight="1">
      <x:c r="A72" t="inlineStr">
        <x:is>
          <x:t xml:space="preserve">HR-D4-Q15</x:t>
        </x:is>
      </x:c>
      <x:c r="B72" t="inlineStr">
        <x:is>
          <x:t xml:space="preserve">T2</x:t>
        </x:is>
      </x:c>
      <x:c r="C72" t="inlineStr">
        <x:is>
          <x:t xml:space="preserve">4. Joiner-Mover-Leaver</x:t>
        </x:is>
      </x:c>
      <x:c r="D72" t="inlineStr">
        <x:is>
          <x:t xml:space="preserve">W</x:t>
        </x:is>
      </x:c>
      <x:c r="E72" t="n">
        <x:v>0.6</x:v>
      </x:c>
      <x:c r="F72" t="inlineStr">
        <x:is>
          <x:t xml:space="preserve">L</x:t>
        </x:is>
      </x:c>
      <x:c r="G72" t="n">
        <x:v>0.4</x:v>
      </x:c>
      <x:c r="H72" s="2" t="inlineStr">
        <x:is>
          <x:t xml:space="preserve">Do you have a defined process for higher-risk departures or role changes (e.g., privileged users, finance, R&amp;D, disputes)?</x:t>
        </x:is>
      </x:c>
      <x:c r="I72" t="inlineStr">
        <x:is>
          <x:t xml:space="preserve">Higher-risk = access to sensitive systems/data or elevated conflict. Keep proportionality and fairness.</x:t>
        </x:is>
      </x:c>
      <x:c r="J72" t="inlineStr">
        <x:is>
          <x:t xml:space="preserve">Drill-down</x:t>
        </x:is>
      </x:c>
      <x:c r="K72" t="inlineStr">
        <x:is>
          <x:t xml:space="preserve">RISK_STD</x:t>
        </x:is>
      </x:c>
      <x:c r="L72" t="inlineStr">
        <x:is>
          <x:t xml:space="preserve">HR-D4-Q15-A1</x:t>
        </x:is>
      </x:c>
      <x:c r="M72" s="2" t="inlineStr">
        <x:is>
          <x:t xml:space="preserve">No: all departures treated the same.</x:t>
        </x:is>
      </x:c>
      <x:c r="N72" t="n">
        <x:v>0</x:v>
      </x:c>
      <x:c r="O72" t="inlineStr">
        <x:is>
          <x:t xml:space="preserve">control_lag</x:t>
        </x:is>
      </x:c>
      <x:c r="P72" t="inlineStr">
        <x:is>
          <x:t xml:space="preserve">Control Lag</x:t>
        </x:is>
      </x:c>
      <x:c r="Q72" t="inlineStr">
        <x:is>
          <x:t xml:space="preserve">Define risk-based leaver process</x:t>
        </x:is>
      </x:c>
      <x:c r="R72" t="inlineStr">
        <x:is>
          <x:t xml:space="preserve">N</x:t>
        </x:is>
      </x:c>
      <x:c r="S72" s="2" t="inlineStr">
        <x:is>
          <x:t xml:space="preserve"/>
        </x:is>
      </x:c>
      <x:c r="T72">
        <x:f>($N72)*(IF($D72="G",$E72,0)+IF($F72="G",$G72,0))</x:f>
      </x:c>
      <x:c r="U72">
        <x:f>($N72)*(IF($D72="E",$E72,0)+IF($F72="E",$G72,0))</x:f>
      </x:c>
      <x:c r="V72">
        <x:f>($N72)*(IF($D72="T",$E72,0)+IF($F72="T",$G72,0))</x:f>
      </x:c>
      <x:c r="W72">
        <x:f>($N72)*(IF($D72="L",$E72,0)+IF($F72="L",$G72,0))</x:f>
      </x:c>
      <x:c r="X72">
        <x:f>($N72)*(IF($D72="H",$E72,0)+IF($F72="H",$G72,0))</x:f>
      </x:c>
      <x:c r="Y72">
        <x:f>($N72)*(IF($D72="V",$E72,0)+IF($F72="V",$G72,0))</x:f>
      </x:c>
      <x:c r="Z72">
        <x:f>($N72)*(IF($D72="R",$E72,0)+IF($F72="R",$G72,0))</x:f>
      </x:c>
      <x:c r="AA72">
        <x:f>($N72)*(IF($D72="F",$E72,0)+IF($F72="F",$G72,0))</x:f>
      </x:c>
      <x:c r="AB72">
        <x:f>($N72)*(IF($D72="W",$E72,0)+IF($F72="W",$G72,0))</x:f>
      </x:c>
    </x:row>
    <x:row r="73" ht="40" customHeight="1">
      <x:c r="A73" t="inlineStr">
        <x:is>
          <x:t xml:space="preserve">HR-D4-Q15</x:t>
        </x:is>
      </x:c>
      <x:c r="B73" t="inlineStr">
        <x:is>
          <x:t xml:space="preserve">T2</x:t>
        </x:is>
      </x:c>
      <x:c r="C73" t="inlineStr">
        <x:is>
          <x:t xml:space="preserve">4. Joiner-Mover-Leaver</x:t>
        </x:is>
      </x:c>
      <x:c r="D73" t="inlineStr">
        <x:is>
          <x:t xml:space="preserve">W</x:t>
        </x:is>
      </x:c>
      <x:c r="E73" t="n">
        <x:v>0.6</x:v>
      </x:c>
      <x:c r="F73" t="inlineStr">
        <x:is>
          <x:t xml:space="preserve">L</x:t>
        </x:is>
      </x:c>
      <x:c r="G73" t="n">
        <x:v>0.4</x:v>
      </x:c>
      <x:c r="H73" s="2" t="inlineStr">
        <x:is>
          <x:t xml:space="preserve">Do you have a defined process for higher-risk departures or role changes (e.g., privileged users, finance, R&amp;D, disputes)?</x:t>
        </x:is>
      </x:c>
      <x:c r="I73" t="inlineStr">
        <x:is>
          <x:t xml:space="preserve">Higher-risk = access to sensitive systems/data or elevated conflict. Keep proportionality and fairness.</x:t>
        </x:is>
      </x:c>
      <x:c r="J73" t="inlineStr">
        <x:is>
          <x:t xml:space="preserve">Drill-down</x:t>
        </x:is>
      </x:c>
      <x:c r="K73" t="inlineStr">
        <x:is>
          <x:t xml:space="preserve">RISK_STD</x:t>
        </x:is>
      </x:c>
      <x:c r="L73" t="inlineStr">
        <x:is>
          <x:t xml:space="preserve">HR-D4-Q15-A2</x:t>
        </x:is>
      </x:c>
      <x:c r="M73" s="2" t="inlineStr">
        <x:is>
          <x:t xml:space="preserve">Ad-hoc: extra checks sometimes happen; no criteria.</x:t>
        </x:is>
      </x:c>
      <x:c r="N73" t="n">
        <x:v>1</x:v>
      </x:c>
      <x:c r="O73" t="inlineStr">
        <x:is>
          <x:t xml:space="preserve">shadow_mature_signal</x:t>
        </x:is>
      </x:c>
      <x:c r="P73" t="inlineStr">
        <x:is>
          <x:t xml:space="preserve">Operating Model Gap</x:t>
        </x:is>
      </x:c>
      <x:c r="Q73" t="inlineStr">
        <x:is>
          <x:t xml:space="preserve">Define criteria and approvals</x:t>
        </x:is>
      </x:c>
      <x:c r="R73" t="inlineStr">
        <x:is>
          <x:t xml:space="preserve">N</x:t>
        </x:is>
      </x:c>
      <x:c r="S73" s="2" t="inlineStr">
        <x:is>
          <x:t xml:space="preserve"/>
        </x:is>
      </x:c>
      <x:c r="T73">
        <x:f>($N73)*(IF($D73="G",$E73,0)+IF($F73="G",$G73,0))</x:f>
      </x:c>
      <x:c r="U73">
        <x:f>($N73)*(IF($D73="E",$E73,0)+IF($F73="E",$G73,0))</x:f>
      </x:c>
      <x:c r="V73">
        <x:f>($N73)*(IF($D73="T",$E73,0)+IF($F73="T",$G73,0))</x:f>
      </x:c>
      <x:c r="W73">
        <x:f>($N73)*(IF($D73="L",$E73,0)+IF($F73="L",$G73,0))</x:f>
      </x:c>
      <x:c r="X73">
        <x:f>($N73)*(IF($D73="H",$E73,0)+IF($F73="H",$G73,0))</x:f>
      </x:c>
      <x:c r="Y73">
        <x:f>($N73)*(IF($D73="V",$E73,0)+IF($F73="V",$G73,0))</x:f>
      </x:c>
      <x:c r="Z73">
        <x:f>($N73)*(IF($D73="R",$E73,0)+IF($F73="R",$G73,0))</x:f>
      </x:c>
      <x:c r="AA73">
        <x:f>($N73)*(IF($D73="F",$E73,0)+IF($F73="F",$G73,0))</x:f>
      </x:c>
      <x:c r="AB73">
        <x:f>($N73)*(IF($D73="W",$E73,0)+IF($F73="W",$G73,0))</x:f>
      </x:c>
    </x:row>
    <x:row r="74" ht="40" customHeight="1">
      <x:c r="A74" t="inlineStr">
        <x:is>
          <x:t xml:space="preserve">HR-D4-Q15</x:t>
        </x:is>
      </x:c>
      <x:c r="B74" t="inlineStr">
        <x:is>
          <x:t xml:space="preserve">T2</x:t>
        </x:is>
      </x:c>
      <x:c r="C74" t="inlineStr">
        <x:is>
          <x:t xml:space="preserve">4. Joiner-Mover-Leaver</x:t>
        </x:is>
      </x:c>
      <x:c r="D74" t="inlineStr">
        <x:is>
          <x:t xml:space="preserve">W</x:t>
        </x:is>
      </x:c>
      <x:c r="E74" t="n">
        <x:v>0.6</x:v>
      </x:c>
      <x:c r="F74" t="inlineStr">
        <x:is>
          <x:t xml:space="preserve">L</x:t>
        </x:is>
      </x:c>
      <x:c r="G74" t="n">
        <x:v>0.4</x:v>
      </x:c>
      <x:c r="H74" s="2" t="inlineStr">
        <x:is>
          <x:t xml:space="preserve">Do you have a defined process for higher-risk departures or role changes (e.g., privileged users, finance, R&amp;D, disputes)?</x:t>
        </x:is>
      </x:c>
      <x:c r="I74" t="inlineStr">
        <x:is>
          <x:t xml:space="preserve">Higher-risk = access to sensitive systems/data or elevated conflict. Keep proportionality and fairness.</x:t>
        </x:is>
      </x:c>
      <x:c r="J74" t="inlineStr">
        <x:is>
          <x:t xml:space="preserve">Drill-down</x:t>
        </x:is>
      </x:c>
      <x:c r="K74" t="inlineStr">
        <x:is>
          <x:t xml:space="preserve">RISK_STD</x:t>
        </x:is>
      </x:c>
      <x:c r="L74" t="inlineStr">
        <x:is>
          <x:t xml:space="preserve">HR-D4-Q15-A3</x:t>
        </x:is>
      </x:c>
      <x:c r="M74" s="2" t="inlineStr">
        <x:is>
          <x:t xml:space="preserve">Criteria exist but execution inconsistent.</x:t>
        </x:is>
      </x:c>
      <x:c r="N74" t="n">
        <x:v>2</x:v>
      </x:c>
      <x:c r="O74" t="inlineStr">
        <x:is>
          <x:t xml:space="preserve">paper_dragon_signal</x:t>
        </x:is>
      </x:c>
      <x:c r="P74" t="inlineStr">
        <x:is>
          <x:t xml:space="preserve">Paper Dragon</x:t>
        </x:is>
      </x:c>
      <x:c r="Q74" t="inlineStr">
        <x:is>
          <x:t xml:space="preserve">Improve adherence</x:t>
        </x:is>
      </x:c>
      <x:c r="R74" t="inlineStr">
        <x:is>
          <x:t xml:space="preserve">N</x:t>
        </x:is>
      </x:c>
      <x:c r="S74" s="2" t="inlineStr">
        <x:is>
          <x:t xml:space="preserve">Evidence: criteria list.</x:t>
        </x:is>
      </x:c>
      <x:c r="T74">
        <x:f>($N74)*(IF($D74="G",$E74,0)+IF($F74="G",$G74,0))</x:f>
      </x:c>
      <x:c r="U74">
        <x:f>($N74)*(IF($D74="E",$E74,0)+IF($F74="E",$G74,0))</x:f>
      </x:c>
      <x:c r="V74">
        <x:f>($N74)*(IF($D74="T",$E74,0)+IF($F74="T",$G74,0))</x:f>
      </x:c>
      <x:c r="W74">
        <x:f>($N74)*(IF($D74="L",$E74,0)+IF($F74="L",$G74,0))</x:f>
      </x:c>
      <x:c r="X74">
        <x:f>($N74)*(IF($D74="H",$E74,0)+IF($F74="H",$G74,0))</x:f>
      </x:c>
      <x:c r="Y74">
        <x:f>($N74)*(IF($D74="V",$E74,0)+IF($F74="V",$G74,0))</x:f>
      </x:c>
      <x:c r="Z74">
        <x:f>($N74)*(IF($D74="R",$E74,0)+IF($F74="R",$G74,0))</x:f>
      </x:c>
      <x:c r="AA74">
        <x:f>($N74)*(IF($D74="F",$E74,0)+IF($F74="F",$G74,0))</x:f>
      </x:c>
      <x:c r="AB74">
        <x:f>($N74)*(IF($D74="W",$E74,0)+IF($F74="W",$G74,0))</x:f>
      </x:c>
    </x:row>
    <x:row r="75" ht="40" customHeight="1">
      <x:c r="A75" t="inlineStr">
        <x:is>
          <x:t xml:space="preserve">HR-D4-Q15</x:t>
        </x:is>
      </x:c>
      <x:c r="B75" t="inlineStr">
        <x:is>
          <x:t xml:space="preserve">T2</x:t>
        </x:is>
      </x:c>
      <x:c r="C75" t="inlineStr">
        <x:is>
          <x:t xml:space="preserve">4. Joiner-Mover-Leaver</x:t>
        </x:is>
      </x:c>
      <x:c r="D75" t="inlineStr">
        <x:is>
          <x:t xml:space="preserve">W</x:t>
        </x:is>
      </x:c>
      <x:c r="E75" t="n">
        <x:v>0.6</x:v>
      </x:c>
      <x:c r="F75" t="inlineStr">
        <x:is>
          <x:t xml:space="preserve">L</x:t>
        </x:is>
      </x:c>
      <x:c r="G75" t="n">
        <x:v>0.4</x:v>
      </x:c>
      <x:c r="H75" s="2" t="inlineStr">
        <x:is>
          <x:t xml:space="preserve">Do you have a defined process for higher-risk departures or role changes (e.g., privileged users, finance, R&amp;D, disputes)?</x:t>
        </x:is>
      </x:c>
      <x:c r="I75" t="inlineStr">
        <x:is>
          <x:t xml:space="preserve">Higher-risk = access to sensitive systems/data or elevated conflict. Keep proportionality and fairness.</x:t>
        </x:is>
      </x:c>
      <x:c r="J75" t="inlineStr">
        <x:is>
          <x:t xml:space="preserve">Drill-down</x:t>
        </x:is>
      </x:c>
      <x:c r="K75" t="inlineStr">
        <x:is>
          <x:t xml:space="preserve">RISK_STD</x:t>
        </x:is>
      </x:c>
      <x:c r="L75" t="inlineStr">
        <x:is>
          <x:t xml:space="preserve">HR-D4-Q15-A4</x:t>
        </x:is>
      </x:c>
      <x:c r="M75" s="2" t="inlineStr">
        <x:is>
          <x:t xml:space="preserve">Risk-based steps applied consistently and proportionately.</x:t>
        </x:is>
      </x:c>
      <x:c r="N75" t="n">
        <x:v>3</x:v>
      </x:c>
      <x:c r="O75" t="inlineStr">
        <x:is>
          <x:t xml:space="preserve"/>
        </x:is>
      </x:c>
      <x:c r="P75" t="inlineStr">
        <x:is>
          <x:t xml:space="preserve">Control Lag</x:t>
        </x:is>
      </x:c>
      <x:c r="Q75" t="inlineStr">
        <x:is>
          <x:t xml:space="preserve">Maintain and audit</x:t>
        </x:is>
      </x:c>
      <x:c r="R75" t="inlineStr">
        <x:is>
          <x:t xml:space="preserve">N</x:t>
        </x:is>
      </x:c>
      <x:c r="S75" s="2" t="inlineStr">
        <x:is>
          <x:t xml:space="preserve">Evidence: checklist sample.</x:t>
        </x:is>
      </x:c>
      <x:c r="T75">
        <x:f>($N75)*(IF($D75="G",$E75,0)+IF($F75="G",$G75,0))</x:f>
      </x:c>
      <x:c r="U75">
        <x:f>($N75)*(IF($D75="E",$E75,0)+IF($F75="E",$G75,0))</x:f>
      </x:c>
      <x:c r="V75">
        <x:f>($N75)*(IF($D75="T",$E75,0)+IF($F75="T",$G75,0))</x:f>
      </x:c>
      <x:c r="W75">
        <x:f>($N75)*(IF($D75="L",$E75,0)+IF($F75="L",$G75,0))</x:f>
      </x:c>
      <x:c r="X75">
        <x:f>($N75)*(IF($D75="H",$E75,0)+IF($F75="H",$G75,0))</x:f>
      </x:c>
      <x:c r="Y75">
        <x:f>($N75)*(IF($D75="V",$E75,0)+IF($F75="V",$G75,0))</x:f>
      </x:c>
      <x:c r="Z75">
        <x:f>($N75)*(IF($D75="R",$E75,0)+IF($F75="R",$G75,0))</x:f>
      </x:c>
      <x:c r="AA75">
        <x:f>($N75)*(IF($D75="F",$E75,0)+IF($F75="F",$G75,0))</x:f>
      </x:c>
      <x:c r="AB75">
        <x:f>($N75)*(IF($D75="W",$E75,0)+IF($F75="W",$G75,0))</x:f>
      </x:c>
    </x:row>
    <x:row r="76" ht="40" customHeight="1">
      <x:c r="A76" t="inlineStr">
        <x:is>
          <x:t xml:space="preserve">HR-D4-Q15</x:t>
        </x:is>
      </x:c>
      <x:c r="B76" t="inlineStr">
        <x:is>
          <x:t xml:space="preserve">T2</x:t>
        </x:is>
      </x:c>
      <x:c r="C76" t="inlineStr">
        <x:is>
          <x:t xml:space="preserve">4. Joiner-Mover-Leaver</x:t>
        </x:is>
      </x:c>
      <x:c r="D76" t="inlineStr">
        <x:is>
          <x:t xml:space="preserve">W</x:t>
        </x:is>
      </x:c>
      <x:c r="E76" t="n">
        <x:v>0.6</x:v>
      </x:c>
      <x:c r="F76" t="inlineStr">
        <x:is>
          <x:t xml:space="preserve">L</x:t>
        </x:is>
      </x:c>
      <x:c r="G76" t="n">
        <x:v>0.4</x:v>
      </x:c>
      <x:c r="H76" s="2" t="inlineStr">
        <x:is>
          <x:t xml:space="preserve">Do you have a defined process for higher-risk departures or role changes (e.g., privileged users, finance, R&amp;D, disputes)?</x:t>
        </x:is>
      </x:c>
      <x:c r="I76" t="inlineStr">
        <x:is>
          <x:t xml:space="preserve">Higher-risk = access to sensitive systems/data or elevated conflict. Keep proportionality and fairness.</x:t>
        </x:is>
      </x:c>
      <x:c r="J76" t="inlineStr">
        <x:is>
          <x:t xml:space="preserve">Drill-down</x:t>
        </x:is>
      </x:c>
      <x:c r="K76" t="inlineStr">
        <x:is>
          <x:t xml:space="preserve">RISK_STD</x:t>
        </x:is>
      </x:c>
      <x:c r="L76" t="inlineStr">
        <x:is>
          <x:t xml:space="preserve">HR-D4-Q15-A5</x:t>
        </x:is>
      </x:c>
      <x:c r="M76" s="2" t="inlineStr">
        <x:is>
          <x:t xml:space="preserve">Optimized: rapid access changes + comms + legal/privacy review when needed.</x:t>
        </x:is>
      </x:c>
      <x:c r="N76" t="n">
        <x:v>4</x:v>
      </x:c>
      <x:c r="O76" t="inlineStr">
        <x:is>
          <x:t xml:space="preserve"/>
        </x:is>
      </x:c>
      <x:c r="P76" t="inlineStr">
        <x:is>
          <x:t xml:space="preserve">Legal Exposure</x:t>
        </x:is>
      </x:c>
      <x:c r="Q76" t="inlineStr">
        <x:is>
          <x:t xml:space="preserve">Maintain maturity</x:t>
        </x:is>
      </x:c>
      <x:c r="R76" t="inlineStr">
        <x:is>
          <x:t xml:space="preserve">N</x:t>
        </x:is>
      </x:c>
      <x:c r="S76" s="2" t="inlineStr">
        <x:is>
          <x:t xml:space="preserve">Evidence: playbook.</x:t>
        </x:is>
      </x:c>
      <x:c r="T76">
        <x:f>($N76)*(IF($D76="G",$E76,0)+IF($F76="G",$G76,0))</x:f>
      </x:c>
      <x:c r="U76">
        <x:f>($N76)*(IF($D76="E",$E76,0)+IF($F76="E",$G76,0))</x:f>
      </x:c>
      <x:c r="V76">
        <x:f>($N76)*(IF($D76="T",$E76,0)+IF($F76="T",$G76,0))</x:f>
      </x:c>
      <x:c r="W76">
        <x:f>($N76)*(IF($D76="L",$E76,0)+IF($F76="L",$G76,0))</x:f>
      </x:c>
      <x:c r="X76">
        <x:f>($N76)*(IF($D76="H",$E76,0)+IF($F76="H",$G76,0))</x:f>
      </x:c>
      <x:c r="Y76">
        <x:f>($N76)*(IF($D76="V",$E76,0)+IF($F76="V",$G76,0))</x:f>
      </x:c>
      <x:c r="Z76">
        <x:f>($N76)*(IF($D76="R",$E76,0)+IF($F76="R",$G76,0))</x:f>
      </x:c>
      <x:c r="AA76">
        <x:f>($N76)*(IF($D76="F",$E76,0)+IF($F76="F",$G76,0))</x:f>
      </x:c>
      <x:c r="AB76">
        <x:f>($N76)*(IF($D76="W",$E76,0)+IF($F76="W",$G76,0))</x:f>
      </x:c>
    </x:row>
    <x:row r="77" ht="40" customHeight="1">
      <x:c r="A77" t="inlineStr">
        <x:is>
          <x:t xml:space="preserve">HR-D4-Q16</x:t>
        </x:is>
      </x:c>
      <x:c r="B77" t="inlineStr">
        <x:is>
          <x:t xml:space="preserve">T3</x:t>
        </x:is>
      </x:c>
      <x:c r="C77" t="inlineStr">
        <x:is>
          <x:t xml:space="preserve">4. Joiner-Mover-Leaver</x:t>
        </x:is>
      </x:c>
      <x:c r="D77" t="inlineStr">
        <x:is>
          <x:t xml:space="preserve">L</x:t>
        </x:is>
      </x:c>
      <x:c r="E77" t="n">
        <x:v>0.6</x:v>
      </x:c>
      <x:c r="F77" t="inlineStr">
        <x:is>
          <x:t xml:space="preserve">H</x:t>
        </x:is>
      </x:c>
      <x:c r="G77" t="n">
        <x:v>0.4</x:v>
      </x:c>
      <x:c r="H77" s="2" t="inlineStr">
        <x:is>
          <x:t xml:space="preserve">How do you confirm departing staff understand ongoing obligations (confidentiality, data return) in clear, plain language?</x:t>
        </x:is>
      </x:c>
      <x:c r="I77" t="inlineStr">
        <x:is>
          <x:t xml:space="preserve">Not legalese: clarity + fairness + return verification.</x:t>
        </x:is>
      </x:c>
      <x:c r="J77" t="inlineStr">
        <x:is>
          <x:t xml:space="preserve">Business-proofing</x:t>
        </x:is>
      </x:c>
      <x:c r="K77" t="inlineStr">
        <x:is>
          <x:t xml:space="preserve">LEG_STRICT</x:t>
        </x:is>
      </x:c>
      <x:c r="L77" t="inlineStr">
        <x:is>
          <x:t xml:space="preserve">HR-D4-Q16-A1</x:t>
        </x:is>
      </x:c>
      <x:c r="M77" s="2" t="inlineStr">
        <x:is>
          <x:t xml:space="preserve">We don't address this explicitly.</x:t>
        </x:is>
      </x:c>
      <x:c r="N77" t="n">
        <x:v>0</x:v>
      </x:c>
      <x:c r="O77" t="inlineStr">
        <x:is>
          <x:t xml:space="preserve">legal_exposure</x:t>
        </x:is>
      </x:c>
      <x:c r="P77" t="inlineStr">
        <x:is>
          <x:t xml:space="preserve">Legal Exposure</x:t>
        </x:is>
      </x:c>
      <x:c r="Q77" t="inlineStr">
        <x:is>
          <x:t xml:space="preserve">Add plain-language offboarding comms</x:t>
        </x:is>
      </x:c>
      <x:c r="R77" t="inlineStr">
        <x:is>
          <x:t xml:space="preserve">N</x:t>
        </x:is>
      </x:c>
      <x:c r="S77" s="2" t="inlineStr">
        <x:is>
          <x:t xml:space="preserve"/>
        </x:is>
      </x:c>
      <x:c r="T77">
        <x:f>($N77)*(IF($D77="G",$E77,0)+IF($F77="G",$G77,0))</x:f>
      </x:c>
      <x:c r="U77">
        <x:f>($N77)*(IF($D77="E",$E77,0)+IF($F77="E",$G77,0))</x:f>
      </x:c>
      <x:c r="V77">
        <x:f>($N77)*(IF($D77="T",$E77,0)+IF($F77="T",$G77,0))</x:f>
      </x:c>
      <x:c r="W77">
        <x:f>($N77)*(IF($D77="L",$E77,0)+IF($F77="L",$G77,0))</x:f>
      </x:c>
      <x:c r="X77">
        <x:f>($N77)*(IF($D77="H",$E77,0)+IF($F77="H",$G77,0))</x:f>
      </x:c>
      <x:c r="Y77">
        <x:f>($N77)*(IF($D77="V",$E77,0)+IF($F77="V",$G77,0))</x:f>
      </x:c>
      <x:c r="Z77">
        <x:f>($N77)*(IF($D77="R",$E77,0)+IF($F77="R",$G77,0))</x:f>
      </x:c>
      <x:c r="AA77">
        <x:f>($N77)*(IF($D77="F",$E77,0)+IF($F77="F",$G77,0))</x:f>
      </x:c>
      <x:c r="AB77">
        <x:f>($N77)*(IF($D77="W",$E77,0)+IF($F77="W",$G77,0))</x:f>
      </x:c>
    </x:row>
    <x:row r="78" ht="40" customHeight="1">
      <x:c r="A78" t="inlineStr">
        <x:is>
          <x:t xml:space="preserve">HR-D4-Q16</x:t>
        </x:is>
      </x:c>
      <x:c r="B78" t="inlineStr">
        <x:is>
          <x:t xml:space="preserve">T3</x:t>
        </x:is>
      </x:c>
      <x:c r="C78" t="inlineStr">
        <x:is>
          <x:t xml:space="preserve">4. Joiner-Mover-Leaver</x:t>
        </x:is>
      </x:c>
      <x:c r="D78" t="inlineStr">
        <x:is>
          <x:t xml:space="preserve">L</x:t>
        </x:is>
      </x:c>
      <x:c r="E78" t="n">
        <x:v>0.6</x:v>
      </x:c>
      <x:c r="F78" t="inlineStr">
        <x:is>
          <x:t xml:space="preserve">H</x:t>
        </x:is>
      </x:c>
      <x:c r="G78" t="n">
        <x:v>0.4</x:v>
      </x:c>
      <x:c r="H78" s="2" t="inlineStr">
        <x:is>
          <x:t xml:space="preserve">How do you confirm departing staff understand ongoing obligations (confidentiality, data return) in clear, plain language?</x:t>
        </x:is>
      </x:c>
      <x:c r="I78" t="inlineStr">
        <x:is>
          <x:t xml:space="preserve">Not legalese: clarity + fairness + return verification.</x:t>
        </x:is>
      </x:c>
      <x:c r="J78" t="inlineStr">
        <x:is>
          <x:t xml:space="preserve">Business-proofing</x:t>
        </x:is>
      </x:c>
      <x:c r="K78" t="inlineStr">
        <x:is>
          <x:t xml:space="preserve">LEG_STRICT</x:t>
        </x:is>
      </x:c>
      <x:c r="L78" t="inlineStr">
        <x:is>
          <x:t xml:space="preserve">HR-D4-Q16-A2</x:t>
        </x:is>
      </x:c>
      <x:c r="M78" s="2" t="inlineStr">
        <x:is>
          <x:t xml:space="preserve">Buried in contracts/policies; no explicit conversation.</x:t>
        </x:is>
      </x:c>
      <x:c r="N78" t="n">
        <x:v>1</x:v>
      </x:c>
      <x:c r="O78" t="inlineStr">
        <x:is>
          <x:t xml:space="preserve">paper_dragon_signal</x:t>
        </x:is>
      </x:c>
      <x:c r="P78" t="inlineStr">
        <x:is>
          <x:t xml:space="preserve">Paper Dragon</x:t>
        </x:is>
      </x:c>
      <x:c r="Q78" t="inlineStr">
        <x:is>
          <x:t xml:space="preserve">Improve clarity and acknowledgment</x:t>
        </x:is>
      </x:c>
      <x:c r="R78" t="inlineStr">
        <x:is>
          <x:t xml:space="preserve">N</x:t>
        </x:is>
      </x:c>
      <x:c r="S78" s="2" t="inlineStr">
        <x:is>
          <x:t xml:space="preserve">Evidence: clause reference.</x:t>
        </x:is>
      </x:c>
      <x:c r="T78">
        <x:f>($N78)*(IF($D78="G",$E78,0)+IF($F78="G",$G78,0))</x:f>
      </x:c>
      <x:c r="U78">
        <x:f>($N78)*(IF($D78="E",$E78,0)+IF($F78="E",$G78,0))</x:f>
      </x:c>
      <x:c r="V78">
        <x:f>($N78)*(IF($D78="T",$E78,0)+IF($F78="T",$G78,0))</x:f>
      </x:c>
      <x:c r="W78">
        <x:f>($N78)*(IF($D78="L",$E78,0)+IF($F78="L",$G78,0))</x:f>
      </x:c>
      <x:c r="X78">
        <x:f>($N78)*(IF($D78="H",$E78,0)+IF($F78="H",$G78,0))</x:f>
      </x:c>
      <x:c r="Y78">
        <x:f>($N78)*(IF($D78="V",$E78,0)+IF($F78="V",$G78,0))</x:f>
      </x:c>
      <x:c r="Z78">
        <x:f>($N78)*(IF($D78="R",$E78,0)+IF($F78="R",$G78,0))</x:f>
      </x:c>
      <x:c r="AA78">
        <x:f>($N78)*(IF($D78="F",$E78,0)+IF($F78="F",$G78,0))</x:f>
      </x:c>
      <x:c r="AB78">
        <x:f>($N78)*(IF($D78="W",$E78,0)+IF($F78="W",$G78,0))</x:f>
      </x:c>
    </x:row>
    <x:row r="79" ht="40" customHeight="1">
      <x:c r="A79" t="inlineStr">
        <x:is>
          <x:t xml:space="preserve">HR-D4-Q16</x:t>
        </x:is>
      </x:c>
      <x:c r="B79" t="inlineStr">
        <x:is>
          <x:t xml:space="preserve">T3</x:t>
        </x:is>
      </x:c>
      <x:c r="C79" t="inlineStr">
        <x:is>
          <x:t xml:space="preserve">4. Joiner-Mover-Leaver</x:t>
        </x:is>
      </x:c>
      <x:c r="D79" t="inlineStr">
        <x:is>
          <x:t xml:space="preserve">L</x:t>
        </x:is>
      </x:c>
      <x:c r="E79" t="n">
        <x:v>0.6</x:v>
      </x:c>
      <x:c r="F79" t="inlineStr">
        <x:is>
          <x:t xml:space="preserve">H</x:t>
        </x:is>
      </x:c>
      <x:c r="G79" t="n">
        <x:v>0.4</x:v>
      </x:c>
      <x:c r="H79" s="2" t="inlineStr">
        <x:is>
          <x:t xml:space="preserve">How do you confirm departing staff understand ongoing obligations (confidentiality, data return) in clear, plain language?</x:t>
        </x:is>
      </x:c>
      <x:c r="I79" t="inlineStr">
        <x:is>
          <x:t xml:space="preserve">Not legalese: clarity + fairness + return verification.</x:t>
        </x:is>
      </x:c>
      <x:c r="J79" t="inlineStr">
        <x:is>
          <x:t xml:space="preserve">Business-proofing</x:t>
        </x:is>
      </x:c>
      <x:c r="K79" t="inlineStr">
        <x:is>
          <x:t xml:space="preserve">LEG_STRICT</x:t>
        </x:is>
      </x:c>
      <x:c r="L79" t="inlineStr">
        <x:is>
          <x:t xml:space="preserve">HR-D4-Q16-A3</x:t>
        </x:is>
      </x:c>
      <x:c r="M79" s="2" t="inlineStr">
        <x:is>
          <x:t xml:space="preserve">Exit reminder exists but not consistently documented.</x:t>
        </x:is>
      </x:c>
      <x:c r="N79" t="n">
        <x:v>2</x:v>
      </x:c>
      <x:c r="O79" t="inlineStr">
        <x:is>
          <x:t xml:space="preserve"/>
        </x:is>
      </x:c>
      <x:c r="P79" t="inlineStr">
        <x:is>
          <x:t xml:space="preserve">Legal Exposure</x:t>
        </x:is>
      </x:c>
      <x:c r="Q79" t="inlineStr">
        <x:is>
          <x:t xml:space="preserve">Standardize exit acknowledgment</x:t>
        </x:is>
      </x:c>
      <x:c r="R79" t="inlineStr">
        <x:is>
          <x:t xml:space="preserve">N</x:t>
        </x:is>
      </x:c>
      <x:c r="S79" s="2" t="inlineStr">
        <x:is>
          <x:t xml:space="preserve"/>
        </x:is>
      </x:c>
      <x:c r="T79">
        <x:f>($N79)*(IF($D79="G",$E79,0)+IF($F79="G",$G79,0))</x:f>
      </x:c>
      <x:c r="U79">
        <x:f>($N79)*(IF($D79="E",$E79,0)+IF($F79="E",$G79,0))</x:f>
      </x:c>
      <x:c r="V79">
        <x:f>($N79)*(IF($D79="T",$E79,0)+IF($F79="T",$G79,0))</x:f>
      </x:c>
      <x:c r="W79">
        <x:f>($N79)*(IF($D79="L",$E79,0)+IF($F79="L",$G79,0))</x:f>
      </x:c>
      <x:c r="X79">
        <x:f>($N79)*(IF($D79="H",$E79,0)+IF($F79="H",$G79,0))</x:f>
      </x:c>
      <x:c r="Y79">
        <x:f>($N79)*(IF($D79="V",$E79,0)+IF($F79="V",$G79,0))</x:f>
      </x:c>
      <x:c r="Z79">
        <x:f>($N79)*(IF($D79="R",$E79,0)+IF($F79="R",$G79,0))</x:f>
      </x:c>
      <x:c r="AA79">
        <x:f>($N79)*(IF($D79="F",$E79,0)+IF($F79="F",$G79,0))</x:f>
      </x:c>
      <x:c r="AB79">
        <x:f>($N79)*(IF($D79="W",$E79,0)+IF($F79="W",$G79,0))</x:f>
      </x:c>
    </x:row>
    <x:row r="80" ht="40" customHeight="1">
      <x:c r="A80" t="inlineStr">
        <x:is>
          <x:t xml:space="preserve">HR-D4-Q16</x:t>
        </x:is>
      </x:c>
      <x:c r="B80" t="inlineStr">
        <x:is>
          <x:t xml:space="preserve">T3</x:t>
        </x:is>
      </x:c>
      <x:c r="C80" t="inlineStr">
        <x:is>
          <x:t xml:space="preserve">4. Joiner-Mover-Leaver</x:t>
        </x:is>
      </x:c>
      <x:c r="D80" t="inlineStr">
        <x:is>
          <x:t xml:space="preserve">L</x:t>
        </x:is>
      </x:c>
      <x:c r="E80" t="n">
        <x:v>0.6</x:v>
      </x:c>
      <x:c r="F80" t="inlineStr">
        <x:is>
          <x:t xml:space="preserve">H</x:t>
        </x:is>
      </x:c>
      <x:c r="G80" t="n">
        <x:v>0.4</x:v>
      </x:c>
      <x:c r="H80" s="2" t="inlineStr">
        <x:is>
          <x:t xml:space="preserve">How do you confirm departing staff understand ongoing obligations (confidentiality, data return) in clear, plain language?</x:t>
        </x:is>
      </x:c>
      <x:c r="I80" t="inlineStr">
        <x:is>
          <x:t xml:space="preserve">Not legalese: clarity + fairness + return verification.</x:t>
        </x:is>
      </x:c>
      <x:c r="J80" t="inlineStr">
        <x:is>
          <x:t xml:space="preserve">Business-proofing</x:t>
        </x:is>
      </x:c>
      <x:c r="K80" t="inlineStr">
        <x:is>
          <x:t xml:space="preserve">LEG_STRICT</x:t>
        </x:is>
      </x:c>
      <x:c r="L80" t="inlineStr">
        <x:is>
          <x:t xml:space="preserve">HR-D4-Q16-A4</x:t>
        </x:is>
      </x:c>
      <x:c r="M80" s="2" t="inlineStr">
        <x:is>
          <x:t xml:space="preserve">Exit checklist with acknowledgement and asset/data return steps.</x:t>
        </x:is>
      </x:c>
      <x:c r="N80" t="n">
        <x:v>3</x:v>
      </x:c>
      <x:c r="O80" t="inlineStr">
        <x:is>
          <x:t xml:space="preserve"/>
        </x:is>
      </x:c>
      <x:c r="P80" t="inlineStr">
        <x:is>
          <x:t xml:space="preserve">Legal Exposure</x:t>
        </x:is>
      </x:c>
      <x:c r="Q80" t="inlineStr">
        <x:is>
          <x:t xml:space="preserve">Maintain adherence</x:t>
        </x:is>
      </x:c>
      <x:c r="R80" t="inlineStr">
        <x:is>
          <x:t xml:space="preserve">N</x:t>
        </x:is>
      </x:c>
      <x:c r="S80" s="2" t="inlineStr">
        <x:is>
          <x:t xml:space="preserve">Evidence: checklist template.</x:t>
        </x:is>
      </x:c>
      <x:c r="T80">
        <x:f>($N80)*(IF($D80="G",$E80,0)+IF($F80="G",$G80,0))</x:f>
      </x:c>
      <x:c r="U80">
        <x:f>($N80)*(IF($D80="E",$E80,0)+IF($F80="E",$G80,0))</x:f>
      </x:c>
      <x:c r="V80">
        <x:f>($N80)*(IF($D80="T",$E80,0)+IF($F80="T",$G80,0))</x:f>
      </x:c>
      <x:c r="W80">
        <x:f>($N80)*(IF($D80="L",$E80,0)+IF($F80="L",$G80,0))</x:f>
      </x:c>
      <x:c r="X80">
        <x:f>($N80)*(IF($D80="H",$E80,0)+IF($F80="H",$G80,0))</x:f>
      </x:c>
      <x:c r="Y80">
        <x:f>($N80)*(IF($D80="V",$E80,0)+IF($F80="V",$G80,0))</x:f>
      </x:c>
      <x:c r="Z80">
        <x:f>($N80)*(IF($D80="R",$E80,0)+IF($F80="R",$G80,0))</x:f>
      </x:c>
      <x:c r="AA80">
        <x:f>($N80)*(IF($D80="F",$E80,0)+IF($F80="F",$G80,0))</x:f>
      </x:c>
      <x:c r="AB80">
        <x:f>($N80)*(IF($D80="W",$E80,0)+IF($F80="W",$G80,0))</x:f>
      </x:c>
    </x:row>
    <x:row r="81" ht="40" customHeight="1">
      <x:c r="A81" t="inlineStr">
        <x:is>
          <x:t xml:space="preserve">HR-D4-Q16</x:t>
        </x:is>
      </x:c>
      <x:c r="B81" t="inlineStr">
        <x:is>
          <x:t xml:space="preserve">T3</x:t>
        </x:is>
      </x:c>
      <x:c r="C81" t="inlineStr">
        <x:is>
          <x:t xml:space="preserve">4. Joiner-Mover-Leaver</x:t>
        </x:is>
      </x:c>
      <x:c r="D81" t="inlineStr">
        <x:is>
          <x:t xml:space="preserve">L</x:t>
        </x:is>
      </x:c>
      <x:c r="E81" t="n">
        <x:v>0.6</x:v>
      </x:c>
      <x:c r="F81" t="inlineStr">
        <x:is>
          <x:t xml:space="preserve">H</x:t>
        </x:is>
      </x:c>
      <x:c r="G81" t="n">
        <x:v>0.4</x:v>
      </x:c>
      <x:c r="H81" s="2" t="inlineStr">
        <x:is>
          <x:t xml:space="preserve">How do you confirm departing staff understand ongoing obligations (confidentiality, data return) in clear, plain language?</x:t>
        </x:is>
      </x:c>
      <x:c r="I81" t="inlineStr">
        <x:is>
          <x:t xml:space="preserve">Not legalese: clarity + fairness + return verification.</x:t>
        </x:is>
      </x:c>
      <x:c r="J81" t="inlineStr">
        <x:is>
          <x:t xml:space="preserve">Business-proofing</x:t>
        </x:is>
      </x:c>
      <x:c r="K81" t="inlineStr">
        <x:is>
          <x:t xml:space="preserve">LEG_STRICT</x:t>
        </x:is>
      </x:c>
      <x:c r="L81" t="inlineStr">
        <x:is>
          <x:t xml:space="preserve">HR-D4-Q16-A5</x:t>
        </x:is>
      </x:c>
      <x:c r="M81" s="2" t="inlineStr">
        <x:is>
          <x:t xml:space="preserve">Optimized: tailored reminders for high-risk roles + verified return/handover.</x:t>
        </x:is>
      </x:c>
      <x:c r="N81" t="n">
        <x:v>4</x:v>
      </x:c>
      <x:c r="O81" t="inlineStr">
        <x:is>
          <x:t xml:space="preserve"/>
        </x:is>
      </x:c>
      <x:c r="P81" t="inlineStr">
        <x:is>
          <x:t xml:space="preserve">Legal Exposure</x:t>
        </x:is>
      </x:c>
      <x:c r="Q81" t="inlineStr">
        <x:is>
          <x:t xml:space="preserve">Maintain maturity</x:t>
        </x:is>
      </x:c>
      <x:c r="R81" t="inlineStr">
        <x:is>
          <x:t xml:space="preserve">N</x:t>
        </x:is>
      </x:c>
      <x:c r="S81" s="2" t="inlineStr">
        <x:is>
          <x:t xml:space="preserve">Evidence: role-based checklist.</x:t>
        </x:is>
      </x:c>
      <x:c r="T81">
        <x:f>($N81)*(IF($D81="G",$E81,0)+IF($F81="G",$G81,0))</x:f>
      </x:c>
      <x:c r="U81">
        <x:f>($N81)*(IF($D81="E",$E81,0)+IF($F81="E",$G81,0))</x:f>
      </x:c>
      <x:c r="V81">
        <x:f>($N81)*(IF($D81="T",$E81,0)+IF($F81="T",$G81,0))</x:f>
      </x:c>
      <x:c r="W81">
        <x:f>($N81)*(IF($D81="L",$E81,0)+IF($F81="L",$G81,0))</x:f>
      </x:c>
      <x:c r="X81">
        <x:f>($N81)*(IF($D81="H",$E81,0)+IF($F81="H",$G81,0))</x:f>
      </x:c>
      <x:c r="Y81">
        <x:f>($N81)*(IF($D81="V",$E81,0)+IF($F81="V",$G81,0))</x:f>
      </x:c>
      <x:c r="Z81">
        <x:f>($N81)*(IF($D81="R",$E81,0)+IF($F81="R",$G81,0))</x:f>
      </x:c>
      <x:c r="AA81">
        <x:f>($N81)*(IF($D81="F",$E81,0)+IF($F81="F",$G81,0))</x:f>
      </x:c>
      <x:c r="AB81">
        <x:f>($N81)*(IF($D81="W",$E81,0)+IF($F81="W",$G81,0))</x:f>
      </x:c>
    </x:row>
    <x:row r="82" ht="40" customHeight="1">
      <x:c r="A82" t="inlineStr">
        <x:is>
          <x:t xml:space="preserve">HR-D5-Q17</x:t>
        </x:is>
      </x:c>
      <x:c r="B82" t="inlineStr">
        <x:is>
          <x:t xml:space="preserve">T1</x:t>
        </x:is>
      </x:c>
      <x:c r="C82" t="inlineStr">
        <x:is>
          <x:t xml:space="preserve">5. Friction &amp; Workarounds</x:t>
        </x:is>
      </x:c>
      <x:c r="D82" t="inlineStr">
        <x:is>
          <x:t xml:space="preserve">F</x:t>
        </x:is>
      </x:c>
      <x:c r="E82" t="n">
        <x:v>1</x:v>
      </x:c>
      <x:c r="F82" t="inlineStr">
        <x:is>
          <x:t xml:space="preserve">-</x:t>
        </x:is>
      </x:c>
      <x:c r="G82" t="inlineStr">
        <x:is>
          <x:t xml:space="preserve"/>
        </x:is>
      </x:c>
      <x:c r="H82" s="2" t="inlineStr">
        <x:is>
          <x:t xml:space="preserve">Do security controls create productivity issues that lead to workarounds, and is there a way to fix root causes quickly?</x:t>
        </x:is>
      </x:c>
      <x:c r="I82" t="inlineStr">
        <x:is>
          <x:t xml:space="preserve">Friction management = listen, prioritise fixes, reduce bypass pressure.</x:t>
        </x:is>
      </x:c>
      <x:c r="J82" t="inlineStr">
        <x:is>
          <x:t xml:space="preserve">Gatekeeper (If BaseScore &lt;2 → HR-D5-Q18; If ≥2 → HR-D5-Q19)</x:t>
        </x:is>
      </x:c>
      <x:c r="K82" t="inlineStr">
        <x:is>
          <x:t xml:space="preserve">OPS_STD</x:t>
        </x:is>
      </x:c>
      <x:c r="L82" t="inlineStr">
        <x:is>
          <x:t xml:space="preserve">HR-D5-Q17-A0</x:t>
        </x:is>
      </x:c>
      <x:c r="M82" s="2" t="inlineStr">
        <x:is>
          <x:t xml:space="preserve">I don't know / Not sure.</x:t>
        </x:is>
      </x:c>
      <x:c r="N82" t="n">
        <x:v>0</x:v>
      </x:c>
      <x:c r="O82" t="inlineStr">
        <x:is>
          <x:t xml:space="preserve">low-confidence</x:t>
        </x:is>
      </x:c>
      <x:c r="P82" t="inlineStr">
        <x:is>
          <x:t xml:space="preserve">Bypass Pressure</x:t>
        </x:is>
      </x:c>
      <x:c r="Q82" t="inlineStr">
        <x:is>
          <x:t xml:space="preserve">Clarify bypass signals</x:t>
        </x:is>
      </x:c>
      <x:c r="R82" t="inlineStr">
        <x:is>
          <x:t xml:space="preserve">N</x:t>
        </x:is>
      </x:c>
      <x:c r="S82" s="2" t="inlineStr">
        <x:is>
          <x:t xml:space="preserve"/>
        </x:is>
      </x:c>
      <x:c r="T82">
        <x:f>($N82)*(IF($D82="G",$E82,0)+IF($F82="G",$G82,0))</x:f>
      </x:c>
      <x:c r="U82">
        <x:f>($N82)*(IF($D82="E",$E82,0)+IF($F82="E",$G82,0))</x:f>
      </x:c>
      <x:c r="V82">
        <x:f>($N82)*(IF($D82="T",$E82,0)+IF($F82="T",$G82,0))</x:f>
      </x:c>
      <x:c r="W82">
        <x:f>($N82)*(IF($D82="L",$E82,0)+IF($F82="L",$G82,0))</x:f>
      </x:c>
      <x:c r="X82">
        <x:f>($N82)*(IF($D82="H",$E82,0)+IF($F82="H",$G82,0))</x:f>
      </x:c>
      <x:c r="Y82">
        <x:f>($N82)*(IF($D82="V",$E82,0)+IF($F82="V",$G82,0))</x:f>
      </x:c>
      <x:c r="Z82">
        <x:f>($N82)*(IF($D82="R",$E82,0)+IF($F82="R",$G82,0))</x:f>
      </x:c>
      <x:c r="AA82">
        <x:f>($N82)*(IF($D82="F",$E82,0)+IF($F82="F",$G82,0))</x:f>
      </x:c>
      <x:c r="AB82">
        <x:f>($N82)*(IF($D82="W",$E82,0)+IF($F82="W",$G82,0))</x:f>
      </x:c>
    </x:row>
    <x:row r="83" ht="40" customHeight="1">
      <x:c r="A83" t="inlineStr">
        <x:is>
          <x:t xml:space="preserve">HR-D5-Q17</x:t>
        </x:is>
      </x:c>
      <x:c r="B83" t="inlineStr">
        <x:is>
          <x:t xml:space="preserve">T1</x:t>
        </x:is>
      </x:c>
      <x:c r="C83" t="inlineStr">
        <x:is>
          <x:t xml:space="preserve">5. Friction &amp; Workarounds</x:t>
        </x:is>
      </x:c>
      <x:c r="D83" t="inlineStr">
        <x:is>
          <x:t xml:space="preserve">F</x:t>
        </x:is>
      </x:c>
      <x:c r="E83" t="n">
        <x:v>1</x:v>
      </x:c>
      <x:c r="F83" t="inlineStr">
        <x:is>
          <x:t xml:space="preserve">-</x:t>
        </x:is>
      </x:c>
      <x:c r="G83" t="inlineStr">
        <x:is>
          <x:t xml:space="preserve"/>
        </x:is>
      </x:c>
      <x:c r="H83" s="2" t="inlineStr">
        <x:is>
          <x:t xml:space="preserve">Do security controls create productivity issues that lead to workarounds, and is there a way to fix root causes quickly?</x:t>
        </x:is>
      </x:c>
      <x:c r="I83" t="inlineStr">
        <x:is>
          <x:t xml:space="preserve">Friction management = listen, prioritise fixes, reduce bypass pressure.</x:t>
        </x:is>
      </x:c>
      <x:c r="J83" t="inlineStr">
        <x:is>
          <x:t xml:space="preserve">Gatekeeper (If BaseScore &lt;2 → HR-D5-Q18; If ≥2 → HR-D5-Q19)</x:t>
        </x:is>
      </x:c>
      <x:c r="K83" t="inlineStr">
        <x:is>
          <x:t xml:space="preserve">OPS_STD</x:t>
        </x:is>
      </x:c>
      <x:c r="L83" t="inlineStr">
        <x:is>
          <x:t xml:space="preserve">HR-D5-Q17-A1</x:t>
        </x:is>
      </x:c>
      <x:c r="M83" s="2" t="inlineStr">
        <x:is>
          <x:t xml:space="preserve">No process: workarounds happen and are 'normal'.</x:t>
        </x:is>
      </x:c>
      <x:c r="N83" t="n">
        <x:v>0</x:v>
      </x:c>
      <x:c r="O83" t="inlineStr">
        <x:is>
          <x:t xml:space="preserve">bypass_pressure</x:t>
        </x:is>
      </x:c>
      <x:c r="P83" t="inlineStr">
        <x:is>
          <x:t xml:space="preserve">Bypass Pressure</x:t>
        </x:is>
      </x:c>
      <x:c r="Q83" t="inlineStr">
        <x:is>
          <x:t xml:space="preserve">Implement friction intake</x:t>
        </x:is>
      </x:c>
      <x:c r="R83" t="inlineStr">
        <x:is>
          <x:t xml:space="preserve">N</x:t>
        </x:is>
      </x:c>
      <x:c r="S83" s="2" t="inlineStr">
        <x:is>
          <x:t xml:space="preserve"/>
        </x:is>
      </x:c>
      <x:c r="T83">
        <x:f>($N83)*(IF($D83="G",$E83,0)+IF($F83="G",$G83,0))</x:f>
      </x:c>
      <x:c r="U83">
        <x:f>($N83)*(IF($D83="E",$E83,0)+IF($F83="E",$G83,0))</x:f>
      </x:c>
      <x:c r="V83">
        <x:f>($N83)*(IF($D83="T",$E83,0)+IF($F83="T",$G83,0))</x:f>
      </x:c>
      <x:c r="W83">
        <x:f>($N83)*(IF($D83="L",$E83,0)+IF($F83="L",$G83,0))</x:f>
      </x:c>
      <x:c r="X83">
        <x:f>($N83)*(IF($D83="H",$E83,0)+IF($F83="H",$G83,0))</x:f>
      </x:c>
      <x:c r="Y83">
        <x:f>($N83)*(IF($D83="V",$E83,0)+IF($F83="V",$G83,0))</x:f>
      </x:c>
      <x:c r="Z83">
        <x:f>($N83)*(IF($D83="R",$E83,0)+IF($F83="R",$G83,0))</x:f>
      </x:c>
      <x:c r="AA83">
        <x:f>($N83)*(IF($D83="F",$E83,0)+IF($F83="F",$G83,0))</x:f>
      </x:c>
      <x:c r="AB83">
        <x:f>($N83)*(IF($D83="W",$E83,0)+IF($F83="W",$G83,0))</x:f>
      </x:c>
    </x:row>
    <x:row r="84" ht="40" customHeight="1">
      <x:c r="A84" t="inlineStr">
        <x:is>
          <x:t xml:space="preserve">HR-D5-Q17</x:t>
        </x:is>
      </x:c>
      <x:c r="B84" t="inlineStr">
        <x:is>
          <x:t xml:space="preserve">T1</x:t>
        </x:is>
      </x:c>
      <x:c r="C84" t="inlineStr">
        <x:is>
          <x:t xml:space="preserve">5. Friction &amp; Workarounds</x:t>
        </x:is>
      </x:c>
      <x:c r="D84" t="inlineStr">
        <x:is>
          <x:t xml:space="preserve">F</x:t>
        </x:is>
      </x:c>
      <x:c r="E84" t="n">
        <x:v>1</x:v>
      </x:c>
      <x:c r="F84" t="inlineStr">
        <x:is>
          <x:t xml:space="preserve">-</x:t>
        </x:is>
      </x:c>
      <x:c r="G84" t="inlineStr">
        <x:is>
          <x:t xml:space="preserve"/>
        </x:is>
      </x:c>
      <x:c r="H84" s="2" t="inlineStr">
        <x:is>
          <x:t xml:space="preserve">Do security controls create productivity issues that lead to workarounds, and is there a way to fix root causes quickly?</x:t>
        </x:is>
      </x:c>
      <x:c r="I84" t="inlineStr">
        <x:is>
          <x:t xml:space="preserve">Friction management = listen, prioritise fixes, reduce bypass pressure.</x:t>
        </x:is>
      </x:c>
      <x:c r="J84" t="inlineStr">
        <x:is>
          <x:t xml:space="preserve">Gatekeeper (If BaseScore &lt;2 → HR-D5-Q18; If ≥2 → HR-D5-Q19)</x:t>
        </x:is>
      </x:c>
      <x:c r="K84" t="inlineStr">
        <x:is>
          <x:t xml:space="preserve">OPS_STD</x:t>
        </x:is>
      </x:c>
      <x:c r="L84" t="inlineStr">
        <x:is>
          <x:t xml:space="preserve">HR-D5-Q17-A2</x:t>
        </x:is>
      </x:c>
      <x:c r="M84" s="2" t="inlineStr">
        <x:is>
          <x:t xml:space="preserve">Ad-hoc: complaints handled case-by-case; root causes rarely fixed.</x:t>
        </x:is>
      </x:c>
      <x:c r="N84" t="n">
        <x:v>1</x:v>
      </x:c>
      <x:c r="O84" t="inlineStr">
        <x:is>
          <x:t xml:space="preserve">shadow_mature_signal</x:t>
        </x:is>
      </x:c>
      <x:c r="P84" t="inlineStr">
        <x:is>
          <x:t xml:space="preserve">Bypass Pressure</x:t>
        </x:is>
      </x:c>
      <x:c r="Q84" t="inlineStr">
        <x:is>
          <x:t xml:space="preserve">Create backlog and owners</x:t>
        </x:is>
      </x:c>
      <x:c r="R84" t="inlineStr">
        <x:is>
          <x:t xml:space="preserve">N</x:t>
        </x:is>
      </x:c>
      <x:c r="S84" s="2" t="inlineStr">
        <x:is>
          <x:t xml:space="preserve"/>
        </x:is>
      </x:c>
      <x:c r="T84">
        <x:f>($N84)*(IF($D84="G",$E84,0)+IF($F84="G",$G84,0))</x:f>
      </x:c>
      <x:c r="U84">
        <x:f>($N84)*(IF($D84="E",$E84,0)+IF($F84="E",$G84,0))</x:f>
      </x:c>
      <x:c r="V84">
        <x:f>($N84)*(IF($D84="T",$E84,0)+IF($F84="T",$G84,0))</x:f>
      </x:c>
      <x:c r="W84">
        <x:f>($N84)*(IF($D84="L",$E84,0)+IF($F84="L",$G84,0))</x:f>
      </x:c>
      <x:c r="X84">
        <x:f>($N84)*(IF($D84="H",$E84,0)+IF($F84="H",$G84,0))</x:f>
      </x:c>
      <x:c r="Y84">
        <x:f>($N84)*(IF($D84="V",$E84,0)+IF($F84="V",$G84,0))</x:f>
      </x:c>
      <x:c r="Z84">
        <x:f>($N84)*(IF($D84="R",$E84,0)+IF($F84="R",$G84,0))</x:f>
      </x:c>
      <x:c r="AA84">
        <x:f>($N84)*(IF($D84="F",$E84,0)+IF($F84="F",$G84,0))</x:f>
      </x:c>
      <x:c r="AB84">
        <x:f>($N84)*(IF($D84="W",$E84,0)+IF($F84="W",$G84,0))</x:f>
      </x:c>
    </x:row>
    <x:row r="85" ht="40" customHeight="1">
      <x:c r="A85" t="inlineStr">
        <x:is>
          <x:t xml:space="preserve">HR-D5-Q17</x:t>
        </x:is>
      </x:c>
      <x:c r="B85" t="inlineStr">
        <x:is>
          <x:t xml:space="preserve">T1</x:t>
        </x:is>
      </x:c>
      <x:c r="C85" t="inlineStr">
        <x:is>
          <x:t xml:space="preserve">5. Friction &amp; Workarounds</x:t>
        </x:is>
      </x:c>
      <x:c r="D85" t="inlineStr">
        <x:is>
          <x:t xml:space="preserve">F</x:t>
        </x:is>
      </x:c>
      <x:c r="E85" t="n">
        <x:v>1</x:v>
      </x:c>
      <x:c r="F85" t="inlineStr">
        <x:is>
          <x:t xml:space="preserve">-</x:t>
        </x:is>
      </x:c>
      <x:c r="G85" t="inlineStr">
        <x:is>
          <x:t xml:space="preserve"/>
        </x:is>
      </x:c>
      <x:c r="H85" s="2" t="inlineStr">
        <x:is>
          <x:t xml:space="preserve">Do security controls create productivity issues that lead to workarounds, and is there a way to fix root causes quickly?</x:t>
        </x:is>
      </x:c>
      <x:c r="I85" t="inlineStr">
        <x:is>
          <x:t xml:space="preserve">Friction management = listen, prioritise fixes, reduce bypass pressure.</x:t>
        </x:is>
      </x:c>
      <x:c r="J85" t="inlineStr">
        <x:is>
          <x:t xml:space="preserve">Gatekeeper (If BaseScore &lt;2 → HR-D5-Q18; If ≥2 → HR-D5-Q19)</x:t>
        </x:is>
      </x:c>
      <x:c r="K85" t="inlineStr">
        <x:is>
          <x:t xml:space="preserve">OPS_STD</x:t>
        </x:is>
      </x:c>
      <x:c r="L85" t="inlineStr">
        <x:is>
          <x:t xml:space="preserve">HR-D5-Q17-A3</x:t>
        </x:is>
      </x:c>
      <x:c r="M85" s="2" t="inlineStr">
        <x:is>
          <x:t xml:space="preserve">Defined: a channel exists; some fixes prioritised.</x:t>
        </x:is>
      </x:c>
      <x:c r="N85" t="n">
        <x:v>2</x:v>
      </x:c>
      <x:c r="O85" t="inlineStr">
        <x:is>
          <x:t xml:space="preserve"/>
        </x:is>
      </x:c>
      <x:c r="P85" t="inlineStr">
        <x:is>
          <x:t xml:space="preserve">Bypass Pressure</x:t>
        </x:is>
      </x:c>
      <x:c r="Q85" t="inlineStr">
        <x:is>
          <x:t xml:space="preserve">Strengthen prioritisation</x:t>
        </x:is>
      </x:c>
      <x:c r="R85" t="inlineStr">
        <x:is>
          <x:t xml:space="preserve">N</x:t>
        </x:is>
      </x:c>
      <x:c r="S85" s="2" t="inlineStr">
        <x:is>
          <x:t xml:space="preserve">Evidence: tickets/backlog.</x:t>
        </x:is>
      </x:c>
      <x:c r="T85">
        <x:f>($N85)*(IF($D85="G",$E85,0)+IF($F85="G",$G85,0))</x:f>
      </x:c>
      <x:c r="U85">
        <x:f>($N85)*(IF($D85="E",$E85,0)+IF($F85="E",$G85,0))</x:f>
      </x:c>
      <x:c r="V85">
        <x:f>($N85)*(IF($D85="T",$E85,0)+IF($F85="T",$G85,0))</x:f>
      </x:c>
      <x:c r="W85">
        <x:f>($N85)*(IF($D85="L",$E85,0)+IF($F85="L",$G85,0))</x:f>
      </x:c>
      <x:c r="X85">
        <x:f>($N85)*(IF($D85="H",$E85,0)+IF($F85="H",$G85,0))</x:f>
      </x:c>
      <x:c r="Y85">
        <x:f>($N85)*(IF($D85="V",$E85,0)+IF($F85="V",$G85,0))</x:f>
      </x:c>
      <x:c r="Z85">
        <x:f>($N85)*(IF($D85="R",$E85,0)+IF($F85="R",$G85,0))</x:f>
      </x:c>
      <x:c r="AA85">
        <x:f>($N85)*(IF($D85="F",$E85,0)+IF($F85="F",$G85,0))</x:f>
      </x:c>
      <x:c r="AB85">
        <x:f>($N85)*(IF($D85="W",$E85,0)+IF($F85="W",$G85,0))</x:f>
      </x:c>
    </x:row>
    <x:row r="86" ht="40" customHeight="1">
      <x:c r="A86" t="inlineStr">
        <x:is>
          <x:t xml:space="preserve">HR-D5-Q17</x:t>
        </x:is>
      </x:c>
      <x:c r="B86" t="inlineStr">
        <x:is>
          <x:t xml:space="preserve">T1</x:t>
        </x:is>
      </x:c>
      <x:c r="C86" t="inlineStr">
        <x:is>
          <x:t xml:space="preserve">5. Friction &amp; Workarounds</x:t>
        </x:is>
      </x:c>
      <x:c r="D86" t="inlineStr">
        <x:is>
          <x:t xml:space="preserve">F</x:t>
        </x:is>
      </x:c>
      <x:c r="E86" t="n">
        <x:v>1</x:v>
      </x:c>
      <x:c r="F86" t="inlineStr">
        <x:is>
          <x:t xml:space="preserve">-</x:t>
        </x:is>
      </x:c>
      <x:c r="G86" t="inlineStr">
        <x:is>
          <x:t xml:space="preserve"/>
        </x:is>
      </x:c>
      <x:c r="H86" s="2" t="inlineStr">
        <x:is>
          <x:t xml:space="preserve">Do security controls create productivity issues that lead to workarounds, and is there a way to fix root causes quickly?</x:t>
        </x:is>
      </x:c>
      <x:c r="I86" t="inlineStr">
        <x:is>
          <x:t xml:space="preserve">Friction management = listen, prioritise fixes, reduce bypass pressure.</x:t>
        </x:is>
      </x:c>
      <x:c r="J86" t="inlineStr">
        <x:is>
          <x:t xml:space="preserve">Gatekeeper (If BaseScore &lt;2 → HR-D5-Q18; If ≥2 → HR-D5-Q19)</x:t>
        </x:is>
      </x:c>
      <x:c r="K86" t="inlineStr">
        <x:is>
          <x:t xml:space="preserve">OPS_STD</x:t>
        </x:is>
      </x:c>
      <x:c r="L86" t="inlineStr">
        <x:is>
          <x:t xml:space="preserve">HR-D5-Q17-A4</x:t>
        </x:is>
      </x:c>
      <x:c r="M86" s="2" t="inlineStr">
        <x:is>
          <x:t xml:space="preserve">Managed: friction metrics tracked; fixes reduce repeated workarounds.</x:t>
        </x:is>
      </x:c>
      <x:c r="N86" t="n">
        <x:v>3</x:v>
      </x:c>
      <x:c r="O86" t="inlineStr">
        <x:is>
          <x:t xml:space="preserve"/>
        </x:is>
      </x:c>
      <x:c r="P86" t="inlineStr">
        <x:is>
          <x:t xml:space="preserve">Bypass Pressure</x:t>
        </x:is>
      </x:c>
      <x:c r="Q86" t="inlineStr">
        <x:is>
          <x:t xml:space="preserve">Maintain metrics</x:t>
        </x:is>
      </x:c>
      <x:c r="R86" t="inlineStr">
        <x:is>
          <x:t xml:space="preserve">N</x:t>
        </x:is>
      </x:c>
      <x:c r="S86" s="2" t="inlineStr">
        <x:is>
          <x:t xml:space="preserve">Evidence: before/after examples.</x:t>
        </x:is>
      </x:c>
      <x:c r="T86">
        <x:f>($N86)*(IF($D86="G",$E86,0)+IF($F86="G",$G86,0))</x:f>
      </x:c>
      <x:c r="U86">
        <x:f>($N86)*(IF($D86="E",$E86,0)+IF($F86="E",$G86,0))</x:f>
      </x:c>
      <x:c r="V86">
        <x:f>($N86)*(IF($D86="T",$E86,0)+IF($F86="T",$G86,0))</x:f>
      </x:c>
      <x:c r="W86">
        <x:f>($N86)*(IF($D86="L",$E86,0)+IF($F86="L",$G86,0))</x:f>
      </x:c>
      <x:c r="X86">
        <x:f>($N86)*(IF($D86="H",$E86,0)+IF($F86="H",$G86,0))</x:f>
      </x:c>
      <x:c r="Y86">
        <x:f>($N86)*(IF($D86="V",$E86,0)+IF($F86="V",$G86,0))</x:f>
      </x:c>
      <x:c r="Z86">
        <x:f>($N86)*(IF($D86="R",$E86,0)+IF($F86="R",$G86,0))</x:f>
      </x:c>
      <x:c r="AA86">
        <x:f>($N86)*(IF($D86="F",$E86,0)+IF($F86="F",$G86,0))</x:f>
      </x:c>
      <x:c r="AB86">
        <x:f>($N86)*(IF($D86="W",$E86,0)+IF($F86="W",$G86,0))</x:f>
      </x:c>
    </x:row>
    <x:row r="87" ht="40" customHeight="1">
      <x:c r="A87" t="inlineStr">
        <x:is>
          <x:t xml:space="preserve">HR-D5-Q17</x:t>
        </x:is>
      </x:c>
      <x:c r="B87" t="inlineStr">
        <x:is>
          <x:t xml:space="preserve">T1</x:t>
        </x:is>
      </x:c>
      <x:c r="C87" t="inlineStr">
        <x:is>
          <x:t xml:space="preserve">5. Friction &amp; Workarounds</x:t>
        </x:is>
      </x:c>
      <x:c r="D87" t="inlineStr">
        <x:is>
          <x:t xml:space="preserve">F</x:t>
        </x:is>
      </x:c>
      <x:c r="E87" t="n">
        <x:v>1</x:v>
      </x:c>
      <x:c r="F87" t="inlineStr">
        <x:is>
          <x:t xml:space="preserve">-</x:t>
        </x:is>
      </x:c>
      <x:c r="G87" t="inlineStr">
        <x:is>
          <x:t xml:space="preserve"/>
        </x:is>
      </x:c>
      <x:c r="H87" s="2" t="inlineStr">
        <x:is>
          <x:t xml:space="preserve">Do security controls create productivity issues that lead to workarounds, and is there a way to fix root causes quickly?</x:t>
        </x:is>
      </x:c>
      <x:c r="I87" t="inlineStr">
        <x:is>
          <x:t xml:space="preserve">Friction management = listen, prioritise fixes, reduce bypass pressure.</x:t>
        </x:is>
      </x:c>
      <x:c r="J87" t="inlineStr">
        <x:is>
          <x:t xml:space="preserve">Gatekeeper (If BaseScore &lt;2 → HR-D5-Q18; If ≥2 → HR-D5-Q19)</x:t>
        </x:is>
      </x:c>
      <x:c r="K87" t="inlineStr">
        <x:is>
          <x:t xml:space="preserve">OPS_STD</x:t>
        </x:is>
      </x:c>
      <x:c r="L87" t="inlineStr">
        <x:is>
          <x:t xml:space="preserve">HR-D5-Q17-A5</x:t>
        </x:is>
      </x:c>
      <x:c r="M87" s="2" t="inlineStr">
        <x:is>
          <x:t xml:space="preserve">Optimized: low bypass pressure; usability designed in; exceptions rare/time-bound.</x:t>
        </x:is>
      </x:c>
      <x:c r="N87" t="n">
        <x:v>4</x:v>
      </x:c>
      <x:c r="O87" t="inlineStr">
        <x:is>
          <x:t xml:space="preserve"/>
        </x:is>
      </x:c>
      <x:c r="P87" t="inlineStr">
        <x:is>
          <x:t xml:space="preserve">Bypass Pressure</x:t>
        </x:is>
      </x:c>
      <x:c r="Q87" t="inlineStr">
        <x:is>
          <x:t xml:space="preserve">Maintain maturity</x:t>
        </x:is>
      </x:c>
      <x:c r="R87" t="inlineStr">
        <x:is>
          <x:t xml:space="preserve">N</x:t>
        </x:is>
      </x:c>
      <x:c r="S87" s="2" t="inlineStr">
        <x:is>
          <x:t xml:space="preserve">Evidence: exception rates.</x:t>
        </x:is>
      </x:c>
      <x:c r="T87">
        <x:f>($N87)*(IF($D87="G",$E87,0)+IF($F87="G",$G87,0))</x:f>
      </x:c>
      <x:c r="U87">
        <x:f>($N87)*(IF($D87="E",$E87,0)+IF($F87="E",$G87,0))</x:f>
      </x:c>
      <x:c r="V87">
        <x:f>($N87)*(IF($D87="T",$E87,0)+IF($F87="T",$G87,0))</x:f>
      </x:c>
      <x:c r="W87">
        <x:f>($N87)*(IF($D87="L",$E87,0)+IF($F87="L",$G87,0))</x:f>
      </x:c>
      <x:c r="X87">
        <x:f>($N87)*(IF($D87="H",$E87,0)+IF($F87="H",$G87,0))</x:f>
      </x:c>
      <x:c r="Y87">
        <x:f>($N87)*(IF($D87="V",$E87,0)+IF($F87="V",$G87,0))</x:f>
      </x:c>
      <x:c r="Z87">
        <x:f>($N87)*(IF($D87="R",$E87,0)+IF($F87="R",$G87,0))</x:f>
      </x:c>
      <x:c r="AA87">
        <x:f>($N87)*(IF($D87="F",$E87,0)+IF($F87="F",$G87,0))</x:f>
      </x:c>
      <x:c r="AB87">
        <x:f>($N87)*(IF($D87="W",$E87,0)+IF($F87="W",$G87,0))</x:f>
      </x:c>
    </x:row>
    <x:row r="88" ht="40" customHeight="1">
      <x:c r="A88" t="inlineStr">
        <x:is>
          <x:t xml:space="preserve">HR-D5-Q18</x:t>
        </x:is>
      </x:c>
      <x:c r="B88" t="inlineStr">
        <x:is>
          <x:t xml:space="preserve">T2</x:t>
        </x:is>
      </x:c>
      <x:c r="C88" t="inlineStr">
        <x:is>
          <x:t xml:space="preserve">5. Friction &amp; Workarounds</x:t>
        </x:is>
      </x:c>
      <x:c r="D88" t="inlineStr">
        <x:is>
          <x:t xml:space="preserve">F</x:t>
        </x:is>
      </x:c>
      <x:c r="E88" t="n">
        <x:v>0.5</x:v>
      </x:c>
      <x:c r="F88" t="inlineStr">
        <x:is>
          <x:t xml:space="preserve">E</x:t>
        </x:is>
      </x:c>
      <x:c r="G88" t="n">
        <x:v>0.5</x:v>
      </x:c>
      <x:c r="H88" s="2" t="inlineStr">
        <x:is>
          <x:t xml:space="preserve">(Shadow probe) If workarounds happen, do you learn about them and fix root causes (not just punish people)?</x:t>
        </x:is>
      </x:c>
      <x:c r="I88" t="inlineStr">
        <x:is>
          <x:t xml:space="preserve">Learning loops reduce bypass pressure.</x:t>
        </x:is>
      </x:c>
      <x:c r="J88" t="inlineStr">
        <x:is>
          <x:t xml:space="preserve">Shadow fallback (Then → HR-D6-Q20)</x:t>
        </x:is>
      </x:c>
      <x:c r="K88" t="inlineStr">
        <x:is>
          <x:t xml:space="preserve">OPS_STD</x:t>
        </x:is>
      </x:c>
      <x:c r="L88" t="inlineStr">
        <x:is>
          <x:t xml:space="preserve">HR-D5-Q18-A1</x:t>
        </x:is>
      </x:c>
      <x:c r="M88" s="2" t="inlineStr">
        <x:is>
          <x:t xml:space="preserve">No: bypass discovered only after incidents/audits.</x:t>
        </x:is>
      </x:c>
      <x:c r="N88" t="n">
        <x:v>0</x:v>
      </x:c>
      <x:c r="O88" t="inlineStr">
        <x:is>
          <x:t xml:space="preserve">bypass_pressure,paper_dragon_signal</x:t>
        </x:is>
      </x:c>
      <x:c r="P88" t="inlineStr">
        <x:is>
          <x:t xml:space="preserve">Bypass Pressure</x:t>
        </x:is>
      </x:c>
      <x:c r="Q88" t="inlineStr">
        <x:is>
          <x:t xml:space="preserve">Create feedback loop</x:t>
        </x:is>
      </x:c>
      <x:c r="R88" t="inlineStr">
        <x:is>
          <x:t xml:space="preserve">N</x:t>
        </x:is>
      </x:c>
      <x:c r="S88" s="2" t="inlineStr">
        <x:is>
          <x:t xml:space="preserve"/>
        </x:is>
      </x:c>
      <x:c r="T88">
        <x:f>($N88)*(IF($D88="G",$E88,0)+IF($F88="G",$G88,0))</x:f>
      </x:c>
      <x:c r="U88">
        <x:f>($N88)*(IF($D88="E",$E88,0)+IF($F88="E",$G88,0))</x:f>
      </x:c>
      <x:c r="V88">
        <x:f>($N88)*(IF($D88="T",$E88,0)+IF($F88="T",$G88,0))</x:f>
      </x:c>
      <x:c r="W88">
        <x:f>($N88)*(IF($D88="L",$E88,0)+IF($F88="L",$G88,0))</x:f>
      </x:c>
      <x:c r="X88">
        <x:f>($N88)*(IF($D88="H",$E88,0)+IF($F88="H",$G88,0))</x:f>
      </x:c>
      <x:c r="Y88">
        <x:f>($N88)*(IF($D88="V",$E88,0)+IF($F88="V",$G88,0))</x:f>
      </x:c>
      <x:c r="Z88">
        <x:f>($N88)*(IF($D88="R",$E88,0)+IF($F88="R",$G88,0))</x:f>
      </x:c>
      <x:c r="AA88">
        <x:f>($N88)*(IF($D88="F",$E88,0)+IF($F88="F",$G88,0))</x:f>
      </x:c>
      <x:c r="AB88">
        <x:f>($N88)*(IF($D88="W",$E88,0)+IF($F88="W",$G88,0))</x:f>
      </x:c>
    </x:row>
    <x:row r="89" ht="40" customHeight="1">
      <x:c r="A89" t="inlineStr">
        <x:is>
          <x:t xml:space="preserve">HR-D5-Q18</x:t>
        </x:is>
      </x:c>
      <x:c r="B89" t="inlineStr">
        <x:is>
          <x:t xml:space="preserve">T2</x:t>
        </x:is>
      </x:c>
      <x:c r="C89" t="inlineStr">
        <x:is>
          <x:t xml:space="preserve">5. Friction &amp; Workarounds</x:t>
        </x:is>
      </x:c>
      <x:c r="D89" t="inlineStr">
        <x:is>
          <x:t xml:space="preserve">F</x:t>
        </x:is>
      </x:c>
      <x:c r="E89" t="n">
        <x:v>0.5</x:v>
      </x:c>
      <x:c r="F89" t="inlineStr">
        <x:is>
          <x:t xml:space="preserve">E</x:t>
        </x:is>
      </x:c>
      <x:c r="G89" t="n">
        <x:v>0.5</x:v>
      </x:c>
      <x:c r="H89" s="2" t="inlineStr">
        <x:is>
          <x:t xml:space="preserve">(Shadow probe) If workarounds happen, do you learn about them and fix root causes (not just punish people)?</x:t>
        </x:is>
      </x:c>
      <x:c r="I89" t="inlineStr">
        <x:is>
          <x:t xml:space="preserve">Learning loops reduce bypass pressure.</x:t>
        </x:is>
      </x:c>
      <x:c r="J89" t="inlineStr">
        <x:is>
          <x:t xml:space="preserve">Shadow fallback (Then → HR-D6-Q20)</x:t>
        </x:is>
      </x:c>
      <x:c r="K89" t="inlineStr">
        <x:is>
          <x:t xml:space="preserve">OPS_STD</x:t>
        </x:is>
      </x:c>
      <x:c r="L89" t="inlineStr">
        <x:is>
          <x:t xml:space="preserve">HR-D5-Q18-A2</x:t>
        </x:is>
      </x:c>
      <x:c r="M89" s="2" t="inlineStr">
        <x:is>
          <x:t xml:space="preserve">Sometimes: managers/HR hear about it; actions vary.</x:t>
        </x:is>
      </x:c>
      <x:c r="N89" t="n">
        <x:v>1</x:v>
      </x:c>
      <x:c r="O89" t="inlineStr">
        <x:is>
          <x:t xml:space="preserve">key_person_dependency</x:t>
        </x:is>
      </x:c>
      <x:c r="P89" t="inlineStr">
        <x:is>
          <x:t xml:space="preserve">Bypass Pressure</x:t>
        </x:is>
      </x:c>
      <x:c r="Q89" t="inlineStr">
        <x:is>
          <x:t xml:space="preserve">Define triage and fixes</x:t>
        </x:is>
      </x:c>
      <x:c r="R89" t="inlineStr">
        <x:is>
          <x:t xml:space="preserve">N</x:t>
        </x:is>
      </x:c>
      <x:c r="S89" s="2" t="inlineStr">
        <x:is>
          <x:t xml:space="preserve"/>
        </x:is>
      </x:c>
      <x:c r="T89">
        <x:f>($N89)*(IF($D89="G",$E89,0)+IF($F89="G",$G89,0))</x:f>
      </x:c>
      <x:c r="U89">
        <x:f>($N89)*(IF($D89="E",$E89,0)+IF($F89="E",$G89,0))</x:f>
      </x:c>
      <x:c r="V89">
        <x:f>($N89)*(IF($D89="T",$E89,0)+IF($F89="T",$G89,0))</x:f>
      </x:c>
      <x:c r="W89">
        <x:f>($N89)*(IF($D89="L",$E89,0)+IF($F89="L",$G89,0))</x:f>
      </x:c>
      <x:c r="X89">
        <x:f>($N89)*(IF($D89="H",$E89,0)+IF($F89="H",$G89,0))</x:f>
      </x:c>
      <x:c r="Y89">
        <x:f>($N89)*(IF($D89="V",$E89,0)+IF($F89="V",$G89,0))</x:f>
      </x:c>
      <x:c r="Z89">
        <x:f>($N89)*(IF($D89="R",$E89,0)+IF($F89="R",$G89,0))</x:f>
      </x:c>
      <x:c r="AA89">
        <x:f>($N89)*(IF($D89="F",$E89,0)+IF($F89="F",$G89,0))</x:f>
      </x:c>
      <x:c r="AB89">
        <x:f>($N89)*(IF($D89="W",$E89,0)+IF($F89="W",$G89,0))</x:f>
      </x:c>
    </x:row>
    <x:row r="90" ht="40" customHeight="1">
      <x:c r="A90" t="inlineStr">
        <x:is>
          <x:t xml:space="preserve">HR-D5-Q18</x:t>
        </x:is>
      </x:c>
      <x:c r="B90" t="inlineStr">
        <x:is>
          <x:t xml:space="preserve">T2</x:t>
        </x:is>
      </x:c>
      <x:c r="C90" t="inlineStr">
        <x:is>
          <x:t xml:space="preserve">5. Friction &amp; Workarounds</x:t>
        </x:is>
      </x:c>
      <x:c r="D90" t="inlineStr">
        <x:is>
          <x:t xml:space="preserve">F</x:t>
        </x:is>
      </x:c>
      <x:c r="E90" t="n">
        <x:v>0.5</x:v>
      </x:c>
      <x:c r="F90" t="inlineStr">
        <x:is>
          <x:t xml:space="preserve">E</x:t>
        </x:is>
      </x:c>
      <x:c r="G90" t="n">
        <x:v>0.5</x:v>
      </x:c>
      <x:c r="H90" s="2" t="inlineStr">
        <x:is>
          <x:t xml:space="preserve">(Shadow probe) If workarounds happen, do you learn about them and fix root causes (not just punish people)?</x:t>
        </x:is>
      </x:c>
      <x:c r="I90" t="inlineStr">
        <x:is>
          <x:t xml:space="preserve">Learning loops reduce bypass pressure.</x:t>
        </x:is>
      </x:c>
      <x:c r="J90" t="inlineStr">
        <x:is>
          <x:t xml:space="preserve">Shadow fallback (Then → HR-D6-Q20)</x:t>
        </x:is>
      </x:c>
      <x:c r="K90" t="inlineStr">
        <x:is>
          <x:t xml:space="preserve">OPS_STD</x:t>
        </x:is>
      </x:c>
      <x:c r="L90" t="inlineStr">
        <x:is>
          <x:t xml:space="preserve">HR-D5-Q18-A3</x:t>
        </x:is>
      </x:c>
      <x:c r="M90" s="2" t="inlineStr">
        <x:is>
          <x:t xml:space="preserve">Usually: signals collected and discussed; some fixes implemented.</x:t>
        </x:is>
      </x:c>
      <x:c r="N90" t="n">
        <x:v>2</x:v>
      </x:c>
      <x:c r="O90" t="inlineStr">
        <x:is>
          <x:t xml:space="preserve"/>
        </x:is>
      </x:c>
      <x:c r="P90" t="inlineStr">
        <x:is>
          <x:t xml:space="preserve">Bypass Pressure</x:t>
        </x:is>
      </x:c>
      <x:c r="Q90" t="inlineStr">
        <x:is>
          <x:t xml:space="preserve">Formalize backlog</x:t>
        </x:is>
      </x:c>
      <x:c r="R90" t="inlineStr">
        <x:is>
          <x:t xml:space="preserve">N</x:t>
        </x:is>
      </x:c>
      <x:c r="S90" s="2" t="inlineStr">
        <x:is>
          <x:t xml:space="preserve"/>
        </x:is>
      </x:c>
      <x:c r="T90">
        <x:f>($N90)*(IF($D90="G",$E90,0)+IF($F90="G",$G90,0))</x:f>
      </x:c>
      <x:c r="U90">
        <x:f>($N90)*(IF($D90="E",$E90,0)+IF($F90="E",$G90,0))</x:f>
      </x:c>
      <x:c r="V90">
        <x:f>($N90)*(IF($D90="T",$E90,0)+IF($F90="T",$G90,0))</x:f>
      </x:c>
      <x:c r="W90">
        <x:f>($N90)*(IF($D90="L",$E90,0)+IF($F90="L",$G90,0))</x:f>
      </x:c>
      <x:c r="X90">
        <x:f>($N90)*(IF($D90="H",$E90,0)+IF($F90="H",$G90,0))</x:f>
      </x:c>
      <x:c r="Y90">
        <x:f>($N90)*(IF($D90="V",$E90,0)+IF($F90="V",$G90,0))</x:f>
      </x:c>
      <x:c r="Z90">
        <x:f>($N90)*(IF($D90="R",$E90,0)+IF($F90="R",$G90,0))</x:f>
      </x:c>
      <x:c r="AA90">
        <x:f>($N90)*(IF($D90="F",$E90,0)+IF($F90="F",$G90,0))</x:f>
      </x:c>
      <x:c r="AB90">
        <x:f>($N90)*(IF($D90="W",$E90,0)+IF($F90="W",$G90,0))</x:f>
      </x:c>
    </x:row>
    <x:row r="91" ht="40" customHeight="1">
      <x:c r="A91" t="inlineStr">
        <x:is>
          <x:t xml:space="preserve">HR-D5-Q18</x:t>
        </x:is>
      </x:c>
      <x:c r="B91" t="inlineStr">
        <x:is>
          <x:t xml:space="preserve">T2</x:t>
        </x:is>
      </x:c>
      <x:c r="C91" t="inlineStr">
        <x:is>
          <x:t xml:space="preserve">5. Friction &amp; Workarounds</x:t>
        </x:is>
      </x:c>
      <x:c r="D91" t="inlineStr">
        <x:is>
          <x:t xml:space="preserve">F</x:t>
        </x:is>
      </x:c>
      <x:c r="E91" t="n">
        <x:v>0.5</x:v>
      </x:c>
      <x:c r="F91" t="inlineStr">
        <x:is>
          <x:t xml:space="preserve">E</x:t>
        </x:is>
      </x:c>
      <x:c r="G91" t="n">
        <x:v>0.5</x:v>
      </x:c>
      <x:c r="H91" s="2" t="inlineStr">
        <x:is>
          <x:t xml:space="preserve">(Shadow probe) If workarounds happen, do you learn about them and fix root causes (not just punish people)?</x:t>
        </x:is>
      </x:c>
      <x:c r="I91" t="inlineStr">
        <x:is>
          <x:t xml:space="preserve">Learning loops reduce bypass pressure.</x:t>
        </x:is>
      </x:c>
      <x:c r="J91" t="inlineStr">
        <x:is>
          <x:t xml:space="preserve">Shadow fallback (Then → HR-D6-Q20)</x:t>
        </x:is>
      </x:c>
      <x:c r="K91" t="inlineStr">
        <x:is>
          <x:t xml:space="preserve">OPS_STD</x:t>
        </x:is>
      </x:c>
      <x:c r="L91" t="inlineStr">
        <x:is>
          <x:t xml:space="preserve">HR-D5-Q18-A4</x:t>
        </x:is>
      </x:c>
      <x:c r="M91" s="2" t="inlineStr">
        <x:is>
          <x:t xml:space="preserve">Yes: consistent intake, root-cause analysis, and prioritised remediation.</x:t>
        </x:is>
      </x:c>
      <x:c r="N91" t="n">
        <x:v>3</x:v>
      </x:c>
      <x:c r="O91" t="inlineStr">
        <x:is>
          <x:t xml:space="preserve"/>
        </x:is>
      </x:c>
      <x:c r="P91" t="inlineStr">
        <x:is>
          <x:t xml:space="preserve">Bypass Pressure</x:t>
        </x:is>
      </x:c>
      <x:c r="Q91" t="inlineStr">
        <x:is>
          <x:t xml:space="preserve">Maintain and measure</x:t>
        </x:is>
      </x:c>
      <x:c r="R91" t="inlineStr">
        <x:is>
          <x:t xml:space="preserve">N</x:t>
        </x:is>
      </x:c>
      <x:c r="S91" s="2" t="inlineStr">
        <x:is>
          <x:t xml:space="preserve">Evidence: RCA examples.</x:t>
        </x:is>
      </x:c>
      <x:c r="T91">
        <x:f>($N91)*(IF($D91="G",$E91,0)+IF($F91="G",$G91,0))</x:f>
      </x:c>
      <x:c r="U91">
        <x:f>($N91)*(IF($D91="E",$E91,0)+IF($F91="E",$G91,0))</x:f>
      </x:c>
      <x:c r="V91">
        <x:f>($N91)*(IF($D91="T",$E91,0)+IF($F91="T",$G91,0))</x:f>
      </x:c>
      <x:c r="W91">
        <x:f>($N91)*(IF($D91="L",$E91,0)+IF($F91="L",$G91,0))</x:f>
      </x:c>
      <x:c r="X91">
        <x:f>($N91)*(IF($D91="H",$E91,0)+IF($F91="H",$G91,0))</x:f>
      </x:c>
      <x:c r="Y91">
        <x:f>($N91)*(IF($D91="V",$E91,0)+IF($F91="V",$G91,0))</x:f>
      </x:c>
      <x:c r="Z91">
        <x:f>($N91)*(IF($D91="R",$E91,0)+IF($F91="R",$G91,0))</x:f>
      </x:c>
      <x:c r="AA91">
        <x:f>($N91)*(IF($D91="F",$E91,0)+IF($F91="F",$G91,0))</x:f>
      </x:c>
      <x:c r="AB91">
        <x:f>($N91)*(IF($D91="W",$E91,0)+IF($F91="W",$G91,0))</x:f>
      </x:c>
    </x:row>
    <x:row r="92" ht="40" customHeight="1">
      <x:c r="A92" t="inlineStr">
        <x:is>
          <x:t xml:space="preserve">HR-D5-Q19</x:t>
        </x:is>
      </x:c>
      <x:c r="B92" t="inlineStr">
        <x:is>
          <x:t xml:space="preserve">T2</x:t>
        </x:is>
      </x:c>
      <x:c r="C92" t="inlineStr">
        <x:is>
          <x:t xml:space="preserve">5. Friction &amp; Workarounds</x:t>
        </x:is>
      </x:c>
      <x:c r="D92" t="inlineStr">
        <x:is>
          <x:t xml:space="preserve">G</x:t>
        </x:is>
      </x:c>
      <x:c r="E92" t="n">
        <x:v>0.5</x:v>
      </x:c>
      <x:c r="F92" t="inlineStr">
        <x:is>
          <x:t xml:space="preserve">F</x:t>
        </x:is>
      </x:c>
      <x:c r="G92" t="n">
        <x:v>0.5</x:v>
      </x:c>
      <x:c r="H92" s="2" t="inlineStr">
        <x:is>
          <x:t xml:space="preserve">Are policy exceptions tracked, time-bound, and reviewed so bypass doesn't become permanent?</x:t>
        </x:is>
      </x:c>
      <x:c r="I92" t="inlineStr">
        <x:is>
          <x:t xml:space="preserve">Exception governance is a key insider-risk control.</x:t>
        </x:is>
      </x:c>
      <x:c r="J92" t="inlineStr">
        <x:is>
          <x:t xml:space="preserve">Drill-down</x:t>
        </x:is>
      </x:c>
      <x:c r="K92" t="inlineStr">
        <x:is>
          <x:t xml:space="preserve">GOV_STD</x:t>
        </x:is>
      </x:c>
      <x:c r="L92" t="inlineStr">
        <x:is>
          <x:t xml:space="preserve">HR-D5-Q19-A1</x:t>
        </x:is>
      </x:c>
      <x:c r="M92" s="2" t="inlineStr">
        <x:is>
          <x:t xml:space="preserve">No: exceptions are informal and not tracked.</x:t>
        </x:is>
      </x:c>
      <x:c r="N92" t="n">
        <x:v>0</x:v>
      </x:c>
      <x:c r="O92" t="inlineStr">
        <x:is>
          <x:t xml:space="preserve">bypass_pressure</x:t>
        </x:is>
      </x:c>
      <x:c r="P92" t="inlineStr">
        <x:is>
          <x:t xml:space="preserve">Bypass Pressure</x:t>
        </x:is>
      </x:c>
      <x:c r="Q92" t="inlineStr">
        <x:is>
          <x:t xml:space="preserve">Introduce exception register</x:t>
        </x:is>
      </x:c>
      <x:c r="R92" t="inlineStr">
        <x:is>
          <x:t xml:space="preserve">N</x:t>
        </x:is>
      </x:c>
      <x:c r="S92" s="2" t="inlineStr">
        <x:is>
          <x:t xml:space="preserve"/>
        </x:is>
      </x:c>
      <x:c r="T92">
        <x:f>($N92)*(IF($D92="G",$E92,0)+IF($F92="G",$G92,0))</x:f>
      </x:c>
      <x:c r="U92">
        <x:f>($N92)*(IF($D92="E",$E92,0)+IF($F92="E",$G92,0))</x:f>
      </x:c>
      <x:c r="V92">
        <x:f>($N92)*(IF($D92="T",$E92,0)+IF($F92="T",$G92,0))</x:f>
      </x:c>
      <x:c r="W92">
        <x:f>($N92)*(IF($D92="L",$E92,0)+IF($F92="L",$G92,0))</x:f>
      </x:c>
      <x:c r="X92">
        <x:f>($N92)*(IF($D92="H",$E92,0)+IF($F92="H",$G92,0))</x:f>
      </x:c>
      <x:c r="Y92">
        <x:f>($N92)*(IF($D92="V",$E92,0)+IF($F92="V",$G92,0))</x:f>
      </x:c>
      <x:c r="Z92">
        <x:f>($N92)*(IF($D92="R",$E92,0)+IF($F92="R",$G92,0))</x:f>
      </x:c>
      <x:c r="AA92">
        <x:f>($N92)*(IF($D92="F",$E92,0)+IF($F92="F",$G92,0))</x:f>
      </x:c>
      <x:c r="AB92">
        <x:f>($N92)*(IF($D92="W",$E92,0)+IF($F92="W",$G92,0))</x:f>
      </x:c>
    </x:row>
    <x:row r="93" ht="40" customHeight="1">
      <x:c r="A93" t="inlineStr">
        <x:is>
          <x:t xml:space="preserve">HR-D5-Q19</x:t>
        </x:is>
      </x:c>
      <x:c r="B93" t="inlineStr">
        <x:is>
          <x:t xml:space="preserve">T2</x:t>
        </x:is>
      </x:c>
      <x:c r="C93" t="inlineStr">
        <x:is>
          <x:t xml:space="preserve">5. Friction &amp; Workarounds</x:t>
        </x:is>
      </x:c>
      <x:c r="D93" t="inlineStr">
        <x:is>
          <x:t xml:space="preserve">G</x:t>
        </x:is>
      </x:c>
      <x:c r="E93" t="n">
        <x:v>0.5</x:v>
      </x:c>
      <x:c r="F93" t="inlineStr">
        <x:is>
          <x:t xml:space="preserve">F</x:t>
        </x:is>
      </x:c>
      <x:c r="G93" t="n">
        <x:v>0.5</x:v>
      </x:c>
      <x:c r="H93" s="2" t="inlineStr">
        <x:is>
          <x:t xml:space="preserve">Are policy exceptions tracked, time-bound, and reviewed so bypass doesn't become permanent?</x:t>
        </x:is>
      </x:c>
      <x:c r="I93" t="inlineStr">
        <x:is>
          <x:t xml:space="preserve">Exception governance is a key insider-risk control.</x:t>
        </x:is>
      </x:c>
      <x:c r="J93" t="inlineStr">
        <x:is>
          <x:t xml:space="preserve">Drill-down</x:t>
        </x:is>
      </x:c>
      <x:c r="K93" t="inlineStr">
        <x:is>
          <x:t xml:space="preserve">GOV_STD</x:t>
        </x:is>
      </x:c>
      <x:c r="L93" t="inlineStr">
        <x:is>
          <x:t xml:space="preserve">HR-D5-Q19-A2</x:t>
        </x:is>
      </x:c>
      <x:c r="M93" s="2" t="inlineStr">
        <x:is>
          <x:t xml:space="preserve">Some tracking, but no expiry/review; exceptions accumulate.</x:t>
        </x:is>
      </x:c>
      <x:c r="N93" t="n">
        <x:v>1</x:v>
      </x:c>
      <x:c r="O93" t="inlineStr">
        <x:is>
          <x:t xml:space="preserve">paper_dragon_signal</x:t>
        </x:is>
      </x:c>
      <x:c r="P93" t="inlineStr">
        <x:is>
          <x:t xml:space="preserve">Paper Dragon</x:t>
        </x:is>
      </x:c>
      <x:c r="Q93" t="inlineStr">
        <x:is>
          <x:t xml:space="preserve">Add expiry and review cadence</x:t>
        </x:is>
      </x:c>
      <x:c r="R93" t="inlineStr">
        <x:is>
          <x:t xml:space="preserve">N</x:t>
        </x:is>
      </x:c>
      <x:c r="S93" s="2" t="inlineStr">
        <x:is>
          <x:t xml:space="preserve"/>
        </x:is>
      </x:c>
      <x:c r="T93">
        <x:f>($N93)*(IF($D93="G",$E93,0)+IF($F93="G",$G93,0))</x:f>
      </x:c>
      <x:c r="U93">
        <x:f>($N93)*(IF($D93="E",$E93,0)+IF($F93="E",$G93,0))</x:f>
      </x:c>
      <x:c r="V93">
        <x:f>($N93)*(IF($D93="T",$E93,0)+IF($F93="T",$G93,0))</x:f>
      </x:c>
      <x:c r="W93">
        <x:f>($N93)*(IF($D93="L",$E93,0)+IF($F93="L",$G93,0))</x:f>
      </x:c>
      <x:c r="X93">
        <x:f>($N93)*(IF($D93="H",$E93,0)+IF($F93="H",$G93,0))</x:f>
      </x:c>
      <x:c r="Y93">
        <x:f>($N93)*(IF($D93="V",$E93,0)+IF($F93="V",$G93,0))</x:f>
      </x:c>
      <x:c r="Z93">
        <x:f>($N93)*(IF($D93="R",$E93,0)+IF($F93="R",$G93,0))</x:f>
      </x:c>
      <x:c r="AA93">
        <x:f>($N93)*(IF($D93="F",$E93,0)+IF($F93="F",$G93,0))</x:f>
      </x:c>
      <x:c r="AB93">
        <x:f>($N93)*(IF($D93="W",$E93,0)+IF($F93="W",$G93,0))</x:f>
      </x:c>
    </x:row>
    <x:row r="94" ht="40" customHeight="1">
      <x:c r="A94" t="inlineStr">
        <x:is>
          <x:t xml:space="preserve">HR-D5-Q19</x:t>
        </x:is>
      </x:c>
      <x:c r="B94" t="inlineStr">
        <x:is>
          <x:t xml:space="preserve">T2</x:t>
        </x:is>
      </x:c>
      <x:c r="C94" t="inlineStr">
        <x:is>
          <x:t xml:space="preserve">5. Friction &amp; Workarounds</x:t>
        </x:is>
      </x:c>
      <x:c r="D94" t="inlineStr">
        <x:is>
          <x:t xml:space="preserve">G</x:t>
        </x:is>
      </x:c>
      <x:c r="E94" t="n">
        <x:v>0.5</x:v>
      </x:c>
      <x:c r="F94" t="inlineStr">
        <x:is>
          <x:t xml:space="preserve">F</x:t>
        </x:is>
      </x:c>
      <x:c r="G94" t="n">
        <x:v>0.5</x:v>
      </x:c>
      <x:c r="H94" s="2" t="inlineStr">
        <x:is>
          <x:t xml:space="preserve">Are policy exceptions tracked, time-bound, and reviewed so bypass doesn't become permanent?</x:t>
        </x:is>
      </x:c>
      <x:c r="I94" t="inlineStr">
        <x:is>
          <x:t xml:space="preserve">Exception governance is a key insider-risk control.</x:t>
        </x:is>
      </x:c>
      <x:c r="J94" t="inlineStr">
        <x:is>
          <x:t xml:space="preserve">Drill-down</x:t>
        </x:is>
      </x:c>
      <x:c r="K94" t="inlineStr">
        <x:is>
          <x:t xml:space="preserve">GOV_STD</x:t>
        </x:is>
      </x:c>
      <x:c r="L94" t="inlineStr">
        <x:is>
          <x:t xml:space="preserve">HR-D5-Q19-A3</x:t>
        </x:is>
      </x:c>
      <x:c r="M94" s="2" t="inlineStr">
        <x:is>
          <x:t xml:space="preserve">Register exists; most exceptions have owners/expiry, but reviews inconsistent.</x:t>
        </x:is>
      </x:c>
      <x:c r="N94" t="n">
        <x:v>2</x:v>
      </x:c>
      <x:c r="O94" t="inlineStr">
        <x:is>
          <x:t xml:space="preserve"/>
        </x:is>
      </x:c>
      <x:c r="P94" t="inlineStr">
        <x:is>
          <x:t xml:space="preserve">Bypass Pressure</x:t>
        </x:is>
      </x:c>
      <x:c r="Q94" t="inlineStr">
        <x:is>
          <x:t xml:space="preserve">Improve governance cadence</x:t>
        </x:is>
      </x:c>
      <x:c r="R94" t="inlineStr">
        <x:is>
          <x:t xml:space="preserve">N</x:t>
        </x:is>
      </x:c>
      <x:c r="S94" s="2" t="inlineStr">
        <x:is>
          <x:t xml:space="preserve">Evidence: register sample.</x:t>
        </x:is>
      </x:c>
      <x:c r="T94">
        <x:f>($N94)*(IF($D94="G",$E94,0)+IF($F94="G",$G94,0))</x:f>
      </x:c>
      <x:c r="U94">
        <x:f>($N94)*(IF($D94="E",$E94,0)+IF($F94="E",$G94,0))</x:f>
      </x:c>
      <x:c r="V94">
        <x:f>($N94)*(IF($D94="T",$E94,0)+IF($F94="T",$G94,0))</x:f>
      </x:c>
      <x:c r="W94">
        <x:f>($N94)*(IF($D94="L",$E94,0)+IF($F94="L",$G94,0))</x:f>
      </x:c>
      <x:c r="X94">
        <x:f>($N94)*(IF($D94="H",$E94,0)+IF($F94="H",$G94,0))</x:f>
      </x:c>
      <x:c r="Y94">
        <x:f>($N94)*(IF($D94="V",$E94,0)+IF($F94="V",$G94,0))</x:f>
      </x:c>
      <x:c r="Z94">
        <x:f>($N94)*(IF($D94="R",$E94,0)+IF($F94="R",$G94,0))</x:f>
      </x:c>
      <x:c r="AA94">
        <x:f>($N94)*(IF($D94="F",$E94,0)+IF($F94="F",$G94,0))</x:f>
      </x:c>
      <x:c r="AB94">
        <x:f>($N94)*(IF($D94="W",$E94,0)+IF($F94="W",$G94,0))</x:f>
      </x:c>
    </x:row>
    <x:row r="95" ht="40" customHeight="1">
      <x:c r="A95" t="inlineStr">
        <x:is>
          <x:t xml:space="preserve">HR-D5-Q19</x:t>
        </x:is>
      </x:c>
      <x:c r="B95" t="inlineStr">
        <x:is>
          <x:t xml:space="preserve">T2</x:t>
        </x:is>
      </x:c>
      <x:c r="C95" t="inlineStr">
        <x:is>
          <x:t xml:space="preserve">5. Friction &amp; Workarounds</x:t>
        </x:is>
      </x:c>
      <x:c r="D95" t="inlineStr">
        <x:is>
          <x:t xml:space="preserve">G</x:t>
        </x:is>
      </x:c>
      <x:c r="E95" t="n">
        <x:v>0.5</x:v>
      </x:c>
      <x:c r="F95" t="inlineStr">
        <x:is>
          <x:t xml:space="preserve">F</x:t>
        </x:is>
      </x:c>
      <x:c r="G95" t="n">
        <x:v>0.5</x:v>
      </x:c>
      <x:c r="H95" s="2" t="inlineStr">
        <x:is>
          <x:t xml:space="preserve">Are policy exceptions tracked, time-bound, and reviewed so bypass doesn't become permanent?</x:t>
        </x:is>
      </x:c>
      <x:c r="I95" t="inlineStr">
        <x:is>
          <x:t xml:space="preserve">Exception governance is a key insider-risk control.</x:t>
        </x:is>
      </x:c>
      <x:c r="J95" t="inlineStr">
        <x:is>
          <x:t xml:space="preserve">Drill-down</x:t>
        </x:is>
      </x:c>
      <x:c r="K95" t="inlineStr">
        <x:is>
          <x:t xml:space="preserve">GOV_STD</x:t>
        </x:is>
      </x:c>
      <x:c r="L95" t="inlineStr">
        <x:is>
          <x:t xml:space="preserve">HR-D5-Q19-A4</x:t>
        </x:is>
      </x:c>
      <x:c r="M95" s="2" t="inlineStr">
        <x:is>
          <x:t xml:space="preserve">Tracked + reviewed; exceptions reduced over time.</x:t>
        </x:is>
      </x:c>
      <x:c r="N95" t="n">
        <x:v>3</x:v>
      </x:c>
      <x:c r="O95" t="inlineStr">
        <x:is>
          <x:t xml:space="preserve"/>
        </x:is>
      </x:c>
      <x:c r="P95" t="inlineStr">
        <x:is>
          <x:t xml:space="preserve">Bypass Pressure</x:t>
        </x:is>
      </x:c>
      <x:c r="Q95" t="inlineStr">
        <x:is>
          <x:t xml:space="preserve">Maintain governance</x:t>
        </x:is>
      </x:c>
      <x:c r="R95" t="inlineStr">
        <x:is>
          <x:t xml:space="preserve">N</x:t>
        </x:is>
      </x:c>
      <x:c r="S95" s="2" t="inlineStr">
        <x:is>
          <x:t xml:space="preserve">Evidence: trend metrics.</x:t>
        </x:is>
      </x:c>
      <x:c r="T95">
        <x:f>($N95)*(IF($D95="G",$E95,0)+IF($F95="G",$G95,0))</x:f>
      </x:c>
      <x:c r="U95">
        <x:f>($N95)*(IF($D95="E",$E95,0)+IF($F95="E",$G95,0))</x:f>
      </x:c>
      <x:c r="V95">
        <x:f>($N95)*(IF($D95="T",$E95,0)+IF($F95="T",$G95,0))</x:f>
      </x:c>
      <x:c r="W95">
        <x:f>($N95)*(IF($D95="L",$E95,0)+IF($F95="L",$G95,0))</x:f>
      </x:c>
      <x:c r="X95">
        <x:f>($N95)*(IF($D95="H",$E95,0)+IF($F95="H",$G95,0))</x:f>
      </x:c>
      <x:c r="Y95">
        <x:f>($N95)*(IF($D95="V",$E95,0)+IF($F95="V",$G95,0))</x:f>
      </x:c>
      <x:c r="Z95">
        <x:f>($N95)*(IF($D95="R",$E95,0)+IF($F95="R",$G95,0))</x:f>
      </x:c>
      <x:c r="AA95">
        <x:f>($N95)*(IF($D95="F",$E95,0)+IF($F95="F",$G95,0))</x:f>
      </x:c>
      <x:c r="AB95">
        <x:f>($N95)*(IF($D95="W",$E95,0)+IF($F95="W",$G95,0))</x:f>
      </x:c>
    </x:row>
    <x:row r="96" ht="40" customHeight="1">
      <x:c r="A96" t="inlineStr">
        <x:is>
          <x:t xml:space="preserve">HR-D5-Q19</x:t>
        </x:is>
      </x:c>
      <x:c r="B96" t="inlineStr">
        <x:is>
          <x:t xml:space="preserve">T2</x:t>
        </x:is>
      </x:c>
      <x:c r="C96" t="inlineStr">
        <x:is>
          <x:t xml:space="preserve">5. Friction &amp; Workarounds</x:t>
        </x:is>
      </x:c>
      <x:c r="D96" t="inlineStr">
        <x:is>
          <x:t xml:space="preserve">G</x:t>
        </x:is>
      </x:c>
      <x:c r="E96" t="n">
        <x:v>0.5</x:v>
      </x:c>
      <x:c r="F96" t="inlineStr">
        <x:is>
          <x:t xml:space="preserve">F</x:t>
        </x:is>
      </x:c>
      <x:c r="G96" t="n">
        <x:v>0.5</x:v>
      </x:c>
      <x:c r="H96" s="2" t="inlineStr">
        <x:is>
          <x:t xml:space="preserve">Are policy exceptions tracked, time-bound, and reviewed so bypass doesn't become permanent?</x:t>
        </x:is>
      </x:c>
      <x:c r="I96" t="inlineStr">
        <x:is>
          <x:t xml:space="preserve">Exception governance is a key insider-risk control.</x:t>
        </x:is>
      </x:c>
      <x:c r="J96" t="inlineStr">
        <x:is>
          <x:t xml:space="preserve">Drill-down</x:t>
        </x:is>
      </x:c>
      <x:c r="K96" t="inlineStr">
        <x:is>
          <x:t xml:space="preserve">GOV_STD</x:t>
        </x:is>
      </x:c>
      <x:c r="L96" t="inlineStr">
        <x:is>
          <x:t xml:space="preserve">HR-D5-Q19-A5</x:t>
        </x:is>
      </x:c>
      <x:c r="M96" s="2" t="inlineStr">
        <x:is>
          <x:t xml:space="preserve">Optimized: exceptions rare; systemic fixes remove need for bypass.</x:t>
        </x:is>
      </x:c>
      <x:c r="N96" t="n">
        <x:v>4</x:v>
      </x:c>
      <x:c r="O96" t="inlineStr">
        <x:is>
          <x:t xml:space="preserve"/>
        </x:is>
      </x:c>
      <x:c r="P96" t="inlineStr">
        <x:is>
          <x:t xml:space="preserve">Bypass Pressure</x:t>
        </x:is>
      </x:c>
      <x:c r="Q96" t="inlineStr">
        <x:is>
          <x:t xml:space="preserve">Maintain maturity</x:t>
        </x:is>
      </x:c>
      <x:c r="R96" t="inlineStr">
        <x:is>
          <x:t xml:space="preserve">N</x:t>
        </x:is>
      </x:c>
      <x:c r="S96" s="2" t="inlineStr">
        <x:is>
          <x:t xml:space="preserve">Evidence: low exception rate.</x:t>
        </x:is>
      </x:c>
      <x:c r="T96">
        <x:f>($N96)*(IF($D96="G",$E96,0)+IF($F96="G",$G96,0))</x:f>
      </x:c>
      <x:c r="U96">
        <x:f>($N96)*(IF($D96="E",$E96,0)+IF($F96="E",$G96,0))</x:f>
      </x:c>
      <x:c r="V96">
        <x:f>($N96)*(IF($D96="T",$E96,0)+IF($F96="T",$G96,0))</x:f>
      </x:c>
      <x:c r="W96">
        <x:f>($N96)*(IF($D96="L",$E96,0)+IF($F96="L",$G96,0))</x:f>
      </x:c>
      <x:c r="X96">
        <x:f>($N96)*(IF($D96="H",$E96,0)+IF($F96="H",$G96,0))</x:f>
      </x:c>
      <x:c r="Y96">
        <x:f>($N96)*(IF($D96="V",$E96,0)+IF($F96="V",$G96,0))</x:f>
      </x:c>
      <x:c r="Z96">
        <x:f>($N96)*(IF($D96="R",$E96,0)+IF($F96="R",$G96,0))</x:f>
      </x:c>
      <x:c r="AA96">
        <x:f>($N96)*(IF($D96="F",$E96,0)+IF($F96="F",$G96,0))</x:f>
      </x:c>
      <x:c r="AB96">
        <x:f>($N96)*(IF($D96="W",$E96,0)+IF($F96="W",$G96,0))</x:f>
      </x:c>
    </x:row>
    <x:row r="97" ht="40" customHeight="1">
      <x:c r="A97" t="inlineStr">
        <x:is>
          <x:t xml:space="preserve">HR-D6-Q20</x:t>
        </x:is>
      </x:c>
      <x:c r="B97" t="inlineStr">
        <x:is>
          <x:t xml:space="preserve">T1</x:t>
        </x:is>
      </x:c>
      <x:c r="C97" t="inlineStr">
        <x:is>
          <x:t xml:space="preserve">6. Change Events (Layoffs/M&amp;A/Re-org)</x:t>
        </x:is>
      </x:c>
      <x:c r="D97" t="inlineStr">
        <x:is>
          <x:t xml:space="preserve">W</x:t>
        </x:is>
      </x:c>
      <x:c r="E97" t="n">
        <x:v>1</x:v>
      </x:c>
      <x:c r="F97" t="inlineStr">
        <x:is>
          <x:t xml:space="preserve">-</x:t>
        </x:is>
      </x:c>
      <x:c r="G97" t="inlineStr">
        <x:is>
          <x:t xml:space="preserve"/>
        </x:is>
      </x:c>
      <x:c r="H97" s="2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I97" t="inlineStr">
        <x:is>
          <x:t xml:space="preserve">Control lag = how fast controls adapt to change.</x:t>
        </x:is>
      </x:c>
      <x:c r="J97" t="inlineStr">
        <x:is>
          <x:t xml:space="preserve">Gatekeeper (If BaseScore &lt;2 → HR-D6-Q21; If ≥2 → HR-D6-Q22)</x:t>
        </x:is>
      </x:c>
      <x:c r="K97" t="inlineStr">
        <x:is>
          <x:t xml:space="preserve">RISK_STD</x:t>
        </x:is>
      </x:c>
      <x:c r="L97" t="inlineStr">
        <x:is>
          <x:t xml:space="preserve">HR-D6-Q20-A0</x:t>
        </x:is>
      </x:c>
      <x:c r="M97" s="2" t="inlineStr">
        <x:is>
          <x:t xml:space="preserve">I don't know / Not sure.</x:t>
        </x:is>
      </x:c>
      <x:c r="N97" t="n">
        <x:v>0</x:v>
      </x:c>
      <x:c r="O97" t="inlineStr">
        <x:is>
          <x:t xml:space="preserve">low-confidence</x:t>
        </x:is>
      </x:c>
      <x:c r="P97" t="inlineStr">
        <x:is>
          <x:t xml:space="preserve">Control Lag</x:t>
        </x:is>
      </x:c>
      <x:c r="Q97" t="inlineStr">
        <x:is>
          <x:t xml:space="preserve">Clarify change-event process</x:t>
        </x:is>
      </x:c>
      <x:c r="R97" t="inlineStr">
        <x:is>
          <x:t xml:space="preserve">N</x:t>
        </x:is>
      </x:c>
      <x:c r="S97" s="2" t="inlineStr">
        <x:is>
          <x:t xml:space="preserve"/>
        </x:is>
      </x:c>
      <x:c r="T97">
        <x:f>($N97)*(IF($D97="G",$E97,0)+IF($F97="G",$G97,0))</x:f>
      </x:c>
      <x:c r="U97">
        <x:f>($N97)*(IF($D97="E",$E97,0)+IF($F97="E",$G97,0))</x:f>
      </x:c>
      <x:c r="V97">
        <x:f>($N97)*(IF($D97="T",$E97,0)+IF($F97="T",$G97,0))</x:f>
      </x:c>
      <x:c r="W97">
        <x:f>($N97)*(IF($D97="L",$E97,0)+IF($F97="L",$G97,0))</x:f>
      </x:c>
      <x:c r="X97">
        <x:f>($N97)*(IF($D97="H",$E97,0)+IF($F97="H",$G97,0))</x:f>
      </x:c>
      <x:c r="Y97">
        <x:f>($N97)*(IF($D97="V",$E97,0)+IF($F97="V",$G97,0))</x:f>
      </x:c>
      <x:c r="Z97">
        <x:f>($N97)*(IF($D97="R",$E97,0)+IF($F97="R",$G97,0))</x:f>
      </x:c>
      <x:c r="AA97">
        <x:f>($N97)*(IF($D97="F",$E97,0)+IF($F97="F",$G97,0))</x:f>
      </x:c>
      <x:c r="AB97">
        <x:f>($N97)*(IF($D97="W",$E97,0)+IF($F97="W",$G97,0))</x:f>
      </x:c>
    </x:row>
    <x:row r="98" ht="40" customHeight="1">
      <x:c r="A98" t="inlineStr">
        <x:is>
          <x:t xml:space="preserve">HR-D6-Q20</x:t>
        </x:is>
      </x:c>
      <x:c r="B98" t="inlineStr">
        <x:is>
          <x:t xml:space="preserve">T1</x:t>
        </x:is>
      </x:c>
      <x:c r="C98" t="inlineStr">
        <x:is>
          <x:t xml:space="preserve">6. Change Events (Layoffs/M&amp;A/Re-org)</x:t>
        </x:is>
      </x:c>
      <x:c r="D98" t="inlineStr">
        <x:is>
          <x:t xml:space="preserve">W</x:t>
        </x:is>
      </x:c>
      <x:c r="E98" t="n">
        <x:v>1</x:v>
      </x:c>
      <x:c r="F98" t="inlineStr">
        <x:is>
          <x:t xml:space="preserve">-</x:t>
        </x:is>
      </x:c>
      <x:c r="G98" t="inlineStr">
        <x:is>
          <x:t xml:space="preserve"/>
        </x:is>
      </x:c>
      <x:c r="H98" s="2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I98" t="inlineStr">
        <x:is>
          <x:t xml:space="preserve">Control lag = how fast controls adapt to change.</x:t>
        </x:is>
      </x:c>
      <x:c r="J98" t="inlineStr">
        <x:is>
          <x:t xml:space="preserve">Gatekeeper (If BaseScore &lt;2 → HR-D6-Q21; If ≥2 → HR-D6-Q22)</x:t>
        </x:is>
      </x:c>
      <x:c r="K98" t="inlineStr">
        <x:is>
          <x:t xml:space="preserve">RISK_STD</x:t>
        </x:is>
      </x:c>
      <x:c r="L98" t="inlineStr">
        <x:is>
          <x:t xml:space="preserve">HR-D6-Q20-A1</x:t>
        </x:is>
      </x:c>
      <x:c r="M98" s="2" t="inlineStr">
        <x:is>
          <x:t xml:space="preserve">Static: controls rarely change; respond after issues appear.</x:t>
        </x:is>
      </x:c>
      <x:c r="N98" t="n">
        <x:v>0</x:v>
      </x:c>
      <x:c r="O98" t="inlineStr">
        <x:is>
          <x:t xml:space="preserve">control_lag</x:t>
        </x:is>
      </x:c>
      <x:c r="P98" t="inlineStr">
        <x:is>
          <x:t xml:space="preserve">Control Lag</x:t>
        </x:is>
      </x:c>
      <x:c r="Q98" t="inlineStr">
        <x:is>
          <x:t xml:space="preserve">Introduce change-event checklist</x:t>
        </x:is>
      </x:c>
      <x:c r="R98" t="inlineStr">
        <x:is>
          <x:t xml:space="preserve">N</x:t>
        </x:is>
      </x:c>
      <x:c r="S98" s="2" t="inlineStr">
        <x:is>
          <x:t xml:space="preserve"/>
        </x:is>
      </x:c>
      <x:c r="T98">
        <x:f>($N98)*(IF($D98="G",$E98,0)+IF($F98="G",$G98,0))</x:f>
      </x:c>
      <x:c r="U98">
        <x:f>($N98)*(IF($D98="E",$E98,0)+IF($F98="E",$G98,0))</x:f>
      </x:c>
      <x:c r="V98">
        <x:f>($N98)*(IF($D98="T",$E98,0)+IF($F98="T",$G98,0))</x:f>
      </x:c>
      <x:c r="W98">
        <x:f>($N98)*(IF($D98="L",$E98,0)+IF($F98="L",$G98,0))</x:f>
      </x:c>
      <x:c r="X98">
        <x:f>($N98)*(IF($D98="H",$E98,0)+IF($F98="H",$G98,0))</x:f>
      </x:c>
      <x:c r="Y98">
        <x:f>($N98)*(IF($D98="V",$E98,0)+IF($F98="V",$G98,0))</x:f>
      </x:c>
      <x:c r="Z98">
        <x:f>($N98)*(IF($D98="R",$E98,0)+IF($F98="R",$G98,0))</x:f>
      </x:c>
      <x:c r="AA98">
        <x:f>($N98)*(IF($D98="F",$E98,0)+IF($F98="F",$G98,0))</x:f>
      </x:c>
      <x:c r="AB98">
        <x:f>($N98)*(IF($D98="W",$E98,0)+IF($F98="W",$G98,0))</x:f>
      </x:c>
    </x:row>
    <x:row r="99" ht="40" customHeight="1">
      <x:c r="A99" t="inlineStr">
        <x:is>
          <x:t xml:space="preserve">HR-D6-Q20</x:t>
        </x:is>
      </x:c>
      <x:c r="B99" t="inlineStr">
        <x:is>
          <x:t xml:space="preserve">T1</x:t>
        </x:is>
      </x:c>
      <x:c r="C99" t="inlineStr">
        <x:is>
          <x:t xml:space="preserve">6. Change Events (Layoffs/M&amp;A/Re-org)</x:t>
        </x:is>
      </x:c>
      <x:c r="D99" t="inlineStr">
        <x:is>
          <x:t xml:space="preserve">W</x:t>
        </x:is>
      </x:c>
      <x:c r="E99" t="n">
        <x:v>1</x:v>
      </x:c>
      <x:c r="F99" t="inlineStr">
        <x:is>
          <x:t xml:space="preserve">-</x:t>
        </x:is>
      </x:c>
      <x:c r="G99" t="inlineStr">
        <x:is>
          <x:t xml:space="preserve"/>
        </x:is>
      </x:c>
      <x:c r="H99" s="2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I99" t="inlineStr">
        <x:is>
          <x:t xml:space="preserve">Control lag = how fast controls adapt to change.</x:t>
        </x:is>
      </x:c>
      <x:c r="J99" t="inlineStr">
        <x:is>
          <x:t xml:space="preserve">Gatekeeper (If BaseScore &lt;2 → HR-D6-Q21; If ≥2 → HR-D6-Q22)</x:t>
        </x:is>
      </x:c>
      <x:c r="K99" t="inlineStr">
        <x:is>
          <x:t xml:space="preserve">RISK_STD</x:t>
        </x:is>
      </x:c>
      <x:c r="L99" t="inlineStr">
        <x:is>
          <x:t xml:space="preserve">HR-D6-Q20-A2</x:t>
        </x:is>
      </x:c>
      <x:c r="M99" s="2" t="inlineStr">
        <x:is>
          <x:t xml:space="preserve">Manual: HR informs others, but timing varies; no checklist.</x:t>
        </x:is>
      </x:c>
      <x:c r="N99" t="n">
        <x:v>1</x:v>
      </x:c>
      <x:c r="O99" t="inlineStr">
        <x:is>
          <x:t xml:space="preserve">shadow_mature_signal</x:t>
        </x:is>
      </x:c>
      <x:c r="P99" t="inlineStr">
        <x:is>
          <x:t xml:space="preserve">Control Lag</x:t>
        </x:is>
      </x:c>
      <x:c r="Q99" t="inlineStr">
        <x:is>
          <x:t xml:space="preserve">Standardize and measure lag</x:t>
        </x:is>
      </x:c>
      <x:c r="R99" t="inlineStr">
        <x:is>
          <x:t xml:space="preserve">N</x:t>
        </x:is>
      </x:c>
      <x:c r="S99" s="2" t="inlineStr">
        <x:is>
          <x:t xml:space="preserve"/>
        </x:is>
      </x:c>
      <x:c r="T99">
        <x:f>($N99)*(IF($D99="G",$E99,0)+IF($F99="G",$G99,0))</x:f>
      </x:c>
      <x:c r="U99">
        <x:f>($N99)*(IF($D99="E",$E99,0)+IF($F99="E",$G99,0))</x:f>
      </x:c>
      <x:c r="V99">
        <x:f>($N99)*(IF($D99="T",$E99,0)+IF($F99="T",$G99,0))</x:f>
      </x:c>
      <x:c r="W99">
        <x:f>($N99)*(IF($D99="L",$E99,0)+IF($F99="L",$G99,0))</x:f>
      </x:c>
      <x:c r="X99">
        <x:f>($N99)*(IF($D99="H",$E99,0)+IF($F99="H",$G99,0))</x:f>
      </x:c>
      <x:c r="Y99">
        <x:f>($N99)*(IF($D99="V",$E99,0)+IF($F99="V",$G99,0))</x:f>
      </x:c>
      <x:c r="Z99">
        <x:f>($N99)*(IF($D99="R",$E99,0)+IF($F99="R",$G99,0))</x:f>
      </x:c>
      <x:c r="AA99">
        <x:f>($N99)*(IF($D99="F",$E99,0)+IF($F99="F",$G99,0))</x:f>
      </x:c>
      <x:c r="AB99">
        <x:f>($N99)*(IF($D99="W",$E99,0)+IF($F99="W",$G99,0))</x:f>
      </x:c>
    </x:row>
    <x:row r="100" ht="40" customHeight="1">
      <x:c r="A100" t="inlineStr">
        <x:is>
          <x:t xml:space="preserve">HR-D6-Q20</x:t>
        </x:is>
      </x:c>
      <x:c r="B100" t="inlineStr">
        <x:is>
          <x:t xml:space="preserve">T1</x:t>
        </x:is>
      </x:c>
      <x:c r="C100" t="inlineStr">
        <x:is>
          <x:t xml:space="preserve">6. Change Events (Layoffs/M&amp;A/Re-org)</x:t>
        </x:is>
      </x:c>
      <x:c r="D100" t="inlineStr">
        <x:is>
          <x:t xml:space="preserve">W</x:t>
        </x:is>
      </x:c>
      <x:c r="E100" t="n">
        <x:v>1</x:v>
      </x:c>
      <x:c r="F100" t="inlineStr">
        <x:is>
          <x:t xml:space="preserve">-</x:t>
        </x:is>
      </x:c>
      <x:c r="G100" t="inlineStr">
        <x:is>
          <x:t xml:space="preserve"/>
        </x:is>
      </x:c>
      <x:c r="H100" s="2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I100" t="inlineStr">
        <x:is>
          <x:t xml:space="preserve">Control lag = how fast controls adapt to change.</x:t>
        </x:is>
      </x:c>
      <x:c r="J100" t="inlineStr">
        <x:is>
          <x:t xml:space="preserve">Gatekeeper (If BaseScore &lt;2 → HR-D6-Q21; If ≥2 → HR-D6-Q22)</x:t>
        </x:is>
      </x:c>
      <x:c r="K100" t="inlineStr">
        <x:is>
          <x:t xml:space="preserve">RISK_STD</x:t>
        </x:is>
      </x:c>
      <x:c r="L100" t="inlineStr">
        <x:is>
          <x:t xml:space="preserve">HR-D6-Q20-A3</x:t>
        </x:is>
      </x:c>
      <x:c r="M100" s="2" t="inlineStr">
        <x:is>
          <x:t xml:space="preserve">Defined: process exists; critical updates happen within weeks.</x:t>
        </x:is>
      </x:c>
      <x:c r="N100" t="n">
        <x:v>2</x:v>
      </x:c>
      <x:c r="O100" t="inlineStr">
        <x:is>
          <x:t xml:space="preserve"/>
        </x:is>
      </x:c>
      <x:c r="P100" t="inlineStr">
        <x:is>
          <x:t xml:space="preserve">Control Lag</x:t>
        </x:is>
      </x:c>
      <x:c r="Q100" t="inlineStr">
        <x:is>
          <x:t xml:space="preserve">Reduce lag for critical roles</x:t>
        </x:is>
      </x:c>
      <x:c r="R100" t="inlineStr">
        <x:is>
          <x:t xml:space="preserve">N</x:t>
        </x:is>
      </x:c>
      <x:c r="S100" s="2" t="inlineStr">
        <x:is>
          <x:t xml:space="preserve">Evidence: checklist/comms.</x:t>
        </x:is>
      </x:c>
      <x:c r="T100">
        <x:f>($N100)*(IF($D100="G",$E100,0)+IF($F100="G",$G100,0))</x:f>
      </x:c>
      <x:c r="U100">
        <x:f>($N100)*(IF($D100="E",$E100,0)+IF($F100="E",$G100,0))</x:f>
      </x:c>
      <x:c r="V100">
        <x:f>($N100)*(IF($D100="T",$E100,0)+IF($F100="T",$G100,0))</x:f>
      </x:c>
      <x:c r="W100">
        <x:f>($N100)*(IF($D100="L",$E100,0)+IF($F100="L",$G100,0))</x:f>
      </x:c>
      <x:c r="X100">
        <x:f>($N100)*(IF($D100="H",$E100,0)+IF($F100="H",$G100,0))</x:f>
      </x:c>
      <x:c r="Y100">
        <x:f>($N100)*(IF($D100="V",$E100,0)+IF($F100="V",$G100,0))</x:f>
      </x:c>
      <x:c r="Z100">
        <x:f>($N100)*(IF($D100="R",$E100,0)+IF($F100="R",$G100,0))</x:f>
      </x:c>
      <x:c r="AA100">
        <x:f>($N100)*(IF($D100="F",$E100,0)+IF($F100="F",$G100,0))</x:f>
      </x:c>
      <x:c r="AB100">
        <x:f>($N100)*(IF($D100="W",$E100,0)+IF($F100="W",$G100,0))</x:f>
      </x:c>
    </x:row>
    <x:row r="101" ht="40" customHeight="1">
      <x:c r="A101" t="inlineStr">
        <x:is>
          <x:t xml:space="preserve">HR-D6-Q20</x:t>
        </x:is>
      </x:c>
      <x:c r="B101" t="inlineStr">
        <x:is>
          <x:t xml:space="preserve">T1</x:t>
        </x:is>
      </x:c>
      <x:c r="C101" t="inlineStr">
        <x:is>
          <x:t xml:space="preserve">6. Change Events (Layoffs/M&amp;A/Re-org)</x:t>
        </x:is>
      </x:c>
      <x:c r="D101" t="inlineStr">
        <x:is>
          <x:t xml:space="preserve">W</x:t>
        </x:is>
      </x:c>
      <x:c r="E101" t="n">
        <x:v>1</x:v>
      </x:c>
      <x:c r="F101" t="inlineStr">
        <x:is>
          <x:t xml:space="preserve">-</x:t>
        </x:is>
      </x:c>
      <x:c r="G101" t="inlineStr">
        <x:is>
          <x:t xml:space="preserve"/>
        </x:is>
      </x:c>
      <x:c r="H101" s="2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I101" t="inlineStr">
        <x:is>
          <x:t xml:space="preserve">Control lag = how fast controls adapt to change.</x:t>
        </x:is>
      </x:c>
      <x:c r="J101" t="inlineStr">
        <x:is>
          <x:t xml:space="preserve">Gatekeeper (If BaseScore &lt;2 → HR-D6-Q21; If ≥2 → HR-D6-Q22)</x:t>
        </x:is>
      </x:c>
      <x:c r="K101" t="inlineStr">
        <x:is>
          <x:t xml:space="preserve">RISK_STD</x:t>
        </x:is>
      </x:c>
      <x:c r="L101" t="inlineStr">
        <x:is>
          <x:t xml:space="preserve">HR-D6-Q20-A4</x:t>
        </x:is>
      </x:c>
      <x:c r="M101" s="2" t="inlineStr">
        <x:is>
          <x:t xml:space="preserve">Managed: critical updates happen within days; responsibilities clear.</x:t>
        </x:is>
      </x:c>
      <x:c r="N101" t="n">
        <x:v>3</x:v>
      </x:c>
      <x:c r="O101" t="inlineStr">
        <x:is>
          <x:t xml:space="preserve"/>
        </x:is>
      </x:c>
      <x:c r="P101" t="inlineStr">
        <x:is>
          <x:t xml:space="preserve">Control Lag</x:t>
        </x:is>
      </x:c>
      <x:c r="Q101" t="inlineStr">
        <x:is>
          <x:t xml:space="preserve">Maintain and test</x:t>
        </x:is>
      </x:c>
      <x:c r="R101" t="inlineStr">
        <x:is>
          <x:t xml:space="preserve">N</x:t>
        </x:is>
      </x:c>
      <x:c r="S101" s="2" t="inlineStr">
        <x:is>
          <x:t xml:space="preserve">Evidence: timelines from recent event.</x:t>
        </x:is>
      </x:c>
      <x:c r="T101">
        <x:f>($N101)*(IF($D101="G",$E101,0)+IF($F101="G",$G101,0))</x:f>
      </x:c>
      <x:c r="U101">
        <x:f>($N101)*(IF($D101="E",$E101,0)+IF($F101="E",$G101,0))</x:f>
      </x:c>
      <x:c r="V101">
        <x:f>($N101)*(IF($D101="T",$E101,0)+IF($F101="T",$G101,0))</x:f>
      </x:c>
      <x:c r="W101">
        <x:f>($N101)*(IF($D101="L",$E101,0)+IF($F101="L",$G101,0))</x:f>
      </x:c>
      <x:c r="X101">
        <x:f>($N101)*(IF($D101="H",$E101,0)+IF($F101="H",$G101,0))</x:f>
      </x:c>
      <x:c r="Y101">
        <x:f>($N101)*(IF($D101="V",$E101,0)+IF($F101="V",$G101,0))</x:f>
      </x:c>
      <x:c r="Z101">
        <x:f>($N101)*(IF($D101="R",$E101,0)+IF($F101="R",$G101,0))</x:f>
      </x:c>
      <x:c r="AA101">
        <x:f>($N101)*(IF($D101="F",$E101,0)+IF($F101="F",$G101,0))</x:f>
      </x:c>
      <x:c r="AB101">
        <x:f>($N101)*(IF($D101="W",$E101,0)+IF($F101="W",$G101,0))</x:f>
      </x:c>
    </x:row>
    <x:row r="102" ht="40" customHeight="1">
      <x:c r="A102" t="inlineStr">
        <x:is>
          <x:t xml:space="preserve">HR-D6-Q20</x:t>
        </x:is>
      </x:c>
      <x:c r="B102" t="inlineStr">
        <x:is>
          <x:t xml:space="preserve">T1</x:t>
        </x:is>
      </x:c>
      <x:c r="C102" t="inlineStr">
        <x:is>
          <x:t xml:space="preserve">6. Change Events (Layoffs/M&amp;A/Re-org)</x:t>
        </x:is>
      </x:c>
      <x:c r="D102" t="inlineStr">
        <x:is>
          <x:t xml:space="preserve">W</x:t>
        </x:is>
      </x:c>
      <x:c r="E102" t="n">
        <x:v>1</x:v>
      </x:c>
      <x:c r="F102" t="inlineStr">
        <x:is>
          <x:t xml:space="preserve">-</x:t>
        </x:is>
      </x:c>
      <x:c r="G102" t="inlineStr">
        <x:is>
          <x:t xml:space="preserve"/>
        </x:is>
      </x:c>
      <x:c r="H102" s="2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I102" t="inlineStr">
        <x:is>
          <x:t xml:space="preserve">Control lag = how fast controls adapt to change.</x:t>
        </x:is>
      </x:c>
      <x:c r="J102" t="inlineStr">
        <x:is>
          <x:t xml:space="preserve">Gatekeeper (If BaseScore &lt;2 → HR-D6-Q21; If ≥2 → HR-D6-Q22)</x:t>
        </x:is>
      </x:c>
      <x:c r="K102" t="inlineStr">
        <x:is>
          <x:t xml:space="preserve">RISK_STD</x:t>
        </x:is>
      </x:c>
      <x:c r="L102" t="inlineStr">
        <x:is>
          <x:t xml:space="preserve">HR-D6-Q20-A5</x:t>
        </x:is>
      </x:c>
      <x:c r="M102" s="2" t="inlineStr">
        <x:is>
          <x:t xml:space="preserve">Optimized: triggers and measurable lag; lessons learned applied each event.</x:t>
        </x:is>
      </x:c>
      <x:c r="N102" t="n">
        <x:v>4</x:v>
      </x:c>
      <x:c r="O102" t="inlineStr">
        <x:is>
          <x:t xml:space="preserve"/>
        </x:is>
      </x:c>
      <x:c r="P102" t="inlineStr">
        <x:is>
          <x:t xml:space="preserve">Control Lag</x:t>
        </x:is>
      </x:c>
      <x:c r="Q102" t="inlineStr">
        <x:is>
          <x:t xml:space="preserve">Continuous improvement</x:t>
        </x:is>
      </x:c>
      <x:c r="R102" t="inlineStr">
        <x:is>
          <x:t xml:space="preserve">N</x:t>
        </x:is>
      </x:c>
      <x:c r="S102" s="2" t="inlineStr">
        <x:is>
          <x:t xml:space="preserve">Evidence: lag metrics.</x:t>
        </x:is>
      </x:c>
      <x:c r="T102">
        <x:f>($N102)*(IF($D102="G",$E102,0)+IF($F102="G",$G102,0))</x:f>
      </x:c>
      <x:c r="U102">
        <x:f>($N102)*(IF($D102="E",$E102,0)+IF($F102="E",$G102,0))</x:f>
      </x:c>
      <x:c r="V102">
        <x:f>($N102)*(IF($D102="T",$E102,0)+IF($F102="T",$G102,0))</x:f>
      </x:c>
      <x:c r="W102">
        <x:f>($N102)*(IF($D102="L",$E102,0)+IF($F102="L",$G102,0))</x:f>
      </x:c>
      <x:c r="X102">
        <x:f>($N102)*(IF($D102="H",$E102,0)+IF($F102="H",$G102,0))</x:f>
      </x:c>
      <x:c r="Y102">
        <x:f>($N102)*(IF($D102="V",$E102,0)+IF($F102="V",$G102,0))</x:f>
      </x:c>
      <x:c r="Z102">
        <x:f>($N102)*(IF($D102="R",$E102,0)+IF($F102="R",$G102,0))</x:f>
      </x:c>
      <x:c r="AA102">
        <x:f>($N102)*(IF($D102="F",$E102,0)+IF($F102="F",$G102,0))</x:f>
      </x:c>
      <x:c r="AB102">
        <x:f>($N102)*(IF($D102="W",$E102,0)+IF($F102="W",$G102,0))</x:f>
      </x:c>
    </x:row>
    <x:row r="103" ht="40" customHeight="1">
      <x:c r="A103" t="inlineStr">
        <x:is>
          <x:t xml:space="preserve">HR-D6-Q21</x:t>
        </x:is>
      </x:c>
      <x:c r="B103" t="inlineStr">
        <x:is>
          <x:t xml:space="preserve">T2</x:t>
        </x:is>
      </x:c>
      <x:c r="C103" t="inlineStr">
        <x:is>
          <x:t xml:space="preserve">6. Change Events (Layoffs/M&amp;A/Re-org)</x:t>
        </x:is>
      </x:c>
      <x:c r="D103" t="inlineStr">
        <x:is>
          <x:t xml:space="preserve">E</x:t>
        </x:is>
      </x:c>
      <x:c r="E103" t="n">
        <x:v>1</x:v>
      </x:c>
      <x:c r="F103" t="inlineStr">
        <x:is>
          <x:t xml:space="preserve">-</x:t>
        </x:is>
      </x:c>
      <x:c r="G103" t="inlineStr">
        <x:is>
          <x:t xml:space="preserve"/>
        </x:is>
      </x:c>
      <x:c r="H103" s="2" t="inlineStr">
        <x:is>
          <x:t xml:space="preserve">(Shadow probe) How are change events communicated to IT/Security today, and how timely is the information?</x:t>
        </x:is>
      </x:c>
      <x:c r="I103" t="inlineStr">
        <x:is>
          <x:t xml:space="preserve">Think: leaver lists, role changes, org changes, contractor changes.</x:t>
        </x:is>
      </x:c>
      <x:c r="J103" t="inlineStr">
        <x:is>
          <x:t xml:space="preserve">Shadow fallback (Then → HR-D7-Q23)</x:t>
        </x:is>
      </x:c>
      <x:c r="K103" t="inlineStr">
        <x:is>
          <x:t xml:space="preserve">OPS_STD</x:t>
        </x:is>
      </x:c>
      <x:c r="L103" t="inlineStr">
        <x:is>
          <x:t xml:space="preserve">HR-D6-Q21-A1</x:t>
        </x:is>
      </x:c>
      <x:c r="M103" s="2" t="inlineStr">
        <x:is>
          <x:t xml:space="preserve">Unreliable: updates are late or incomplete.</x:t>
        </x:is>
      </x:c>
      <x:c r="N103" t="n">
        <x:v>0</x:v>
      </x:c>
      <x:c r="O103" t="inlineStr">
        <x:is>
          <x:t xml:space="preserve">control_lag</x:t>
        </x:is>
      </x:c>
      <x:c r="P103" t="inlineStr">
        <x:is>
          <x:t xml:space="preserve">Control Lag</x:t>
        </x:is>
      </x:c>
      <x:c r="Q103" t="inlineStr">
        <x:is>
          <x:t xml:space="preserve">Improve timeliness</x:t>
        </x:is>
      </x:c>
      <x:c r="R103" t="inlineStr">
        <x:is>
          <x:t xml:space="preserve">N</x:t>
        </x:is>
      </x:c>
      <x:c r="S103" s="2" t="inlineStr">
        <x:is>
          <x:t xml:space="preserve"/>
        </x:is>
      </x:c>
      <x:c r="T103">
        <x:f>($N103)*(IF($D103="G",$E103,0)+IF($F103="G",$G103,0))</x:f>
      </x:c>
      <x:c r="U103">
        <x:f>($N103)*(IF($D103="E",$E103,0)+IF($F103="E",$G103,0))</x:f>
      </x:c>
      <x:c r="V103">
        <x:f>($N103)*(IF($D103="T",$E103,0)+IF($F103="T",$G103,0))</x:f>
      </x:c>
      <x:c r="W103">
        <x:f>($N103)*(IF($D103="L",$E103,0)+IF($F103="L",$G103,0))</x:f>
      </x:c>
      <x:c r="X103">
        <x:f>($N103)*(IF($D103="H",$E103,0)+IF($F103="H",$G103,0))</x:f>
      </x:c>
      <x:c r="Y103">
        <x:f>($N103)*(IF($D103="V",$E103,0)+IF($F103="V",$G103,0))</x:f>
      </x:c>
      <x:c r="Z103">
        <x:f>($N103)*(IF($D103="R",$E103,0)+IF($F103="R",$G103,0))</x:f>
      </x:c>
      <x:c r="AA103">
        <x:f>($N103)*(IF($D103="F",$E103,0)+IF($F103="F",$G103,0))</x:f>
      </x:c>
      <x:c r="AB103">
        <x:f>($N103)*(IF($D103="W",$E103,0)+IF($F103="W",$G103,0))</x:f>
      </x:c>
    </x:row>
    <x:row r="104" ht="40" customHeight="1">
      <x:c r="A104" t="inlineStr">
        <x:is>
          <x:t xml:space="preserve">HR-D6-Q21</x:t>
        </x:is>
      </x:c>
      <x:c r="B104" t="inlineStr">
        <x:is>
          <x:t xml:space="preserve">T2</x:t>
        </x:is>
      </x:c>
      <x:c r="C104" t="inlineStr">
        <x:is>
          <x:t xml:space="preserve">6. Change Events (Layoffs/M&amp;A/Re-org)</x:t>
        </x:is>
      </x:c>
      <x:c r="D104" t="inlineStr">
        <x:is>
          <x:t xml:space="preserve">E</x:t>
        </x:is>
      </x:c>
      <x:c r="E104" t="n">
        <x:v>1</x:v>
      </x:c>
      <x:c r="F104" t="inlineStr">
        <x:is>
          <x:t xml:space="preserve">-</x:t>
        </x:is>
      </x:c>
      <x:c r="G104" t="inlineStr">
        <x:is>
          <x:t xml:space="preserve"/>
        </x:is>
      </x:c>
      <x:c r="H104" s="2" t="inlineStr">
        <x:is>
          <x:t xml:space="preserve">(Shadow probe) How are change events communicated to IT/Security today, and how timely is the information?</x:t>
        </x:is>
      </x:c>
      <x:c r="I104" t="inlineStr">
        <x:is>
          <x:t xml:space="preserve">Think: leaver lists, role changes, org changes, contractor changes.</x:t>
        </x:is>
      </x:c>
      <x:c r="J104" t="inlineStr">
        <x:is>
          <x:t xml:space="preserve">Shadow fallback (Then → HR-D7-Q23)</x:t>
        </x:is>
      </x:c>
      <x:c r="K104" t="inlineStr">
        <x:is>
          <x:t xml:space="preserve">OPS_STD</x:t>
        </x:is>
      </x:c>
      <x:c r="L104" t="inlineStr">
        <x:is>
          <x:t xml:space="preserve">HR-D6-Q21-A2</x:t>
        </x:is>
      </x:c>
      <x:c r="M104" s="2" t="inlineStr">
        <x:is>
          <x:t xml:space="preserve">Email/spreadsheets: provided but often delayed.</x:t>
        </x:is>
      </x:c>
      <x:c r="N104" t="n">
        <x:v>1</x:v>
      </x:c>
      <x:c r="O104" t="inlineStr">
        <x:is>
          <x:t xml:space="preserve">shadow_mature_signal</x:t>
        </x:is>
      </x:c>
      <x:c r="P104" t="inlineStr">
        <x:is>
          <x:t xml:space="preserve">Control Lag</x:t>
        </x:is>
      </x:c>
      <x:c r="Q104" t="inlineStr">
        <x:is>
          <x:t xml:space="preserve">Create standard cadence</x:t>
        </x:is>
      </x:c>
      <x:c r="R104" t="inlineStr">
        <x:is>
          <x:t xml:space="preserve">N</x:t>
        </x:is>
      </x:c>
      <x:c r="S104" s="2" t="inlineStr">
        <x:is>
          <x:t xml:space="preserve"/>
        </x:is>
      </x:c>
      <x:c r="T104">
        <x:f>($N104)*(IF($D104="G",$E104,0)+IF($F104="G",$G104,0))</x:f>
      </x:c>
      <x:c r="U104">
        <x:f>($N104)*(IF($D104="E",$E104,0)+IF($F104="E",$G104,0))</x:f>
      </x:c>
      <x:c r="V104">
        <x:f>($N104)*(IF($D104="T",$E104,0)+IF($F104="T",$G104,0))</x:f>
      </x:c>
      <x:c r="W104">
        <x:f>($N104)*(IF($D104="L",$E104,0)+IF($F104="L",$G104,0))</x:f>
      </x:c>
      <x:c r="X104">
        <x:f>($N104)*(IF($D104="H",$E104,0)+IF($F104="H",$G104,0))</x:f>
      </x:c>
      <x:c r="Y104">
        <x:f>($N104)*(IF($D104="V",$E104,0)+IF($F104="V",$G104,0))</x:f>
      </x:c>
      <x:c r="Z104">
        <x:f>($N104)*(IF($D104="R",$E104,0)+IF($F104="R",$G104,0))</x:f>
      </x:c>
      <x:c r="AA104">
        <x:f>($N104)*(IF($D104="F",$E104,0)+IF($F104="F",$G104,0))</x:f>
      </x:c>
      <x:c r="AB104">
        <x:f>($N104)*(IF($D104="W",$E104,0)+IF($F104="W",$G104,0))</x:f>
      </x:c>
    </x:row>
    <x:row r="105" ht="40" customHeight="1">
      <x:c r="A105" t="inlineStr">
        <x:is>
          <x:t xml:space="preserve">HR-D6-Q21</x:t>
        </x:is>
      </x:c>
      <x:c r="B105" t="inlineStr">
        <x:is>
          <x:t xml:space="preserve">T2</x:t>
        </x:is>
      </x:c>
      <x:c r="C105" t="inlineStr">
        <x:is>
          <x:t xml:space="preserve">6. Change Events (Layoffs/M&amp;A/Re-org)</x:t>
        </x:is>
      </x:c>
      <x:c r="D105" t="inlineStr">
        <x:is>
          <x:t xml:space="preserve">E</x:t>
        </x:is>
      </x:c>
      <x:c r="E105" t="n">
        <x:v>1</x:v>
      </x:c>
      <x:c r="F105" t="inlineStr">
        <x:is>
          <x:t xml:space="preserve">-</x:t>
        </x:is>
      </x:c>
      <x:c r="G105" t="inlineStr">
        <x:is>
          <x:t xml:space="preserve"/>
        </x:is>
      </x:c>
      <x:c r="H105" s="2" t="inlineStr">
        <x:is>
          <x:t xml:space="preserve">(Shadow probe) How are change events communicated to IT/Security today, and how timely is the information?</x:t>
        </x:is>
      </x:c>
      <x:c r="I105" t="inlineStr">
        <x:is>
          <x:t xml:space="preserve">Think: leaver lists, role changes, org changes, contractor changes.</x:t>
        </x:is>
      </x:c>
      <x:c r="J105" t="inlineStr">
        <x:is>
          <x:t xml:space="preserve">Shadow fallback (Then → HR-D7-Q23)</x:t>
        </x:is>
      </x:c>
      <x:c r="K105" t="inlineStr">
        <x:is>
          <x:t xml:space="preserve">OPS_STD</x:t>
        </x:is>
      </x:c>
      <x:c r="L105" t="inlineStr">
        <x:is>
          <x:t xml:space="preserve">HR-D6-Q21-A3</x:t>
        </x:is>
      </x:c>
      <x:c r="M105" s="2" t="inlineStr">
        <x:is>
          <x:t xml:space="preserve">Regular cadence; still delays for urgent changes.</x:t>
        </x:is>
      </x:c>
      <x:c r="N105" t="n">
        <x:v>2</x:v>
      </x:c>
      <x:c r="O105" t="inlineStr">
        <x:is>
          <x:t xml:space="preserve"/>
        </x:is>
      </x:c>
      <x:c r="P105" t="inlineStr">
        <x:is>
          <x:t xml:space="preserve">Control Lag</x:t>
        </x:is>
      </x:c>
      <x:c r="Q105" t="inlineStr">
        <x:is>
          <x:t xml:space="preserve">Add urgent escalation</x:t>
        </x:is>
      </x:c>
      <x:c r="R105" t="inlineStr">
        <x:is>
          <x:t xml:space="preserve">N</x:t>
        </x:is>
      </x:c>
      <x:c r="S105" s="2" t="inlineStr">
        <x:is>
          <x:t xml:space="preserve"/>
        </x:is>
      </x:c>
      <x:c r="T105">
        <x:f>($N105)*(IF($D105="G",$E105,0)+IF($F105="G",$G105,0))</x:f>
      </x:c>
      <x:c r="U105">
        <x:f>($N105)*(IF($D105="E",$E105,0)+IF($F105="E",$G105,0))</x:f>
      </x:c>
      <x:c r="V105">
        <x:f>($N105)*(IF($D105="T",$E105,0)+IF($F105="T",$G105,0))</x:f>
      </x:c>
      <x:c r="W105">
        <x:f>($N105)*(IF($D105="L",$E105,0)+IF($F105="L",$G105,0))</x:f>
      </x:c>
      <x:c r="X105">
        <x:f>($N105)*(IF($D105="H",$E105,0)+IF($F105="H",$G105,0))</x:f>
      </x:c>
      <x:c r="Y105">
        <x:f>($N105)*(IF($D105="V",$E105,0)+IF($F105="V",$G105,0))</x:f>
      </x:c>
      <x:c r="Z105">
        <x:f>($N105)*(IF($D105="R",$E105,0)+IF($F105="R",$G105,0))</x:f>
      </x:c>
      <x:c r="AA105">
        <x:f>($N105)*(IF($D105="F",$E105,0)+IF($F105="F",$G105,0))</x:f>
      </x:c>
      <x:c r="AB105">
        <x:f>($N105)*(IF($D105="W",$E105,0)+IF($F105="W",$G105,0))</x:f>
      </x:c>
    </x:row>
    <x:row r="106" ht="40" customHeight="1">
      <x:c r="A106" t="inlineStr">
        <x:is>
          <x:t xml:space="preserve">HR-D6-Q21</x:t>
        </x:is>
      </x:c>
      <x:c r="B106" t="inlineStr">
        <x:is>
          <x:t xml:space="preserve">T2</x:t>
        </x:is>
      </x:c>
      <x:c r="C106" t="inlineStr">
        <x:is>
          <x:t xml:space="preserve">6. Change Events (Layoffs/M&amp;A/Re-org)</x:t>
        </x:is>
      </x:c>
      <x:c r="D106" t="inlineStr">
        <x:is>
          <x:t xml:space="preserve">E</x:t>
        </x:is>
      </x:c>
      <x:c r="E106" t="n">
        <x:v>1</x:v>
      </x:c>
      <x:c r="F106" t="inlineStr">
        <x:is>
          <x:t xml:space="preserve">-</x:t>
        </x:is>
      </x:c>
      <x:c r="G106" t="inlineStr">
        <x:is>
          <x:t xml:space="preserve"/>
        </x:is>
      </x:c>
      <x:c r="H106" s="2" t="inlineStr">
        <x:is>
          <x:t xml:space="preserve">(Shadow probe) How are change events communicated to IT/Security today, and how timely is the information?</x:t>
        </x:is>
      </x:c>
      <x:c r="I106" t="inlineStr">
        <x:is>
          <x:t xml:space="preserve">Think: leaver lists, role changes, org changes, contractor changes.</x:t>
        </x:is>
      </x:c>
      <x:c r="J106" t="inlineStr">
        <x:is>
          <x:t xml:space="preserve">Shadow fallback (Then → HR-D7-Q23)</x:t>
        </x:is>
      </x:c>
      <x:c r="K106" t="inlineStr">
        <x:is>
          <x:t xml:space="preserve">OPS_STD</x:t>
        </x:is>
      </x:c>
      <x:c r="L106" t="inlineStr">
        <x:is>
          <x:t xml:space="preserve">HR-D6-Q21-A4</x:t>
        </x:is>
      </x:c>
      <x:c r="M106" s="2" t="inlineStr">
        <x:is>
          <x:t xml:space="preserve">Timely: critical updates within 24–48 hours with clear ownership.</x:t>
        </x:is>
      </x:c>
      <x:c r="N106" t="n">
        <x:v>3</x:v>
      </x:c>
      <x:c r="O106" t="inlineStr">
        <x:is>
          <x:t xml:space="preserve"/>
        </x:is>
      </x:c>
      <x:c r="P106" t="inlineStr">
        <x:is>
          <x:t xml:space="preserve">Control Lag</x:t>
        </x:is>
      </x:c>
      <x:c r="Q106" t="inlineStr">
        <x:is>
          <x:t xml:space="preserve">Maintain</x:t>
        </x:is>
      </x:c>
      <x:c r="R106" t="inlineStr">
        <x:is>
          <x:t xml:space="preserve">N</x:t>
        </x:is>
      </x:c>
      <x:c r="S106" s="2" t="inlineStr">
        <x:is>
          <x:t xml:space="preserve">Evidence: sample comms.</x:t>
        </x:is>
      </x:c>
      <x:c r="T106">
        <x:f>($N106)*(IF($D106="G",$E106,0)+IF($F106="G",$G106,0))</x:f>
      </x:c>
      <x:c r="U106">
        <x:f>($N106)*(IF($D106="E",$E106,0)+IF($F106="E",$G106,0))</x:f>
      </x:c>
      <x:c r="V106">
        <x:f>($N106)*(IF($D106="T",$E106,0)+IF($F106="T",$G106,0))</x:f>
      </x:c>
      <x:c r="W106">
        <x:f>($N106)*(IF($D106="L",$E106,0)+IF($F106="L",$G106,0))</x:f>
      </x:c>
      <x:c r="X106">
        <x:f>($N106)*(IF($D106="H",$E106,0)+IF($F106="H",$G106,0))</x:f>
      </x:c>
      <x:c r="Y106">
        <x:f>($N106)*(IF($D106="V",$E106,0)+IF($F106="V",$G106,0))</x:f>
      </x:c>
      <x:c r="Z106">
        <x:f>($N106)*(IF($D106="R",$E106,0)+IF($F106="R",$G106,0))</x:f>
      </x:c>
      <x:c r="AA106">
        <x:f>($N106)*(IF($D106="F",$E106,0)+IF($F106="F",$G106,0))</x:f>
      </x:c>
      <x:c r="AB106">
        <x:f>($N106)*(IF($D106="W",$E106,0)+IF($F106="W",$G106,0))</x:f>
      </x:c>
    </x:row>
    <x:row r="107" ht="40" customHeight="1">
      <x:c r="A107" t="inlineStr">
        <x:is>
          <x:t xml:space="preserve">HR-D6-Q22</x:t>
        </x:is>
      </x:c>
      <x:c r="B107" t="inlineStr">
        <x:is>
          <x:t xml:space="preserve">T2</x:t>
        </x:is>
      </x:c>
      <x:c r="C107" t="inlineStr">
        <x:is>
          <x:t xml:space="preserve">6. Change Events (Layoffs/M&amp;A/Re-org)</x:t>
        </x:is>
      </x:c>
      <x:c r="D107" t="inlineStr">
        <x:is>
          <x:t xml:space="preserve">G</x:t>
        </x:is>
      </x:c>
      <x:c r="E107" t="n">
        <x:v>0.5</x:v>
      </x:c>
      <x:c r="F107" t="inlineStr">
        <x:is>
          <x:t xml:space="preserve">W</x:t>
        </x:is>
      </x:c>
      <x:c r="G107" t="n">
        <x:v>0.5</x:v>
      </x:c>
      <x:c r="H107" s="2" t="inlineStr">
        <x:is>
          <x:t xml:space="preserve">Do you have a 'change event checklist' for people-risk controls (communications, access, monitoring approvals, support mechanisms)?</x:t>
        </x:is>
      </x:c>
      <x:c r="I107" t="inlineStr">
        <x:is>
          <x:t xml:space="preserve">Checklist should include legal/privacy review steps where required.</x:t>
        </x:is>
      </x:c>
      <x:c r="J107" t="inlineStr">
        <x:is>
          <x:t xml:space="preserve">Drill-down</x:t>
        </x:is>
      </x:c>
      <x:c r="K107" t="inlineStr">
        <x:is>
          <x:t xml:space="preserve">GOV_STD</x:t>
        </x:is>
      </x:c>
      <x:c r="L107" t="inlineStr">
        <x:is>
          <x:t xml:space="preserve">HR-D6-Q22-A1</x:t>
        </x:is>
      </x:c>
      <x:c r="M107" s="2" t="inlineStr">
        <x:is>
          <x:t xml:space="preserve">No checklist; teams improvise each time.</x:t>
        </x:is>
      </x:c>
      <x:c r="N107" t="n">
        <x:v>0</x:v>
      </x:c>
      <x:c r="O107" t="inlineStr">
        <x:is>
          <x:t xml:space="preserve">control_lag</x:t>
        </x:is>
      </x:c>
      <x:c r="P107" t="inlineStr">
        <x:is>
          <x:t xml:space="preserve">Control Lag</x:t>
        </x:is>
      </x:c>
      <x:c r="Q107" t="inlineStr">
        <x:is>
          <x:t xml:space="preserve">Create checklist</x:t>
        </x:is>
      </x:c>
      <x:c r="R107" t="inlineStr">
        <x:is>
          <x:t xml:space="preserve">N</x:t>
        </x:is>
      </x:c>
      <x:c r="S107" s="2" t="inlineStr">
        <x:is>
          <x:t xml:space="preserve"/>
        </x:is>
      </x:c>
      <x:c r="T107">
        <x:f>($N107)*(IF($D107="G",$E107,0)+IF($F107="G",$G107,0))</x:f>
      </x:c>
      <x:c r="U107">
        <x:f>($N107)*(IF($D107="E",$E107,0)+IF($F107="E",$G107,0))</x:f>
      </x:c>
      <x:c r="V107">
        <x:f>($N107)*(IF($D107="T",$E107,0)+IF($F107="T",$G107,0))</x:f>
      </x:c>
      <x:c r="W107">
        <x:f>($N107)*(IF($D107="L",$E107,0)+IF($F107="L",$G107,0))</x:f>
      </x:c>
      <x:c r="X107">
        <x:f>($N107)*(IF($D107="H",$E107,0)+IF($F107="H",$G107,0))</x:f>
      </x:c>
      <x:c r="Y107">
        <x:f>($N107)*(IF($D107="V",$E107,0)+IF($F107="V",$G107,0))</x:f>
      </x:c>
      <x:c r="Z107">
        <x:f>($N107)*(IF($D107="R",$E107,0)+IF($F107="R",$G107,0))</x:f>
      </x:c>
      <x:c r="AA107">
        <x:f>($N107)*(IF($D107="F",$E107,0)+IF($F107="F",$G107,0))</x:f>
      </x:c>
      <x:c r="AB107">
        <x:f>($N107)*(IF($D107="W",$E107,0)+IF($F107="W",$G107,0))</x:f>
      </x:c>
    </x:row>
    <x:row r="108" ht="40" customHeight="1">
      <x:c r="A108" t="inlineStr">
        <x:is>
          <x:t xml:space="preserve">HR-D6-Q22</x:t>
        </x:is>
      </x:c>
      <x:c r="B108" t="inlineStr">
        <x:is>
          <x:t xml:space="preserve">T2</x:t>
        </x:is>
      </x:c>
      <x:c r="C108" t="inlineStr">
        <x:is>
          <x:t xml:space="preserve">6. Change Events (Layoffs/M&amp;A/Re-org)</x:t>
        </x:is>
      </x:c>
      <x:c r="D108" t="inlineStr">
        <x:is>
          <x:t xml:space="preserve">G</x:t>
        </x:is>
      </x:c>
      <x:c r="E108" t="n">
        <x:v>0.5</x:v>
      </x:c>
      <x:c r="F108" t="inlineStr">
        <x:is>
          <x:t xml:space="preserve">W</x:t>
        </x:is>
      </x:c>
      <x:c r="G108" t="n">
        <x:v>0.5</x:v>
      </x:c>
      <x:c r="H108" s="2" t="inlineStr">
        <x:is>
          <x:t xml:space="preserve">Do you have a 'change event checklist' for people-risk controls (communications, access, monitoring approvals, support mechanisms)?</x:t>
        </x:is>
      </x:c>
      <x:c r="I108" t="inlineStr">
        <x:is>
          <x:t xml:space="preserve">Checklist should include legal/privacy review steps where required.</x:t>
        </x:is>
      </x:c>
      <x:c r="J108" t="inlineStr">
        <x:is>
          <x:t xml:space="preserve">Drill-down</x:t>
        </x:is>
      </x:c>
      <x:c r="K108" t="inlineStr">
        <x:is>
          <x:t xml:space="preserve">GOV_STD</x:t>
        </x:is>
      </x:c>
      <x:c r="L108" t="inlineStr">
        <x:is>
          <x:t xml:space="preserve">HR-D6-Q22-A2</x:t>
        </x:is>
      </x:c>
      <x:c r="M108" s="2" t="inlineStr">
        <x:is>
          <x:t xml:space="preserve">Checklist exists but not used consistently.</x:t>
        </x:is>
      </x:c>
      <x:c r="N108" t="n">
        <x:v>1</x:v>
      </x:c>
      <x:c r="O108" t="inlineStr">
        <x:is>
          <x:t xml:space="preserve">paper_dragon_signal</x:t>
        </x:is>
      </x:c>
      <x:c r="P108" t="inlineStr">
        <x:is>
          <x:t xml:space="preserve">Paper Dragon</x:t>
        </x:is>
      </x:c>
      <x:c r="Q108" t="inlineStr">
        <x:is>
          <x:t xml:space="preserve">Embed into change management</x:t>
        </x:is>
      </x:c>
      <x:c r="R108" t="inlineStr">
        <x:is>
          <x:t xml:space="preserve">N</x:t>
        </x:is>
      </x:c>
      <x:c r="S108" s="2" t="inlineStr">
        <x:is>
          <x:t xml:space="preserve">Evidence: checklist doc.</x:t>
        </x:is>
      </x:c>
      <x:c r="T108">
        <x:f>($N108)*(IF($D108="G",$E108,0)+IF($F108="G",$G108,0))</x:f>
      </x:c>
      <x:c r="U108">
        <x:f>($N108)*(IF($D108="E",$E108,0)+IF($F108="E",$G108,0))</x:f>
      </x:c>
      <x:c r="V108">
        <x:f>($N108)*(IF($D108="T",$E108,0)+IF($F108="T",$G108,0))</x:f>
      </x:c>
      <x:c r="W108">
        <x:f>($N108)*(IF($D108="L",$E108,0)+IF($F108="L",$G108,0))</x:f>
      </x:c>
      <x:c r="X108">
        <x:f>($N108)*(IF($D108="H",$E108,0)+IF($F108="H",$G108,0))</x:f>
      </x:c>
      <x:c r="Y108">
        <x:f>($N108)*(IF($D108="V",$E108,0)+IF($F108="V",$G108,0))</x:f>
      </x:c>
      <x:c r="Z108">
        <x:f>($N108)*(IF($D108="R",$E108,0)+IF($F108="R",$G108,0))</x:f>
      </x:c>
      <x:c r="AA108">
        <x:f>($N108)*(IF($D108="F",$E108,0)+IF($F108="F",$G108,0))</x:f>
      </x:c>
      <x:c r="AB108">
        <x:f>($N108)*(IF($D108="W",$E108,0)+IF($F108="W",$G108,0))</x:f>
      </x:c>
    </x:row>
    <x:row r="109" ht="40" customHeight="1">
      <x:c r="A109" t="inlineStr">
        <x:is>
          <x:t xml:space="preserve">HR-D6-Q22</x:t>
        </x:is>
      </x:c>
      <x:c r="B109" t="inlineStr">
        <x:is>
          <x:t xml:space="preserve">T2</x:t>
        </x:is>
      </x:c>
      <x:c r="C109" t="inlineStr">
        <x:is>
          <x:t xml:space="preserve">6. Change Events (Layoffs/M&amp;A/Re-org)</x:t>
        </x:is>
      </x:c>
      <x:c r="D109" t="inlineStr">
        <x:is>
          <x:t xml:space="preserve">G</x:t>
        </x:is>
      </x:c>
      <x:c r="E109" t="n">
        <x:v>0.5</x:v>
      </x:c>
      <x:c r="F109" t="inlineStr">
        <x:is>
          <x:t xml:space="preserve">W</x:t>
        </x:is>
      </x:c>
      <x:c r="G109" t="n">
        <x:v>0.5</x:v>
      </x:c>
      <x:c r="H109" s="2" t="inlineStr">
        <x:is>
          <x:t xml:space="preserve">Do you have a 'change event checklist' for people-risk controls (communications, access, monitoring approvals, support mechanisms)?</x:t>
        </x:is>
      </x:c>
      <x:c r="I109" t="inlineStr">
        <x:is>
          <x:t xml:space="preserve">Checklist should include legal/privacy review steps where required.</x:t>
        </x:is>
      </x:c>
      <x:c r="J109" t="inlineStr">
        <x:is>
          <x:t xml:space="preserve">Drill-down</x:t>
        </x:is>
      </x:c>
      <x:c r="K109" t="inlineStr">
        <x:is>
          <x:t xml:space="preserve">GOV_STD</x:t>
        </x:is>
      </x:c>
      <x:c r="L109" t="inlineStr">
        <x:is>
          <x:t xml:space="preserve">HR-D6-Q22-A3</x:t>
        </x:is>
      </x:c>
      <x:c r="M109" s="2" t="inlineStr">
        <x:is>
          <x:t xml:space="preserve">Used for major events, not smaller re-orgs.</x:t>
        </x:is>
      </x:c>
      <x:c r="N109" t="n">
        <x:v>2</x:v>
      </x:c>
      <x:c r="O109" t="inlineStr">
        <x:is>
          <x:t xml:space="preserve"/>
        </x:is>
      </x:c>
      <x:c r="P109" t="inlineStr">
        <x:is>
          <x:t xml:space="preserve">Control Lag</x:t>
        </x:is>
      </x:c>
      <x:c r="Q109" t="inlineStr">
        <x:is>
          <x:t xml:space="preserve">Expand scope and automate</x:t>
        </x:is>
      </x:c>
      <x:c r="R109" t="inlineStr">
        <x:is>
          <x:t xml:space="preserve">N</x:t>
        </x:is>
      </x:c>
      <x:c r="S109" s="2" t="inlineStr">
        <x:is>
          <x:t xml:space="preserve"/>
        </x:is>
      </x:c>
      <x:c r="T109">
        <x:f>($N109)*(IF($D109="G",$E109,0)+IF($F109="G",$G109,0))</x:f>
      </x:c>
      <x:c r="U109">
        <x:f>($N109)*(IF($D109="E",$E109,0)+IF($F109="E",$G109,0))</x:f>
      </x:c>
      <x:c r="V109">
        <x:f>($N109)*(IF($D109="T",$E109,0)+IF($F109="T",$G109,0))</x:f>
      </x:c>
      <x:c r="W109">
        <x:f>($N109)*(IF($D109="L",$E109,0)+IF($F109="L",$G109,0))</x:f>
      </x:c>
      <x:c r="X109">
        <x:f>($N109)*(IF($D109="H",$E109,0)+IF($F109="H",$G109,0))</x:f>
      </x:c>
      <x:c r="Y109">
        <x:f>($N109)*(IF($D109="V",$E109,0)+IF($F109="V",$G109,0))</x:f>
      </x:c>
      <x:c r="Z109">
        <x:f>($N109)*(IF($D109="R",$E109,0)+IF($F109="R",$G109,0))</x:f>
      </x:c>
      <x:c r="AA109">
        <x:f>($N109)*(IF($D109="F",$E109,0)+IF($F109="F",$G109,0))</x:f>
      </x:c>
      <x:c r="AB109">
        <x:f>($N109)*(IF($D109="W",$E109,0)+IF($F109="W",$G109,0))</x:f>
      </x:c>
    </x:row>
    <x:row r="110" ht="40" customHeight="1">
      <x:c r="A110" t="inlineStr">
        <x:is>
          <x:t xml:space="preserve">HR-D6-Q22</x:t>
        </x:is>
      </x:c>
      <x:c r="B110" t="inlineStr">
        <x:is>
          <x:t xml:space="preserve">T2</x:t>
        </x:is>
      </x:c>
      <x:c r="C110" t="inlineStr">
        <x:is>
          <x:t xml:space="preserve">6. Change Events (Layoffs/M&amp;A/Re-org)</x:t>
        </x:is>
      </x:c>
      <x:c r="D110" t="inlineStr">
        <x:is>
          <x:t xml:space="preserve">G</x:t>
        </x:is>
      </x:c>
      <x:c r="E110" t="n">
        <x:v>0.5</x:v>
      </x:c>
      <x:c r="F110" t="inlineStr">
        <x:is>
          <x:t xml:space="preserve">W</x:t>
        </x:is>
      </x:c>
      <x:c r="G110" t="n">
        <x:v>0.5</x:v>
      </x:c>
      <x:c r="H110" s="2" t="inlineStr">
        <x:is>
          <x:t xml:space="preserve">Do you have a 'change event checklist' for people-risk controls (communications, access, monitoring approvals, support mechanisms)?</x:t>
        </x:is>
      </x:c>
      <x:c r="I110" t="inlineStr">
        <x:is>
          <x:t xml:space="preserve">Checklist should include legal/privacy review steps where required.</x:t>
        </x:is>
      </x:c>
      <x:c r="J110" t="inlineStr">
        <x:is>
          <x:t xml:space="preserve">Drill-down</x:t>
        </x:is>
      </x:c>
      <x:c r="K110" t="inlineStr">
        <x:is>
          <x:t xml:space="preserve">GOV_STD</x:t>
        </x:is>
      </x:c>
      <x:c r="L110" t="inlineStr">
        <x:is>
          <x:t xml:space="preserve">HR-D6-Q22-A4</x:t>
        </x:is>
      </x:c>
      <x:c r="M110" s="2" t="inlineStr">
        <x:is>
          <x:t xml:space="preserve">Used consistently; ownership clear; post-event review occurs.</x:t>
        </x:is>
      </x:c>
      <x:c r="N110" t="n">
        <x:v>3</x:v>
      </x:c>
      <x:c r="O110" t="inlineStr">
        <x:is>
          <x:t xml:space="preserve"/>
        </x:is>
      </x:c>
      <x:c r="P110" t="inlineStr">
        <x:is>
          <x:t xml:space="preserve">Control Lag</x:t>
        </x:is>
      </x:c>
      <x:c r="Q110" t="inlineStr">
        <x:is>
          <x:t xml:space="preserve">Maintain and improve</x:t>
        </x:is>
      </x:c>
      <x:c r="R110" t="inlineStr">
        <x:is>
          <x:t xml:space="preserve">N</x:t>
        </x:is>
      </x:c>
      <x:c r="S110" s="2" t="inlineStr">
        <x:is>
          <x:t xml:space="preserve">Evidence: post-event review notes.</x:t>
        </x:is>
      </x:c>
      <x:c r="T110">
        <x:f>($N110)*(IF($D110="G",$E110,0)+IF($F110="G",$G110,0))</x:f>
      </x:c>
      <x:c r="U110">
        <x:f>($N110)*(IF($D110="E",$E110,0)+IF($F110="E",$G110,0))</x:f>
      </x:c>
      <x:c r="V110">
        <x:f>($N110)*(IF($D110="T",$E110,0)+IF($F110="T",$G110,0))</x:f>
      </x:c>
      <x:c r="W110">
        <x:f>($N110)*(IF($D110="L",$E110,0)+IF($F110="L",$G110,0))</x:f>
      </x:c>
      <x:c r="X110">
        <x:f>($N110)*(IF($D110="H",$E110,0)+IF($F110="H",$G110,0))</x:f>
      </x:c>
      <x:c r="Y110">
        <x:f>($N110)*(IF($D110="V",$E110,0)+IF($F110="V",$G110,0))</x:f>
      </x:c>
      <x:c r="Z110">
        <x:f>($N110)*(IF($D110="R",$E110,0)+IF($F110="R",$G110,0))</x:f>
      </x:c>
      <x:c r="AA110">
        <x:f>($N110)*(IF($D110="F",$E110,0)+IF($F110="F",$G110,0))</x:f>
      </x:c>
      <x:c r="AB110">
        <x:f>($N110)*(IF($D110="W",$E110,0)+IF($F110="W",$G110,0))</x:f>
      </x:c>
    </x:row>
    <x:row r="111" ht="40" customHeight="1">
      <x:c r="A111" t="inlineStr">
        <x:is>
          <x:t xml:space="preserve">HR-D6-Q22</x:t>
        </x:is>
      </x:c>
      <x:c r="B111" t="inlineStr">
        <x:is>
          <x:t xml:space="preserve">T2</x:t>
        </x:is>
      </x:c>
      <x:c r="C111" t="inlineStr">
        <x:is>
          <x:t xml:space="preserve">6. Change Events (Layoffs/M&amp;A/Re-org)</x:t>
        </x:is>
      </x:c>
      <x:c r="D111" t="inlineStr">
        <x:is>
          <x:t xml:space="preserve">G</x:t>
        </x:is>
      </x:c>
      <x:c r="E111" t="n">
        <x:v>0.5</x:v>
      </x:c>
      <x:c r="F111" t="inlineStr">
        <x:is>
          <x:t xml:space="preserve">W</x:t>
        </x:is>
      </x:c>
      <x:c r="G111" t="n">
        <x:v>0.5</x:v>
      </x:c>
      <x:c r="H111" s="2" t="inlineStr">
        <x:is>
          <x:t xml:space="preserve">Do you have a 'change event checklist' for people-risk controls (communications, access, monitoring approvals, support mechanisms)?</x:t>
        </x:is>
      </x:c>
      <x:c r="I111" t="inlineStr">
        <x:is>
          <x:t xml:space="preserve">Checklist should include legal/privacy review steps where required.</x:t>
        </x:is>
      </x:c>
      <x:c r="J111" t="inlineStr">
        <x:is>
          <x:t xml:space="preserve">Drill-down</x:t>
        </x:is>
      </x:c>
      <x:c r="K111" t="inlineStr">
        <x:is>
          <x:t xml:space="preserve">GOV_STD</x:t>
        </x:is>
      </x:c>
      <x:c r="L111" t="inlineStr">
        <x:is>
          <x:t xml:space="preserve">HR-D6-Q22-A5</x:t>
        </x:is>
      </x:c>
      <x:c r="M111" s="2" t="inlineStr">
        <x:is>
          <x:t xml:space="preserve">Optimized: checklist integrated into workflows with measurable control-lag targets.</x:t>
        </x:is>
      </x:c>
      <x:c r="N111" t="n">
        <x:v>4</x:v>
      </x:c>
      <x:c r="O111" t="inlineStr">
        <x:is>
          <x:t xml:space="preserve"/>
        </x:is>
      </x:c>
      <x:c r="P111" t="inlineStr">
        <x:is>
          <x:t xml:space="preserve">Control Lag</x:t>
        </x:is>
      </x:c>
      <x:c r="Q111" t="inlineStr">
        <x:is>
          <x:t xml:space="preserve">Maintain maturity</x:t>
        </x:is>
      </x:c>
      <x:c r="R111" t="inlineStr">
        <x:is>
          <x:t xml:space="preserve">N</x:t>
        </x:is>
      </x:c>
      <x:c r="S111" s="2" t="inlineStr">
        <x:is>
          <x:t xml:space="preserve">Evidence: lag KPI.</x:t>
        </x:is>
      </x:c>
      <x:c r="T111">
        <x:f>($N111)*(IF($D111="G",$E111,0)+IF($F111="G",$G111,0))</x:f>
      </x:c>
      <x:c r="U111">
        <x:f>($N111)*(IF($D111="E",$E111,0)+IF($F111="E",$G111,0))</x:f>
      </x:c>
      <x:c r="V111">
        <x:f>($N111)*(IF($D111="T",$E111,0)+IF($F111="T",$G111,0))</x:f>
      </x:c>
      <x:c r="W111">
        <x:f>($N111)*(IF($D111="L",$E111,0)+IF($F111="L",$G111,0))</x:f>
      </x:c>
      <x:c r="X111">
        <x:f>($N111)*(IF($D111="H",$E111,0)+IF($F111="H",$G111,0))</x:f>
      </x:c>
      <x:c r="Y111">
        <x:f>($N111)*(IF($D111="V",$E111,0)+IF($F111="V",$G111,0))</x:f>
      </x:c>
      <x:c r="Z111">
        <x:f>($N111)*(IF($D111="R",$E111,0)+IF($F111="R",$G111,0))</x:f>
      </x:c>
      <x:c r="AA111">
        <x:f>($N111)*(IF($D111="F",$E111,0)+IF($F111="F",$G111,0))</x:f>
      </x:c>
      <x:c r="AB111">
        <x:f>($N111)*(IF($D111="W",$E111,0)+IF($F111="W",$G111,0))</x:f>
      </x:c>
    </x:row>
    <x:row r="112" ht="40" customHeight="1">
      <x:c r="A112" t="inlineStr">
        <x:is>
          <x:t xml:space="preserve">HR-D7-Q23</x:t>
        </x:is>
      </x:c>
      <x:c r="B112" t="inlineStr">
        <x:is>
          <x:t xml:space="preserve">T1</x:t>
        </x:is>
      </x:c>
      <x:c r="C112" t="inlineStr">
        <x:is>
          <x:t xml:space="preserve">7. Investigations &amp; Fairness</x:t>
        </x:is>
      </x:c>
      <x:c r="D112" t="inlineStr">
        <x:is>
          <x:t xml:space="preserve">R</x:t>
        </x:is>
      </x:c>
      <x:c r="E112" t="n">
        <x:v>0.6</x:v>
      </x:c>
      <x:c r="F112" t="inlineStr">
        <x:is>
          <x:t xml:space="preserve">L</x:t>
        </x:is>
      </x:c>
      <x:c r="G112" t="n">
        <x:v>0.4</x:v>
      </x:c>
      <x:c r="H112" s="2" t="inlineStr">
        <x:is>
          <x:t xml:space="preserve">When a concern is raised, is there a fair, documented investigation process with HR, Legal/Privacy, and Security, including confidentiality boundaries?</x:t>
        </x:is>
      </x:c>
      <x:c r="I112" t="inlineStr">
        <x:is>
          <x:t xml:space="preserve">Fair = proportionate, consistent, documented, with privacy safeguards.</x:t>
        </x:is>
      </x:c>
      <x:c r="J112" t="inlineStr">
        <x:is>
          <x:t xml:space="preserve">Gatekeeper (If BaseScore &lt;2 → HR-D7-Q24; If ≥2 → HR-D7-Q25)</x:t>
        </x:is>
      </x:c>
      <x:c r="K112" t="inlineStr">
        <x:is>
          <x:t xml:space="preserve">LEG_STRICT</x:t>
        </x:is>
      </x:c>
      <x:c r="L112" t="inlineStr">
        <x:is>
          <x:t xml:space="preserve">HR-D7-Q23-A0</x:t>
        </x:is>
      </x:c>
      <x:c r="M112" s="2" t="inlineStr">
        <x:is>
          <x:t xml:space="preserve">I don't know / Not sure.</x:t>
        </x:is>
      </x:c>
      <x:c r="N112" t="n">
        <x:v>0</x:v>
      </x:c>
      <x:c r="O112" t="inlineStr">
        <x:is>
          <x:t xml:space="preserve">low-confidence</x:t>
        </x:is>
      </x:c>
      <x:c r="P112" t="inlineStr">
        <x:is>
          <x:t xml:space="preserve">Legal Exposure</x:t>
        </x:is>
      </x:c>
      <x:c r="Q112" t="inlineStr">
        <x:is>
          <x:t xml:space="preserve">Clarify process</x:t>
        </x:is>
      </x:c>
      <x:c r="R112" t="inlineStr">
        <x:is>
          <x:t xml:space="preserve">N</x:t>
        </x:is>
      </x:c>
      <x:c r="S112" s="2" t="inlineStr">
        <x:is>
          <x:t xml:space="preserve"/>
        </x:is>
      </x:c>
      <x:c r="T112">
        <x:f>($N112)*(IF($D112="G",$E112,0)+IF($F112="G",$G112,0))</x:f>
      </x:c>
      <x:c r="U112">
        <x:f>($N112)*(IF($D112="E",$E112,0)+IF($F112="E",$G112,0))</x:f>
      </x:c>
      <x:c r="V112">
        <x:f>($N112)*(IF($D112="T",$E112,0)+IF($F112="T",$G112,0))</x:f>
      </x:c>
      <x:c r="W112">
        <x:f>($N112)*(IF($D112="L",$E112,0)+IF($F112="L",$G112,0))</x:f>
      </x:c>
      <x:c r="X112">
        <x:f>($N112)*(IF($D112="H",$E112,0)+IF($F112="H",$G112,0))</x:f>
      </x:c>
      <x:c r="Y112">
        <x:f>($N112)*(IF($D112="V",$E112,0)+IF($F112="V",$G112,0))</x:f>
      </x:c>
      <x:c r="Z112">
        <x:f>($N112)*(IF($D112="R",$E112,0)+IF($F112="R",$G112,0))</x:f>
      </x:c>
      <x:c r="AA112">
        <x:f>($N112)*(IF($D112="F",$E112,0)+IF($F112="F",$G112,0))</x:f>
      </x:c>
      <x:c r="AB112">
        <x:f>($N112)*(IF($D112="W",$E112,0)+IF($F112="W",$G112,0))</x:f>
      </x:c>
    </x:row>
    <x:row r="113" ht="40" customHeight="1">
      <x:c r="A113" t="inlineStr">
        <x:is>
          <x:t xml:space="preserve">HR-D7-Q23</x:t>
        </x:is>
      </x:c>
      <x:c r="B113" t="inlineStr">
        <x:is>
          <x:t xml:space="preserve">T1</x:t>
        </x:is>
      </x:c>
      <x:c r="C113" t="inlineStr">
        <x:is>
          <x:t xml:space="preserve">7. Investigations &amp; Fairness</x:t>
        </x:is>
      </x:c>
      <x:c r="D113" t="inlineStr">
        <x:is>
          <x:t xml:space="preserve">R</x:t>
        </x:is>
      </x:c>
      <x:c r="E113" t="n">
        <x:v>0.6</x:v>
      </x:c>
      <x:c r="F113" t="inlineStr">
        <x:is>
          <x:t xml:space="preserve">L</x:t>
        </x:is>
      </x:c>
      <x:c r="G113" t="n">
        <x:v>0.4</x:v>
      </x:c>
      <x:c r="H113" s="2" t="inlineStr">
        <x:is>
          <x:t xml:space="preserve">When a concern is raised, is there a fair, documented investigation process with HR, Legal/Privacy, and Security, including confidentiality boundaries?</x:t>
        </x:is>
      </x:c>
      <x:c r="I113" t="inlineStr">
        <x:is>
          <x:t xml:space="preserve">Fair = proportionate, consistent, documented, with privacy safeguards.</x:t>
        </x:is>
      </x:c>
      <x:c r="J113" t="inlineStr">
        <x:is>
          <x:t xml:space="preserve">Gatekeeper (If BaseScore &lt;2 → HR-D7-Q24; If ≥2 → HR-D7-Q25)</x:t>
        </x:is>
      </x:c>
      <x:c r="K113" t="inlineStr">
        <x:is>
          <x:t xml:space="preserve">LEG_STRICT</x:t>
        </x:is>
      </x:c>
      <x:c r="L113" t="inlineStr">
        <x:is>
          <x:t xml:space="preserve">HR-D7-Q23-A1</x:t>
        </x:is>
      </x:c>
      <x:c r="M113" s="2" t="inlineStr">
        <x:is>
          <x:t xml:space="preserve">No: handled ad-hoc; differs by team/manager.</x:t>
        </x:is>
      </x:c>
      <x:c r="N113" t="n">
        <x:v>0</x:v>
      </x:c>
      <x:c r="O113" t="inlineStr">
        <x:is>
          <x:t xml:space="preserve">legal_exposure</x:t>
        </x:is>
      </x:c>
      <x:c r="P113" t="inlineStr">
        <x:is>
          <x:t xml:space="preserve">Operating Model Gap</x:t>
        </x:is>
      </x:c>
      <x:c r="Q113" t="inlineStr">
        <x:is>
          <x:t xml:space="preserve">Define investigation process</x:t>
        </x:is>
      </x:c>
      <x:c r="R113" t="inlineStr">
        <x:is>
          <x:t xml:space="preserve">N</x:t>
        </x:is>
      </x:c>
      <x:c r="S113" s="2" t="inlineStr">
        <x:is>
          <x:t xml:space="preserve"/>
        </x:is>
      </x:c>
      <x:c r="T113">
        <x:f>($N113)*(IF($D113="G",$E113,0)+IF($F113="G",$G113,0))</x:f>
      </x:c>
      <x:c r="U113">
        <x:f>($N113)*(IF($D113="E",$E113,0)+IF($F113="E",$G113,0))</x:f>
      </x:c>
      <x:c r="V113">
        <x:f>($N113)*(IF($D113="T",$E113,0)+IF($F113="T",$G113,0))</x:f>
      </x:c>
      <x:c r="W113">
        <x:f>($N113)*(IF($D113="L",$E113,0)+IF($F113="L",$G113,0))</x:f>
      </x:c>
      <x:c r="X113">
        <x:f>($N113)*(IF($D113="H",$E113,0)+IF($F113="H",$G113,0))</x:f>
      </x:c>
      <x:c r="Y113">
        <x:f>($N113)*(IF($D113="V",$E113,0)+IF($F113="V",$G113,0))</x:f>
      </x:c>
      <x:c r="Z113">
        <x:f>($N113)*(IF($D113="R",$E113,0)+IF($F113="R",$G113,0))</x:f>
      </x:c>
      <x:c r="AA113">
        <x:f>($N113)*(IF($D113="F",$E113,0)+IF($F113="F",$G113,0))</x:f>
      </x:c>
      <x:c r="AB113">
        <x:f>($N113)*(IF($D113="W",$E113,0)+IF($F113="W",$G113,0))</x:f>
      </x:c>
    </x:row>
    <x:row r="114" ht="40" customHeight="1">
      <x:c r="A114" t="inlineStr">
        <x:is>
          <x:t xml:space="preserve">HR-D7-Q23</x:t>
        </x:is>
      </x:c>
      <x:c r="B114" t="inlineStr">
        <x:is>
          <x:t xml:space="preserve">T1</x:t>
        </x:is>
      </x:c>
      <x:c r="C114" t="inlineStr">
        <x:is>
          <x:t xml:space="preserve">7. Investigations &amp; Fairness</x:t>
        </x:is>
      </x:c>
      <x:c r="D114" t="inlineStr">
        <x:is>
          <x:t xml:space="preserve">R</x:t>
        </x:is>
      </x:c>
      <x:c r="E114" t="n">
        <x:v>0.6</x:v>
      </x:c>
      <x:c r="F114" t="inlineStr">
        <x:is>
          <x:t xml:space="preserve">L</x:t>
        </x:is>
      </x:c>
      <x:c r="G114" t="n">
        <x:v>0.4</x:v>
      </x:c>
      <x:c r="H114" s="2" t="inlineStr">
        <x:is>
          <x:t xml:space="preserve">When a concern is raised, is there a fair, documented investigation process with HR, Legal/Privacy, and Security, including confidentiality boundaries?</x:t>
        </x:is>
      </x:c>
      <x:c r="I114" t="inlineStr">
        <x:is>
          <x:t xml:space="preserve">Fair = proportionate, consistent, documented, with privacy safeguards.</x:t>
        </x:is>
      </x:c>
      <x:c r="J114" t="inlineStr">
        <x:is>
          <x:t xml:space="preserve">Gatekeeper (If BaseScore &lt;2 → HR-D7-Q24; If ≥2 → HR-D7-Q25)</x:t>
        </x:is>
      </x:c>
      <x:c r="K114" t="inlineStr">
        <x:is>
          <x:t xml:space="preserve">LEG_STRICT</x:t>
        </x:is>
      </x:c>
      <x:c r="L114" t="inlineStr">
        <x:is>
          <x:t xml:space="preserve">HR-D7-Q23-A2</x:t>
        </x:is>
      </x:c>
      <x:c r="M114" s="2" t="inlineStr">
        <x:is>
          <x:t xml:space="preserve">Partial: HR handles most; Security/Legal involved only sometimes.</x:t>
        </x:is>
      </x:c>
      <x:c r="N114" t="n">
        <x:v>1</x:v>
      </x:c>
      <x:c r="O114" t="inlineStr">
        <x:is>
          <x:t xml:space="preserve">shadow_mature_signal</x:t>
        </x:is>
      </x:c>
      <x:c r="P114" t="inlineStr">
        <x:is>
          <x:t xml:space="preserve">Operating Model Gap</x:t>
        </x:is>
      </x:c>
      <x:c r="Q114" t="inlineStr">
        <x:is>
          <x:t xml:space="preserve">Define escalation and roles</x:t>
        </x:is>
      </x:c>
      <x:c r="R114" t="inlineStr">
        <x:is>
          <x:t xml:space="preserve">N</x:t>
        </x:is>
      </x:c>
      <x:c r="S114" s="2" t="inlineStr">
        <x:is>
          <x:t xml:space="preserve"/>
        </x:is>
      </x:c>
      <x:c r="T114">
        <x:f>($N114)*(IF($D114="G",$E114,0)+IF($F114="G",$G114,0))</x:f>
      </x:c>
      <x:c r="U114">
        <x:f>($N114)*(IF($D114="E",$E114,0)+IF($F114="E",$G114,0))</x:f>
      </x:c>
      <x:c r="V114">
        <x:f>($N114)*(IF($D114="T",$E114,0)+IF($F114="T",$G114,0))</x:f>
      </x:c>
      <x:c r="W114">
        <x:f>($N114)*(IF($D114="L",$E114,0)+IF($F114="L",$G114,0))</x:f>
      </x:c>
      <x:c r="X114">
        <x:f>($N114)*(IF($D114="H",$E114,0)+IF($F114="H",$G114,0))</x:f>
      </x:c>
      <x:c r="Y114">
        <x:f>($N114)*(IF($D114="V",$E114,0)+IF($F114="V",$G114,0))</x:f>
      </x:c>
      <x:c r="Z114">
        <x:f>($N114)*(IF($D114="R",$E114,0)+IF($F114="R",$G114,0))</x:f>
      </x:c>
      <x:c r="AA114">
        <x:f>($N114)*(IF($D114="F",$E114,0)+IF($F114="F",$G114,0))</x:f>
      </x:c>
      <x:c r="AB114">
        <x:f>($N114)*(IF($D114="W",$E114,0)+IF($F114="W",$G114,0))</x:f>
      </x:c>
    </x:row>
    <x:row r="115" ht="40" customHeight="1">
      <x:c r="A115" t="inlineStr">
        <x:is>
          <x:t xml:space="preserve">HR-D7-Q23</x:t>
        </x:is>
      </x:c>
      <x:c r="B115" t="inlineStr">
        <x:is>
          <x:t xml:space="preserve">T1</x:t>
        </x:is>
      </x:c>
      <x:c r="C115" t="inlineStr">
        <x:is>
          <x:t xml:space="preserve">7. Investigations &amp; Fairness</x:t>
        </x:is>
      </x:c>
      <x:c r="D115" t="inlineStr">
        <x:is>
          <x:t xml:space="preserve">R</x:t>
        </x:is>
      </x:c>
      <x:c r="E115" t="n">
        <x:v>0.6</x:v>
      </x:c>
      <x:c r="F115" t="inlineStr">
        <x:is>
          <x:t xml:space="preserve">L</x:t>
        </x:is>
      </x:c>
      <x:c r="G115" t="n">
        <x:v>0.4</x:v>
      </x:c>
      <x:c r="H115" s="2" t="inlineStr">
        <x:is>
          <x:t xml:space="preserve">When a concern is raised, is there a fair, documented investigation process with HR, Legal/Privacy, and Security, including confidentiality boundaries?</x:t>
        </x:is>
      </x:c>
      <x:c r="I115" t="inlineStr">
        <x:is>
          <x:t xml:space="preserve">Fair = proportionate, consistent, documented, with privacy safeguards.</x:t>
        </x:is>
      </x:c>
      <x:c r="J115" t="inlineStr">
        <x:is>
          <x:t xml:space="preserve">Gatekeeper (If BaseScore &lt;2 → HR-D7-Q24; If ≥2 → HR-D7-Q25)</x:t>
        </x:is>
      </x:c>
      <x:c r="K115" t="inlineStr">
        <x:is>
          <x:t xml:space="preserve">LEG_STRICT</x:t>
        </x:is>
      </x:c>
      <x:c r="L115" t="inlineStr">
        <x:is>
          <x:t xml:space="preserve">HR-D7-Q23-A3</x:t>
        </x:is>
      </x:c>
      <x:c r="M115" s="2" t="inlineStr">
        <x:is>
          <x:t xml:space="preserve">Documented: process exists but adherence varies; outcomes inconsistently recorded.</x:t>
        </x:is>
      </x:c>
      <x:c r="N115" t="n">
        <x:v>2</x:v>
      </x:c>
      <x:c r="O115" t="inlineStr">
        <x:is>
          <x:t xml:space="preserve">paper_dragon_signal</x:t>
        </x:is>
      </x:c>
      <x:c r="P115" t="inlineStr">
        <x:is>
          <x:t xml:space="preserve">Paper Dragon</x:t>
        </x:is>
      </x:c>
      <x:c r="Q115" t="inlineStr">
        <x:is>
          <x:t xml:space="preserve">Improve adherence and tracking</x:t>
        </x:is>
      </x:c>
      <x:c r="R115" t="inlineStr">
        <x:is>
          <x:t xml:space="preserve">N</x:t>
        </x:is>
      </x:c>
      <x:c r="S115" s="2" t="inlineStr">
        <x:is>
          <x:t xml:space="preserve">Evidence: process doc.</x:t>
        </x:is>
      </x:c>
      <x:c r="T115">
        <x:f>($N115)*(IF($D115="G",$E115,0)+IF($F115="G",$G115,0))</x:f>
      </x:c>
      <x:c r="U115">
        <x:f>($N115)*(IF($D115="E",$E115,0)+IF($F115="E",$G115,0))</x:f>
      </x:c>
      <x:c r="V115">
        <x:f>($N115)*(IF($D115="T",$E115,0)+IF($F115="T",$G115,0))</x:f>
      </x:c>
      <x:c r="W115">
        <x:f>($N115)*(IF($D115="L",$E115,0)+IF($F115="L",$G115,0))</x:f>
      </x:c>
      <x:c r="X115">
        <x:f>($N115)*(IF($D115="H",$E115,0)+IF($F115="H",$G115,0))</x:f>
      </x:c>
      <x:c r="Y115">
        <x:f>($N115)*(IF($D115="V",$E115,0)+IF($F115="V",$G115,0))</x:f>
      </x:c>
      <x:c r="Z115">
        <x:f>($N115)*(IF($D115="R",$E115,0)+IF($F115="R",$G115,0))</x:f>
      </x:c>
      <x:c r="AA115">
        <x:f>($N115)*(IF($D115="F",$E115,0)+IF($F115="F",$G115,0))</x:f>
      </x:c>
      <x:c r="AB115">
        <x:f>($N115)*(IF($D115="W",$E115,0)+IF($F115="W",$G115,0))</x:f>
      </x:c>
    </x:row>
    <x:row r="116" ht="40" customHeight="1">
      <x:c r="A116" t="inlineStr">
        <x:is>
          <x:t xml:space="preserve">HR-D7-Q23</x:t>
        </x:is>
      </x:c>
      <x:c r="B116" t="inlineStr">
        <x:is>
          <x:t xml:space="preserve">T1</x:t>
        </x:is>
      </x:c>
      <x:c r="C116" t="inlineStr">
        <x:is>
          <x:t xml:space="preserve">7. Investigations &amp; Fairness</x:t>
        </x:is>
      </x:c>
      <x:c r="D116" t="inlineStr">
        <x:is>
          <x:t xml:space="preserve">R</x:t>
        </x:is>
      </x:c>
      <x:c r="E116" t="n">
        <x:v>0.6</x:v>
      </x:c>
      <x:c r="F116" t="inlineStr">
        <x:is>
          <x:t xml:space="preserve">L</x:t>
        </x:is>
      </x:c>
      <x:c r="G116" t="n">
        <x:v>0.4</x:v>
      </x:c>
      <x:c r="H116" s="2" t="inlineStr">
        <x:is>
          <x:t xml:space="preserve">When a concern is raised, is there a fair, documented investigation process with HR, Legal/Privacy, and Security, including confidentiality boundaries?</x:t>
        </x:is>
      </x:c>
      <x:c r="I116" t="inlineStr">
        <x:is>
          <x:t xml:space="preserve">Fair = proportionate, consistent, documented, with privacy safeguards.</x:t>
        </x:is>
      </x:c>
      <x:c r="J116" t="inlineStr">
        <x:is>
          <x:t xml:space="preserve">Gatekeeper (If BaseScore &lt;2 → HR-D7-Q24; If ≥2 → HR-D7-Q25)</x:t>
        </x:is>
      </x:c>
      <x:c r="K116" t="inlineStr">
        <x:is>
          <x:t xml:space="preserve">LEG_STRICT</x:t>
        </x:is>
      </x:c>
      <x:c r="L116" t="inlineStr">
        <x:is>
          <x:t xml:space="preserve">HR-D7-Q23-A4</x:t>
        </x:is>
      </x:c>
      <x:c r="M116" s="2" t="inlineStr">
        <x:is>
          <x:t xml:space="preserve">Managed: consistently followed with privacy/legal checkpoints.</x:t>
        </x:is>
      </x:c>
      <x:c r="N116" t="n">
        <x:v>3</x:v>
      </x:c>
      <x:c r="O116" t="inlineStr">
        <x:is>
          <x:t xml:space="preserve"/>
        </x:is>
      </x:c>
      <x:c r="P116" t="inlineStr">
        <x:is>
          <x:t xml:space="preserve">Legal Exposure</x:t>
        </x:is>
      </x:c>
      <x:c r="Q116" t="inlineStr">
        <x:is>
          <x:t xml:space="preserve">Maintain and audit</x:t>
        </x:is>
      </x:c>
      <x:c r="R116" t="inlineStr">
        <x:is>
          <x:t xml:space="preserve">N</x:t>
        </x:is>
      </x:c>
      <x:c r="S116" s="2" t="inlineStr">
        <x:is>
          <x:t xml:space="preserve">Evidence: redacted checklist.</x:t>
        </x:is>
      </x:c>
      <x:c r="T116">
        <x:f>($N116)*(IF($D116="G",$E116,0)+IF($F116="G",$G116,0))</x:f>
      </x:c>
      <x:c r="U116">
        <x:f>($N116)*(IF($D116="E",$E116,0)+IF($F116="E",$G116,0))</x:f>
      </x:c>
      <x:c r="V116">
        <x:f>($N116)*(IF($D116="T",$E116,0)+IF($F116="T",$G116,0))</x:f>
      </x:c>
      <x:c r="W116">
        <x:f>($N116)*(IF($D116="L",$E116,0)+IF($F116="L",$G116,0))</x:f>
      </x:c>
      <x:c r="X116">
        <x:f>($N116)*(IF($D116="H",$E116,0)+IF($F116="H",$G116,0))</x:f>
      </x:c>
      <x:c r="Y116">
        <x:f>($N116)*(IF($D116="V",$E116,0)+IF($F116="V",$G116,0))</x:f>
      </x:c>
      <x:c r="Z116">
        <x:f>($N116)*(IF($D116="R",$E116,0)+IF($F116="R",$G116,0))</x:f>
      </x:c>
      <x:c r="AA116">
        <x:f>($N116)*(IF($D116="F",$E116,0)+IF($F116="F",$G116,0))</x:f>
      </x:c>
      <x:c r="AB116">
        <x:f>($N116)*(IF($D116="W",$E116,0)+IF($F116="W",$G116,0))</x:f>
      </x:c>
    </x:row>
    <x:row r="117" ht="40" customHeight="1">
      <x:c r="A117" t="inlineStr">
        <x:is>
          <x:t xml:space="preserve">HR-D7-Q23</x:t>
        </x:is>
      </x:c>
      <x:c r="B117" t="inlineStr">
        <x:is>
          <x:t xml:space="preserve">T1</x:t>
        </x:is>
      </x:c>
      <x:c r="C117" t="inlineStr">
        <x:is>
          <x:t xml:space="preserve">7. Investigations &amp; Fairness</x:t>
        </x:is>
      </x:c>
      <x:c r="D117" t="inlineStr">
        <x:is>
          <x:t xml:space="preserve">R</x:t>
        </x:is>
      </x:c>
      <x:c r="E117" t="n">
        <x:v>0.6</x:v>
      </x:c>
      <x:c r="F117" t="inlineStr">
        <x:is>
          <x:t xml:space="preserve">L</x:t>
        </x:is>
      </x:c>
      <x:c r="G117" t="n">
        <x:v>0.4</x:v>
      </x:c>
      <x:c r="H117" s="2" t="inlineStr">
        <x:is>
          <x:t xml:space="preserve">When a concern is raised, is there a fair, documented investigation process with HR, Legal/Privacy, and Security, including confidentiality boundaries?</x:t>
        </x:is>
      </x:c>
      <x:c r="I117" t="inlineStr">
        <x:is>
          <x:t xml:space="preserve">Fair = proportionate, consistent, documented, with privacy safeguards.</x:t>
        </x:is>
      </x:c>
      <x:c r="J117" t="inlineStr">
        <x:is>
          <x:t xml:space="preserve">Gatekeeper (If BaseScore &lt;2 → HR-D7-Q24; If ≥2 → HR-D7-Q25)</x:t>
        </x:is>
      </x:c>
      <x:c r="K117" t="inlineStr">
        <x:is>
          <x:t xml:space="preserve">LEG_STRICT</x:t>
        </x:is>
      </x:c>
      <x:c r="L117" t="inlineStr">
        <x:is>
          <x:t xml:space="preserve">HR-D7-Q23-A5</x:t>
        </x:is>
      </x:c>
      <x:c r="M117" s="2" t="inlineStr">
        <x:is>
          <x:t xml:space="preserve">Optimized: audited; staff trained; lessons learned feed improvements.</x:t>
        </x:is>
      </x:c>
      <x:c r="N117" t="n">
        <x:v>4</x:v>
      </x:c>
      <x:c r="O117" t="inlineStr">
        <x:is>
          <x:t xml:space="preserve"/>
        </x:is>
      </x:c>
      <x:c r="P117" t="inlineStr">
        <x:is>
          <x:t xml:space="preserve">Legal Exposure</x:t>
        </x:is>
      </x:c>
      <x:c r="Q117" t="inlineStr">
        <x:is>
          <x:t xml:space="preserve">Continuous improvement</x:t>
        </x:is>
      </x:c>
      <x:c r="R117" t="inlineStr">
        <x:is>
          <x:t xml:space="preserve">N</x:t>
        </x:is>
      </x:c>
      <x:c r="S117" s="2" t="inlineStr">
        <x:is>
          <x:t xml:space="preserve">Evidence: audit/exercise outputs.</x:t>
        </x:is>
      </x:c>
      <x:c r="T117">
        <x:f>($N117)*(IF($D117="G",$E117,0)+IF($F117="G",$G117,0))</x:f>
      </x:c>
      <x:c r="U117">
        <x:f>($N117)*(IF($D117="E",$E117,0)+IF($F117="E",$G117,0))</x:f>
      </x:c>
      <x:c r="V117">
        <x:f>($N117)*(IF($D117="T",$E117,0)+IF($F117="T",$G117,0))</x:f>
      </x:c>
      <x:c r="W117">
        <x:f>($N117)*(IF($D117="L",$E117,0)+IF($F117="L",$G117,0))</x:f>
      </x:c>
      <x:c r="X117">
        <x:f>($N117)*(IF($D117="H",$E117,0)+IF($F117="H",$G117,0))</x:f>
      </x:c>
      <x:c r="Y117">
        <x:f>($N117)*(IF($D117="V",$E117,0)+IF($F117="V",$G117,0))</x:f>
      </x:c>
      <x:c r="Z117">
        <x:f>($N117)*(IF($D117="R",$E117,0)+IF($F117="R",$G117,0))</x:f>
      </x:c>
      <x:c r="AA117">
        <x:f>($N117)*(IF($D117="F",$E117,0)+IF($F117="F",$G117,0))</x:f>
      </x:c>
      <x:c r="AB117">
        <x:f>($N117)*(IF($D117="W",$E117,0)+IF($F117="W",$G117,0))</x:f>
      </x:c>
    </x:row>
    <x:row r="118" ht="40" customHeight="1">
      <x:c r="A118" t="inlineStr">
        <x:is>
          <x:t xml:space="preserve">HR-D7-Q24</x:t>
        </x:is>
      </x:c>
      <x:c r="B118" t="inlineStr">
        <x:is>
          <x:t xml:space="preserve">T2</x:t>
        </x:is>
      </x:c>
      <x:c r="C118" t="inlineStr">
        <x:is>
          <x:t xml:space="preserve">7. Investigations &amp; Fairness</x:t>
        </x:is>
      </x:c>
      <x:c r="D118" t="inlineStr">
        <x:is>
          <x:t xml:space="preserve">L</x:t>
        </x:is>
      </x:c>
      <x:c r="E118" t="n">
        <x:v>0.5</x:v>
      </x:c>
      <x:c r="F118" t="inlineStr">
        <x:is>
          <x:t xml:space="preserve">R</x:t>
        </x:is>
      </x:c>
      <x:c r="G118" t="n">
        <x:v>0.5</x:v>
      </x:c>
      <x:c r="H118" s="2" t="inlineStr">
        <x:is>
          <x:t xml:space="preserve">(Shadow probe) If the process is ad-hoc, who decides what information is used and how confidentiality is protected?</x:t>
        </x:is>
      </x:c>
      <x:c r="I118" t="inlineStr">
        <x:is>
          <x:t xml:space="preserve">Checks for inconsistent decision-making and privacy fractures.</x:t>
        </x:is>
      </x:c>
      <x:c r="J118" t="inlineStr">
        <x:is>
          <x:t xml:space="preserve">Shadow fallback (Then → HR-D8-Q27)</x:t>
        </x:is>
      </x:c>
      <x:c r="K118" t="inlineStr">
        <x:is>
          <x:t xml:space="preserve">LEG_STRICT</x:t>
        </x:is>
      </x:c>
      <x:c r="L118" t="inlineStr">
        <x:is>
          <x:t xml:space="preserve">HR-D7-Q24-A1</x:t>
        </x:is>
      </x:c>
      <x:c r="M118" s="2" t="inlineStr">
        <x:is>
          <x:t xml:space="preserve">Decisions informal; confidentiality not clearly managed.</x:t>
        </x:is>
      </x:c>
      <x:c r="N118" t="n">
        <x:v>0</x:v>
      </x:c>
      <x:c r="O118" t="inlineStr">
        <x:is>
          <x:t xml:space="preserve">legal_exposure</x:t>
        </x:is>
      </x:c>
      <x:c r="P118" t="inlineStr">
        <x:is>
          <x:t xml:space="preserve">Legal Exposure</x:t>
        </x:is>
      </x:c>
      <x:c r="Q118" t="inlineStr">
        <x:is>
          <x:t xml:space="preserve">Introduce approvals and boundaries</x:t>
        </x:is>
      </x:c>
      <x:c r="R118" t="inlineStr">
        <x:is>
          <x:t xml:space="preserve">N</x:t>
        </x:is>
      </x:c>
      <x:c r="S118" s="2" t="inlineStr">
        <x:is>
          <x:t xml:space="preserve"/>
        </x:is>
      </x:c>
      <x:c r="T118">
        <x:f>($N118)*(IF($D118="G",$E118,0)+IF($F118="G",$G118,0))</x:f>
      </x:c>
      <x:c r="U118">
        <x:f>($N118)*(IF($D118="E",$E118,0)+IF($F118="E",$G118,0))</x:f>
      </x:c>
      <x:c r="V118">
        <x:f>($N118)*(IF($D118="T",$E118,0)+IF($F118="T",$G118,0))</x:f>
      </x:c>
      <x:c r="W118">
        <x:f>($N118)*(IF($D118="L",$E118,0)+IF($F118="L",$G118,0))</x:f>
      </x:c>
      <x:c r="X118">
        <x:f>($N118)*(IF($D118="H",$E118,0)+IF($F118="H",$G118,0))</x:f>
      </x:c>
      <x:c r="Y118">
        <x:f>($N118)*(IF($D118="V",$E118,0)+IF($F118="V",$G118,0))</x:f>
      </x:c>
      <x:c r="Z118">
        <x:f>($N118)*(IF($D118="R",$E118,0)+IF($F118="R",$G118,0))</x:f>
      </x:c>
      <x:c r="AA118">
        <x:f>($N118)*(IF($D118="F",$E118,0)+IF($F118="F",$G118,0))</x:f>
      </x:c>
      <x:c r="AB118">
        <x:f>($N118)*(IF($D118="W",$E118,0)+IF($F118="W",$G118,0))</x:f>
      </x:c>
    </x:row>
    <x:row r="119" ht="40" customHeight="1">
      <x:c r="A119" t="inlineStr">
        <x:is>
          <x:t xml:space="preserve">HR-D7-Q24</x:t>
        </x:is>
      </x:c>
      <x:c r="B119" t="inlineStr">
        <x:is>
          <x:t xml:space="preserve">T2</x:t>
        </x:is>
      </x:c>
      <x:c r="C119" t="inlineStr">
        <x:is>
          <x:t xml:space="preserve">7. Investigations &amp; Fairness</x:t>
        </x:is>
      </x:c>
      <x:c r="D119" t="inlineStr">
        <x:is>
          <x:t xml:space="preserve">L</x:t>
        </x:is>
      </x:c>
      <x:c r="E119" t="n">
        <x:v>0.5</x:v>
      </x:c>
      <x:c r="F119" t="inlineStr">
        <x:is>
          <x:t xml:space="preserve">R</x:t>
        </x:is>
      </x:c>
      <x:c r="G119" t="n">
        <x:v>0.5</x:v>
      </x:c>
      <x:c r="H119" s="2" t="inlineStr">
        <x:is>
          <x:t xml:space="preserve">(Shadow probe) If the process is ad-hoc, who decides what information is used and how confidentiality is protected?</x:t>
        </x:is>
      </x:c>
      <x:c r="I119" t="inlineStr">
        <x:is>
          <x:t xml:space="preserve">Checks for inconsistent decision-making and privacy fractures.</x:t>
        </x:is>
      </x:c>
      <x:c r="J119" t="inlineStr">
        <x:is>
          <x:t xml:space="preserve">Shadow fallback (Then → HR-D8-Q27)</x:t>
        </x:is>
      </x:c>
      <x:c r="K119" t="inlineStr">
        <x:is>
          <x:t xml:space="preserve">LEG_STRICT</x:t>
        </x:is>
      </x:c>
      <x:c r="L119" t="inlineStr">
        <x:is>
          <x:t xml:space="preserve">HR-D7-Q24-A2</x:t>
        </x:is>
      </x:c>
      <x:c r="M119" s="2" t="inlineStr">
        <x:is>
          <x:t xml:space="preserve">HR decides; documentation limited.</x:t>
        </x:is>
      </x:c>
      <x:c r="N119" t="n">
        <x:v>1</x:v>
      </x:c>
      <x:c r="O119" t="inlineStr">
        <x:is>
          <x:t xml:space="preserve">paper_dragon_signal</x:t>
        </x:is>
      </x:c>
      <x:c r="P119" t="inlineStr">
        <x:is>
          <x:t xml:space="preserve">Paper Dragon</x:t>
        </x:is>
      </x:c>
      <x:c r="Q119" t="inlineStr">
        <x:is>
          <x:t xml:space="preserve">Strengthen documentation</x:t>
        </x:is>
      </x:c>
      <x:c r="R119" t="inlineStr">
        <x:is>
          <x:t xml:space="preserve">N</x:t>
        </x:is>
      </x:c>
      <x:c r="S119" s="2" t="inlineStr">
        <x:is>
          <x:t xml:space="preserve"/>
        </x:is>
      </x:c>
      <x:c r="T119">
        <x:f>($N119)*(IF($D119="G",$E119,0)+IF($F119="G",$G119,0))</x:f>
      </x:c>
      <x:c r="U119">
        <x:f>($N119)*(IF($D119="E",$E119,0)+IF($F119="E",$G119,0))</x:f>
      </x:c>
      <x:c r="V119">
        <x:f>($N119)*(IF($D119="T",$E119,0)+IF($F119="T",$G119,0))</x:f>
      </x:c>
      <x:c r="W119">
        <x:f>($N119)*(IF($D119="L",$E119,0)+IF($F119="L",$G119,0))</x:f>
      </x:c>
      <x:c r="X119">
        <x:f>($N119)*(IF($D119="H",$E119,0)+IF($F119="H",$G119,0))</x:f>
      </x:c>
      <x:c r="Y119">
        <x:f>($N119)*(IF($D119="V",$E119,0)+IF($F119="V",$G119,0))</x:f>
      </x:c>
      <x:c r="Z119">
        <x:f>($N119)*(IF($D119="R",$E119,0)+IF($F119="R",$G119,0))</x:f>
      </x:c>
      <x:c r="AA119">
        <x:f>($N119)*(IF($D119="F",$E119,0)+IF($F119="F",$G119,0))</x:f>
      </x:c>
      <x:c r="AB119">
        <x:f>($N119)*(IF($D119="W",$E119,0)+IF($F119="W",$G119,0))</x:f>
      </x:c>
    </x:row>
    <x:row r="120" ht="40" customHeight="1">
      <x:c r="A120" t="inlineStr">
        <x:is>
          <x:t xml:space="preserve">HR-D7-Q24</x:t>
        </x:is>
      </x:c>
      <x:c r="B120" t="inlineStr">
        <x:is>
          <x:t xml:space="preserve">T2</x:t>
        </x:is>
      </x:c>
      <x:c r="C120" t="inlineStr">
        <x:is>
          <x:t xml:space="preserve">7. Investigations &amp; Fairness</x:t>
        </x:is>
      </x:c>
      <x:c r="D120" t="inlineStr">
        <x:is>
          <x:t xml:space="preserve">L</x:t>
        </x:is>
      </x:c>
      <x:c r="E120" t="n">
        <x:v>0.5</x:v>
      </x:c>
      <x:c r="F120" t="inlineStr">
        <x:is>
          <x:t xml:space="preserve">R</x:t>
        </x:is>
      </x:c>
      <x:c r="G120" t="n">
        <x:v>0.5</x:v>
      </x:c>
      <x:c r="H120" s="2" t="inlineStr">
        <x:is>
          <x:t xml:space="preserve">(Shadow probe) If the process is ad-hoc, who decides what information is used and how confidentiality is protected?</x:t>
        </x:is>
      </x:c>
      <x:c r="I120" t="inlineStr">
        <x:is>
          <x:t xml:space="preserve">Checks for inconsistent decision-making and privacy fractures.</x:t>
        </x:is>
      </x:c>
      <x:c r="J120" t="inlineStr">
        <x:is>
          <x:t xml:space="preserve">Shadow fallback (Then → HR-D8-Q27)</x:t>
        </x:is>
      </x:c>
      <x:c r="K120" t="inlineStr">
        <x:is>
          <x:t xml:space="preserve">LEG_STRICT</x:t>
        </x:is>
      </x:c>
      <x:c r="L120" t="inlineStr">
        <x:is>
          <x:t xml:space="preserve">HR-D7-Q24-A3</x:t>
        </x:is>
      </x:c>
      <x:c r="M120" s="2" t="inlineStr">
        <x:is>
          <x:t xml:space="preserve">HR and Legal decide; Security inputs; decisions documented sometimes.</x:t>
        </x:is>
      </x:c>
      <x:c r="N120" t="n">
        <x:v>2</x:v>
      </x:c>
      <x:c r="O120" t="inlineStr">
        <x:is>
          <x:t xml:space="preserve"/>
        </x:is>
      </x:c>
      <x:c r="P120" t="inlineStr">
        <x:is>
          <x:t xml:space="preserve">Legal Exposure</x:t>
        </x:is>
      </x:c>
      <x:c r="Q120" t="inlineStr">
        <x:is>
          <x:t xml:space="preserve">Standardize approvals</x:t>
        </x:is>
      </x:c>
      <x:c r="R120" t="inlineStr">
        <x:is>
          <x:t xml:space="preserve">N</x:t>
        </x:is>
      </x:c>
      <x:c r="S120" s="2" t="inlineStr">
        <x:is>
          <x:t xml:space="preserve"/>
        </x:is>
      </x:c>
      <x:c r="T120">
        <x:f>($N120)*(IF($D120="G",$E120,0)+IF($F120="G",$G120,0))</x:f>
      </x:c>
      <x:c r="U120">
        <x:f>($N120)*(IF($D120="E",$E120,0)+IF($F120="E",$G120,0))</x:f>
      </x:c>
      <x:c r="V120">
        <x:f>($N120)*(IF($D120="T",$E120,0)+IF($F120="T",$G120,0))</x:f>
      </x:c>
      <x:c r="W120">
        <x:f>($N120)*(IF($D120="L",$E120,0)+IF($F120="L",$G120,0))</x:f>
      </x:c>
      <x:c r="X120">
        <x:f>($N120)*(IF($D120="H",$E120,0)+IF($F120="H",$G120,0))</x:f>
      </x:c>
      <x:c r="Y120">
        <x:f>($N120)*(IF($D120="V",$E120,0)+IF($F120="V",$G120,0))</x:f>
      </x:c>
      <x:c r="Z120">
        <x:f>($N120)*(IF($D120="R",$E120,0)+IF($F120="R",$G120,0))</x:f>
      </x:c>
      <x:c r="AA120">
        <x:f>($N120)*(IF($D120="F",$E120,0)+IF($F120="F",$G120,0))</x:f>
      </x:c>
      <x:c r="AB120">
        <x:f>($N120)*(IF($D120="W",$E120,0)+IF($F120="W",$G120,0))</x:f>
      </x:c>
    </x:row>
    <x:row r="121" ht="40" customHeight="1">
      <x:c r="A121" t="inlineStr">
        <x:is>
          <x:t xml:space="preserve">HR-D7-Q24</x:t>
        </x:is>
      </x:c>
      <x:c r="B121" t="inlineStr">
        <x:is>
          <x:t xml:space="preserve">T2</x:t>
        </x:is>
      </x:c>
      <x:c r="C121" t="inlineStr">
        <x:is>
          <x:t xml:space="preserve">7. Investigations &amp; Fairness</x:t>
        </x:is>
      </x:c>
      <x:c r="D121" t="inlineStr">
        <x:is>
          <x:t xml:space="preserve">L</x:t>
        </x:is>
      </x:c>
      <x:c r="E121" t="n">
        <x:v>0.5</x:v>
      </x:c>
      <x:c r="F121" t="inlineStr">
        <x:is>
          <x:t xml:space="preserve">R</x:t>
        </x:is>
      </x:c>
      <x:c r="G121" t="n">
        <x:v>0.5</x:v>
      </x:c>
      <x:c r="H121" s="2" t="inlineStr">
        <x:is>
          <x:t xml:space="preserve">(Shadow probe) If the process is ad-hoc, who decides what information is used and how confidentiality is protected?</x:t>
        </x:is>
      </x:c>
      <x:c r="I121" t="inlineStr">
        <x:is>
          <x:t xml:space="preserve">Checks for inconsistent decision-making and privacy fractures.</x:t>
        </x:is>
      </x:c>
      <x:c r="J121" t="inlineStr">
        <x:is>
          <x:t xml:space="preserve">Shadow fallback (Then → HR-D8-Q27)</x:t>
        </x:is>
      </x:c>
      <x:c r="K121" t="inlineStr">
        <x:is>
          <x:t xml:space="preserve">LEG_STRICT</x:t>
        </x:is>
      </x:c>
      <x:c r="L121" t="inlineStr">
        <x:is>
          <x:t xml:space="preserve">HR-D7-Q24-A4</x:t>
        </x:is>
      </x:c>
      <x:c r="M121" s="2" t="inlineStr">
        <x:is>
          <x:t xml:space="preserve">Clear approvals and confidentiality rules exist, even if workflow informal.</x:t>
        </x:is>
      </x:c>
      <x:c r="N121" t="n">
        <x:v>3</x:v>
      </x:c>
      <x:c r="O121" t="inlineStr">
        <x:is>
          <x:t xml:space="preserve">shadow_mature_signal</x:t>
        </x:is>
      </x:c>
      <x:c r="P121" t="inlineStr">
        <x:is>
          <x:t xml:space="preserve">Legal Exposure</x:t>
        </x:is>
      </x:c>
      <x:c r="Q121" t="inlineStr">
        <x:is>
          <x:t xml:space="preserve">Formalize workflow</x:t>
        </x:is>
      </x:c>
      <x:c r="R121" t="inlineStr">
        <x:is>
          <x:t xml:space="preserve">N</x:t>
        </x:is>
      </x:c>
      <x:c r="S121" s="2" t="inlineStr">
        <x:is>
          <x:t xml:space="preserve">Evidence: approval checklist.</x:t>
        </x:is>
      </x:c>
      <x:c r="T121">
        <x:f>($N121)*(IF($D121="G",$E121,0)+IF($F121="G",$G121,0))</x:f>
      </x:c>
      <x:c r="U121">
        <x:f>($N121)*(IF($D121="E",$E121,0)+IF($F121="E",$G121,0))</x:f>
      </x:c>
      <x:c r="V121">
        <x:f>($N121)*(IF($D121="T",$E121,0)+IF($F121="T",$G121,0))</x:f>
      </x:c>
      <x:c r="W121">
        <x:f>($N121)*(IF($D121="L",$E121,0)+IF($F121="L",$G121,0))</x:f>
      </x:c>
      <x:c r="X121">
        <x:f>($N121)*(IF($D121="H",$E121,0)+IF($F121="H",$G121,0))</x:f>
      </x:c>
      <x:c r="Y121">
        <x:f>($N121)*(IF($D121="V",$E121,0)+IF($F121="V",$G121,0))</x:f>
      </x:c>
      <x:c r="Z121">
        <x:f>($N121)*(IF($D121="R",$E121,0)+IF($F121="R",$G121,0))</x:f>
      </x:c>
      <x:c r="AA121">
        <x:f>($N121)*(IF($D121="F",$E121,0)+IF($F121="F",$G121,0))</x:f>
      </x:c>
      <x:c r="AB121">
        <x:f>($N121)*(IF($D121="W",$E121,0)+IF($F121="W",$G121,0))</x:f>
      </x:c>
    </x:row>
    <x:row r="122" ht="40" customHeight="1">
      <x:c r="A122" t="inlineStr">
        <x:is>
          <x:t xml:space="preserve">HR-D7-Q25</x:t>
        </x:is>
      </x:c>
      <x:c r="B122" t="inlineStr">
        <x:is>
          <x:t xml:space="preserve">T2</x:t>
        </x:is>
      </x:c>
      <x:c r="C122" t="inlineStr">
        <x:is>
          <x:t xml:space="preserve">7. Investigations &amp; Fairness</x:t>
        </x:is>
      </x:c>
      <x:c r="D122" t="inlineStr">
        <x:is>
          <x:t xml:space="preserve">H</x:t>
        </x:is>
      </x:c>
      <x:c r="E122" t="n">
        <x:v>0.5</x:v>
      </x:c>
      <x:c r="F122" t="inlineStr">
        <x:is>
          <x:t xml:space="preserve">L</x:t>
        </x:is>
      </x:c>
      <x:c r="G122" t="n">
        <x:v>0.5</x:v>
      </x:c>
      <x:c r="H122" s="2" t="inlineStr">
        <x:is>
          <x:t xml:space="preserve">If someone feels unfairly targeted, is there an independent review or appeal route (e.g., ombuds, privacy review, works council input where applicable)?</x:t>
        </x:is>
      </x:c>
      <x:c r="I122" t="inlineStr">
        <x:is>
          <x:t xml:space="preserve">Reduces toxic-enforcer risk and increases trust.</x:t>
        </x:is>
      </x:c>
      <x:c r="J122" t="inlineStr">
        <x:is>
          <x:t xml:space="preserve">Drill-down</x:t>
        </x:is>
      </x:c>
      <x:c r="K122" t="inlineStr">
        <x:is>
          <x:t xml:space="preserve">LEG_STRICT</x:t>
        </x:is>
      </x:c>
      <x:c r="L122" t="inlineStr">
        <x:is>
          <x:t xml:space="preserve">HR-D7-Q25-A1</x:t>
        </x:is>
      </x:c>
      <x:c r="M122" s="2" t="inlineStr">
        <x:is>
          <x:t xml:space="preserve">No recourse; decisions are final.</x:t>
        </x:is>
      </x:c>
      <x:c r="N122" t="n">
        <x:v>0</x:v>
      </x:c>
      <x:c r="O122" t="inlineStr">
        <x:is>
          <x:t xml:space="preserve">toxic_enforcer_signal</x:t>
        </x:is>
      </x:c>
      <x:c r="P122" t="inlineStr">
        <x:is>
          <x:t xml:space="preserve">Toxic Enforcer</x:t>
        </x:is>
      </x:c>
      <x:c r="Q122" t="inlineStr">
        <x:is>
          <x:t xml:space="preserve">Implement appeal route</x:t>
        </x:is>
      </x:c>
      <x:c r="R122" t="inlineStr">
        <x:is>
          <x:t xml:space="preserve">N</x:t>
        </x:is>
      </x:c>
      <x:c r="S122" s="2" t="inlineStr">
        <x:is>
          <x:t xml:space="preserve"/>
        </x:is>
      </x:c>
      <x:c r="T122">
        <x:f>($N122)*(IF($D122="G",$E122,0)+IF($F122="G",$G122,0))</x:f>
      </x:c>
      <x:c r="U122">
        <x:f>($N122)*(IF($D122="E",$E122,0)+IF($F122="E",$G122,0))</x:f>
      </x:c>
      <x:c r="V122">
        <x:f>($N122)*(IF($D122="T",$E122,0)+IF($F122="T",$G122,0))</x:f>
      </x:c>
      <x:c r="W122">
        <x:f>($N122)*(IF($D122="L",$E122,0)+IF($F122="L",$G122,0))</x:f>
      </x:c>
      <x:c r="X122">
        <x:f>($N122)*(IF($D122="H",$E122,0)+IF($F122="H",$G122,0))</x:f>
      </x:c>
      <x:c r="Y122">
        <x:f>($N122)*(IF($D122="V",$E122,0)+IF($F122="V",$G122,0))</x:f>
      </x:c>
      <x:c r="Z122">
        <x:f>($N122)*(IF($D122="R",$E122,0)+IF($F122="R",$G122,0))</x:f>
      </x:c>
      <x:c r="AA122">
        <x:f>($N122)*(IF($D122="F",$E122,0)+IF($F122="F",$G122,0))</x:f>
      </x:c>
      <x:c r="AB122">
        <x:f>($N122)*(IF($D122="W",$E122,0)+IF($F122="W",$G122,0))</x:f>
      </x:c>
    </x:row>
    <x:row r="123" ht="40" customHeight="1">
      <x:c r="A123" t="inlineStr">
        <x:is>
          <x:t xml:space="preserve">HR-D7-Q25</x:t>
        </x:is>
      </x:c>
      <x:c r="B123" t="inlineStr">
        <x:is>
          <x:t xml:space="preserve">T2</x:t>
        </x:is>
      </x:c>
      <x:c r="C123" t="inlineStr">
        <x:is>
          <x:t xml:space="preserve">7. Investigations &amp; Fairness</x:t>
        </x:is>
      </x:c>
      <x:c r="D123" t="inlineStr">
        <x:is>
          <x:t xml:space="preserve">H</x:t>
        </x:is>
      </x:c>
      <x:c r="E123" t="n">
        <x:v>0.5</x:v>
      </x:c>
      <x:c r="F123" t="inlineStr">
        <x:is>
          <x:t xml:space="preserve">L</x:t>
        </x:is>
      </x:c>
      <x:c r="G123" t="n">
        <x:v>0.5</x:v>
      </x:c>
      <x:c r="H123" s="2" t="inlineStr">
        <x:is>
          <x:t xml:space="preserve">If someone feels unfairly targeted, is there an independent review or appeal route (e.g., ombuds, privacy review, works council input where applicable)?</x:t>
        </x:is>
      </x:c>
      <x:c r="I123" t="inlineStr">
        <x:is>
          <x:t xml:space="preserve">Reduces toxic-enforcer risk and increases trust.</x:t>
        </x:is>
      </x:c>
      <x:c r="J123" t="inlineStr">
        <x:is>
          <x:t xml:space="preserve">Drill-down</x:t>
        </x:is>
      </x:c>
      <x:c r="K123" t="inlineStr">
        <x:is>
          <x:t xml:space="preserve">LEG_STRICT</x:t>
        </x:is>
      </x:c>
      <x:c r="L123" t="inlineStr">
        <x:is>
          <x:t xml:space="preserve">HR-D7-Q25-A2</x:t>
        </x:is>
      </x:c>
      <x:c r="M123" s="2" t="inlineStr">
        <x:is>
          <x:t xml:space="preserve">Informal: complain to a manager; outcomes vary.</x:t>
        </x:is>
      </x:c>
      <x:c r="N123" t="n">
        <x:v>1</x:v>
      </x:c>
      <x:c r="O123" t="inlineStr">
        <x:is>
          <x:t xml:space="preserve">culture_risk</x:t>
        </x:is>
      </x:c>
      <x:c r="P123" t="inlineStr">
        <x:is>
          <x:t xml:space="preserve">Culture Risk</x:t>
        </x:is>
      </x:c>
      <x:c r="Q123" t="inlineStr">
        <x:is>
          <x:t xml:space="preserve">Create consistent review</x:t>
        </x:is>
      </x:c>
      <x:c r="R123" t="inlineStr">
        <x:is>
          <x:t xml:space="preserve">N</x:t>
        </x:is>
      </x:c>
      <x:c r="S123" s="2" t="inlineStr">
        <x:is>
          <x:t xml:space="preserve"/>
        </x:is>
      </x:c>
      <x:c r="T123">
        <x:f>($N123)*(IF($D123="G",$E123,0)+IF($F123="G",$G123,0))</x:f>
      </x:c>
      <x:c r="U123">
        <x:f>($N123)*(IF($D123="E",$E123,0)+IF($F123="E",$G123,0))</x:f>
      </x:c>
      <x:c r="V123">
        <x:f>($N123)*(IF($D123="T",$E123,0)+IF($F123="T",$G123,0))</x:f>
      </x:c>
      <x:c r="W123">
        <x:f>($N123)*(IF($D123="L",$E123,0)+IF($F123="L",$G123,0))</x:f>
      </x:c>
      <x:c r="X123">
        <x:f>($N123)*(IF($D123="H",$E123,0)+IF($F123="H",$G123,0))</x:f>
      </x:c>
      <x:c r="Y123">
        <x:f>($N123)*(IF($D123="V",$E123,0)+IF($F123="V",$G123,0))</x:f>
      </x:c>
      <x:c r="Z123">
        <x:f>($N123)*(IF($D123="R",$E123,0)+IF($F123="R",$G123,0))</x:f>
      </x:c>
      <x:c r="AA123">
        <x:f>($N123)*(IF($D123="F",$E123,0)+IF($F123="F",$G123,0))</x:f>
      </x:c>
      <x:c r="AB123">
        <x:f>($N123)*(IF($D123="W",$E123,0)+IF($F123="W",$G123,0))</x:f>
      </x:c>
    </x:row>
    <x:row r="124" ht="40" customHeight="1">
      <x:c r="A124" t="inlineStr">
        <x:is>
          <x:t xml:space="preserve">HR-D7-Q25</x:t>
        </x:is>
      </x:c>
      <x:c r="B124" t="inlineStr">
        <x:is>
          <x:t xml:space="preserve">T2</x:t>
        </x:is>
      </x:c>
      <x:c r="C124" t="inlineStr">
        <x:is>
          <x:t xml:space="preserve">7. Investigations &amp; Fairness</x:t>
        </x:is>
      </x:c>
      <x:c r="D124" t="inlineStr">
        <x:is>
          <x:t xml:space="preserve">H</x:t>
        </x:is>
      </x:c>
      <x:c r="E124" t="n">
        <x:v>0.5</x:v>
      </x:c>
      <x:c r="F124" t="inlineStr">
        <x:is>
          <x:t xml:space="preserve">L</x:t>
        </x:is>
      </x:c>
      <x:c r="G124" t="n">
        <x:v>0.5</x:v>
      </x:c>
      <x:c r="H124" s="2" t="inlineStr">
        <x:is>
          <x:t xml:space="preserve">If someone feels unfairly targeted, is there an independent review or appeal route (e.g., ombuds, privacy review, works council input where applicable)?</x:t>
        </x:is>
      </x:c>
      <x:c r="I124" t="inlineStr">
        <x:is>
          <x:t xml:space="preserve">Reduces toxic-enforcer risk and increases trust.</x:t>
        </x:is>
      </x:c>
      <x:c r="J124" t="inlineStr">
        <x:is>
          <x:t xml:space="preserve">Drill-down</x:t>
        </x:is>
      </x:c>
      <x:c r="K124" t="inlineStr">
        <x:is>
          <x:t xml:space="preserve">LEG_STRICT</x:t>
        </x:is>
      </x:c>
      <x:c r="L124" t="inlineStr">
        <x:is>
          <x:t xml:space="preserve">HR-D7-Q25-A3</x:t>
        </x:is>
      </x:c>
      <x:c r="M124" s="2" t="inlineStr">
        <x:is>
          <x:t xml:space="preserve">General grievance process exists, but not tailored to monitoring/investigations.</x:t>
        </x:is>
      </x:c>
      <x:c r="N124" t="n">
        <x:v>2</x:v>
      </x:c>
      <x:c r="O124" t="inlineStr">
        <x:is>
          <x:t xml:space="preserve"/>
        </x:is>
      </x:c>
      <x:c r="P124" t="inlineStr">
        <x:is>
          <x:t xml:space="preserve">Culture Risk</x:t>
        </x:is>
      </x:c>
      <x:c r="Q124" t="inlineStr">
        <x:is>
          <x:t xml:space="preserve">Define independent review</x:t>
        </x:is>
      </x:c>
      <x:c r="R124" t="inlineStr">
        <x:is>
          <x:t xml:space="preserve">N</x:t>
        </x:is>
      </x:c>
      <x:c r="S124" s="2" t="inlineStr">
        <x:is>
          <x:t xml:space="preserve">Evidence: grievance process.</x:t>
        </x:is>
      </x:c>
      <x:c r="T124">
        <x:f>($N124)*(IF($D124="G",$E124,0)+IF($F124="G",$G124,0))</x:f>
      </x:c>
      <x:c r="U124">
        <x:f>($N124)*(IF($D124="E",$E124,0)+IF($F124="E",$G124,0))</x:f>
      </x:c>
      <x:c r="V124">
        <x:f>($N124)*(IF($D124="T",$E124,0)+IF($F124="T",$G124,0))</x:f>
      </x:c>
      <x:c r="W124">
        <x:f>($N124)*(IF($D124="L",$E124,0)+IF($F124="L",$G124,0))</x:f>
      </x:c>
      <x:c r="X124">
        <x:f>($N124)*(IF($D124="H",$E124,0)+IF($F124="H",$G124,0))</x:f>
      </x:c>
      <x:c r="Y124">
        <x:f>($N124)*(IF($D124="V",$E124,0)+IF($F124="V",$G124,0))</x:f>
      </x:c>
      <x:c r="Z124">
        <x:f>($N124)*(IF($D124="R",$E124,0)+IF($F124="R",$G124,0))</x:f>
      </x:c>
      <x:c r="AA124">
        <x:f>($N124)*(IF($D124="F",$E124,0)+IF($F124="F",$G124,0))</x:f>
      </x:c>
      <x:c r="AB124">
        <x:f>($N124)*(IF($D124="W",$E124,0)+IF($F124="W",$G124,0))</x:f>
      </x:c>
    </x:row>
    <x:row r="125" ht="40" customHeight="1">
      <x:c r="A125" t="inlineStr">
        <x:is>
          <x:t xml:space="preserve">HR-D7-Q25</x:t>
        </x:is>
      </x:c>
      <x:c r="B125" t="inlineStr">
        <x:is>
          <x:t xml:space="preserve">T2</x:t>
        </x:is>
      </x:c>
      <x:c r="C125" t="inlineStr">
        <x:is>
          <x:t xml:space="preserve">7. Investigations &amp; Fairness</x:t>
        </x:is>
      </x:c>
      <x:c r="D125" t="inlineStr">
        <x:is>
          <x:t xml:space="preserve">H</x:t>
        </x:is>
      </x:c>
      <x:c r="E125" t="n">
        <x:v>0.5</x:v>
      </x:c>
      <x:c r="F125" t="inlineStr">
        <x:is>
          <x:t xml:space="preserve">L</x:t>
        </x:is>
      </x:c>
      <x:c r="G125" t="n">
        <x:v>0.5</x:v>
      </x:c>
      <x:c r="H125" s="2" t="inlineStr">
        <x:is>
          <x:t xml:space="preserve">If someone feels unfairly targeted, is there an independent review or appeal route (e.g., ombuds, privacy review, works council input where applicable)?</x:t>
        </x:is>
      </x:c>
      <x:c r="I125" t="inlineStr">
        <x:is>
          <x:t xml:space="preserve">Reduces toxic-enforcer risk and increases trust.</x:t>
        </x:is>
      </x:c>
      <x:c r="J125" t="inlineStr">
        <x:is>
          <x:t xml:space="preserve">Drill-down</x:t>
        </x:is>
      </x:c>
      <x:c r="K125" t="inlineStr">
        <x:is>
          <x:t xml:space="preserve">LEG_STRICT</x:t>
        </x:is>
      </x:c>
      <x:c r="L125" t="inlineStr">
        <x:is>
          <x:t xml:space="preserve">HR-D7-Q25-A4</x:t>
        </x:is>
      </x:c>
      <x:c r="M125" s="2" t="inlineStr">
        <x:is>
          <x:t xml:space="preserve">Independent check exists (privacy/ombuds) for sensitive cases.</x:t>
        </x:is>
      </x:c>
      <x:c r="N125" t="n">
        <x:v>3</x:v>
      </x:c>
      <x:c r="O125" t="inlineStr">
        <x:is>
          <x:t xml:space="preserve"/>
        </x:is>
      </x:c>
      <x:c r="P125" t="inlineStr">
        <x:is>
          <x:t xml:space="preserve">Culture Risk</x:t>
        </x:is>
      </x:c>
      <x:c r="Q125" t="inlineStr">
        <x:is>
          <x:t xml:space="preserve">Maintain oversight</x:t>
        </x:is>
      </x:c>
      <x:c r="R125" t="inlineStr">
        <x:is>
          <x:t xml:space="preserve">N</x:t>
        </x:is>
      </x:c>
      <x:c r="S125" s="2" t="inlineStr">
        <x:is>
          <x:t xml:space="preserve">Evidence: review workflow.</x:t>
        </x:is>
      </x:c>
      <x:c r="T125">
        <x:f>($N125)*(IF($D125="G",$E125,0)+IF($F125="G",$G125,0))</x:f>
      </x:c>
      <x:c r="U125">
        <x:f>($N125)*(IF($D125="E",$E125,0)+IF($F125="E",$G125,0))</x:f>
      </x:c>
      <x:c r="V125">
        <x:f>($N125)*(IF($D125="T",$E125,0)+IF($F125="T",$G125,0))</x:f>
      </x:c>
      <x:c r="W125">
        <x:f>($N125)*(IF($D125="L",$E125,0)+IF($F125="L",$G125,0))</x:f>
      </x:c>
      <x:c r="X125">
        <x:f>($N125)*(IF($D125="H",$E125,0)+IF($F125="H",$G125,0))</x:f>
      </x:c>
      <x:c r="Y125">
        <x:f>($N125)*(IF($D125="V",$E125,0)+IF($F125="V",$G125,0))</x:f>
      </x:c>
      <x:c r="Z125">
        <x:f>($N125)*(IF($D125="R",$E125,0)+IF($F125="R",$G125,0))</x:f>
      </x:c>
      <x:c r="AA125">
        <x:f>($N125)*(IF($D125="F",$E125,0)+IF($F125="F",$G125,0))</x:f>
      </x:c>
      <x:c r="AB125">
        <x:f>($N125)*(IF($D125="W",$E125,0)+IF($F125="W",$G125,0))</x:f>
      </x:c>
    </x:row>
    <x:row r="126" ht="40" customHeight="1">
      <x:c r="A126" t="inlineStr">
        <x:is>
          <x:t xml:space="preserve">HR-D7-Q25</x:t>
        </x:is>
      </x:c>
      <x:c r="B126" t="inlineStr">
        <x:is>
          <x:t xml:space="preserve">T2</x:t>
        </x:is>
      </x:c>
      <x:c r="C126" t="inlineStr">
        <x:is>
          <x:t xml:space="preserve">7. Investigations &amp; Fairness</x:t>
        </x:is>
      </x:c>
      <x:c r="D126" t="inlineStr">
        <x:is>
          <x:t xml:space="preserve">H</x:t>
        </x:is>
      </x:c>
      <x:c r="E126" t="n">
        <x:v>0.5</x:v>
      </x:c>
      <x:c r="F126" t="inlineStr">
        <x:is>
          <x:t xml:space="preserve">L</x:t>
        </x:is>
      </x:c>
      <x:c r="G126" t="n">
        <x:v>0.5</x:v>
      </x:c>
      <x:c r="H126" s="2" t="inlineStr">
        <x:is>
          <x:t xml:space="preserve">If someone feels unfairly targeted, is there an independent review or appeal route (e.g., ombuds, privacy review, works council input where applicable)?</x:t>
        </x:is>
      </x:c>
      <x:c r="I126" t="inlineStr">
        <x:is>
          <x:t xml:space="preserve">Reduces toxic-enforcer risk and increases trust.</x:t>
        </x:is>
      </x:c>
      <x:c r="J126" t="inlineStr">
        <x:is>
          <x:t xml:space="preserve">Drill-down</x:t>
        </x:is>
      </x:c>
      <x:c r="K126" t="inlineStr">
        <x:is>
          <x:t xml:space="preserve">LEG_STRICT</x:t>
        </x:is>
      </x:c>
      <x:c r="L126" t="inlineStr">
        <x:is>
          <x:t xml:space="preserve">HR-D7-Q25-A5</x:t>
        </x:is>
      </x:c>
      <x:c r="M126" s="2" t="inlineStr">
        <x:is>
          <x:t xml:space="preserve">Transparent, multi-function review with audit trail and feedback loops.</x:t>
        </x:is>
      </x:c>
      <x:c r="N126" t="n">
        <x:v>4</x:v>
      </x:c>
      <x:c r="O126" t="inlineStr">
        <x:is>
          <x:t xml:space="preserve"/>
        </x:is>
      </x:c>
      <x:c r="P126" t="inlineStr">
        <x:is>
          <x:t xml:space="preserve">Culture Risk</x:t>
        </x:is>
      </x:c>
      <x:c r="Q126" t="inlineStr">
        <x:is>
          <x:t xml:space="preserve">Maintain maturity</x:t>
        </x:is>
      </x:c>
      <x:c r="R126" t="inlineStr">
        <x:is>
          <x:t xml:space="preserve">N</x:t>
        </x:is>
      </x:c>
      <x:c r="S126" s="2" t="inlineStr">
        <x:is>
          <x:t xml:space="preserve">Evidence: audit trail sample.</x:t>
        </x:is>
      </x:c>
      <x:c r="T126">
        <x:f>($N126)*(IF($D126="G",$E126,0)+IF($F126="G",$G126,0))</x:f>
      </x:c>
      <x:c r="U126">
        <x:f>($N126)*(IF($D126="E",$E126,0)+IF($F126="E",$G126,0))</x:f>
      </x:c>
      <x:c r="V126">
        <x:f>($N126)*(IF($D126="T",$E126,0)+IF($F126="T",$G126,0))</x:f>
      </x:c>
      <x:c r="W126">
        <x:f>($N126)*(IF($D126="L",$E126,0)+IF($F126="L",$G126,0))</x:f>
      </x:c>
      <x:c r="X126">
        <x:f>($N126)*(IF($D126="H",$E126,0)+IF($F126="H",$G126,0))</x:f>
      </x:c>
      <x:c r="Y126">
        <x:f>($N126)*(IF($D126="V",$E126,0)+IF($F126="V",$G126,0))</x:f>
      </x:c>
      <x:c r="Z126">
        <x:f>($N126)*(IF($D126="R",$E126,0)+IF($F126="R",$G126,0))</x:f>
      </x:c>
      <x:c r="AA126">
        <x:f>($N126)*(IF($D126="F",$E126,0)+IF($F126="F",$G126,0))</x:f>
      </x:c>
      <x:c r="AB126">
        <x:f>($N126)*(IF($D126="W",$E126,0)+IF($F126="W",$G126,0))</x:f>
      </x:c>
    </x:row>
    <x:row r="127" ht="40" customHeight="1">
      <x:c r="A127" t="inlineStr">
        <x:is>
          <x:t xml:space="preserve">HR-D7-Q26</x:t>
        </x:is>
      </x:c>
      <x:c r="B127" t="inlineStr">
        <x:is>
          <x:t xml:space="preserve">T3</x:t>
        </x:is>
      </x:c>
      <x:c r="C127" t="inlineStr">
        <x:is>
          <x:t xml:space="preserve">7. Investigations &amp; Fairness</x:t>
        </x:is>
      </x:c>
      <x:c r="D127" t="inlineStr">
        <x:is>
          <x:t xml:space="preserve">R</x:t>
        </x:is>
      </x:c>
      <x:c r="E127" t="n">
        <x:v>0.6</x:v>
      </x:c>
      <x:c r="F127" t="inlineStr">
        <x:is>
          <x:t xml:space="preserve">H</x:t>
        </x:is>
      </x:c>
      <x:c r="G127" t="n">
        <x:v>0.4</x:v>
      </x:c>
      <x:c r="H127" s="2" t="inlineStr">
        <x:is>
          <x:t xml:space="preserve">After cases, do you translate outcomes into improvements (training, process, tooling) without creating blame or fear?</x:t>
        </x:is>
      </x:c>
      <x:c r="I127" t="inlineStr">
        <x:is>
          <x:t xml:space="preserve">Learning loop: reduce repeats while maintaining psychological safety.</x:t>
        </x:is>
      </x:c>
      <x:c r="J127" t="inlineStr">
        <x:is>
          <x:t xml:space="preserve">Business-proofing</x:t>
        </x:is>
      </x:c>
      <x:c r="K127" t="inlineStr">
        <x:is>
          <x:t xml:space="preserve">OPS_STD</x:t>
        </x:is>
      </x:c>
      <x:c r="L127" t="inlineStr">
        <x:is>
          <x:t xml:space="preserve">HR-D7-Q26-A1</x:t>
        </x:is>
      </x:c>
      <x:c r="M127" s="2" t="inlineStr">
        <x:is>
          <x:t xml:space="preserve">No: cases close with no learning loop.</x:t>
        </x:is>
      </x:c>
      <x:c r="N127" t="n">
        <x:v>0</x:v>
      </x:c>
      <x:c r="O127" t="inlineStr">
        <x:is>
          <x:t xml:space="preserve">paper_dragon_signal</x:t>
        </x:is>
      </x:c>
      <x:c r="P127" t="inlineStr">
        <x:is>
          <x:t xml:space="preserve">Paper Dragon</x:t>
        </x:is>
      </x:c>
      <x:c r="Q127" t="inlineStr">
        <x:is>
          <x:t xml:space="preserve">Create lessons-learned process</x:t>
        </x:is>
      </x:c>
      <x:c r="R127" t="inlineStr">
        <x:is>
          <x:t xml:space="preserve">N</x:t>
        </x:is>
      </x:c>
      <x:c r="S127" s="2" t="inlineStr">
        <x:is>
          <x:t xml:space="preserve"/>
        </x:is>
      </x:c>
      <x:c r="T127">
        <x:f>($N127)*(IF($D127="G",$E127,0)+IF($F127="G",$G127,0))</x:f>
      </x:c>
      <x:c r="U127">
        <x:f>($N127)*(IF($D127="E",$E127,0)+IF($F127="E",$G127,0))</x:f>
      </x:c>
      <x:c r="V127">
        <x:f>($N127)*(IF($D127="T",$E127,0)+IF($F127="T",$G127,0))</x:f>
      </x:c>
      <x:c r="W127">
        <x:f>($N127)*(IF($D127="L",$E127,0)+IF($F127="L",$G127,0))</x:f>
      </x:c>
      <x:c r="X127">
        <x:f>($N127)*(IF($D127="H",$E127,0)+IF($F127="H",$G127,0))</x:f>
      </x:c>
      <x:c r="Y127">
        <x:f>($N127)*(IF($D127="V",$E127,0)+IF($F127="V",$G127,0))</x:f>
      </x:c>
      <x:c r="Z127">
        <x:f>($N127)*(IF($D127="R",$E127,0)+IF($F127="R",$G127,0))</x:f>
      </x:c>
      <x:c r="AA127">
        <x:f>($N127)*(IF($D127="F",$E127,0)+IF($F127="F",$G127,0))</x:f>
      </x:c>
      <x:c r="AB127">
        <x:f>($N127)*(IF($D127="W",$E127,0)+IF($F127="W",$G127,0))</x:f>
      </x:c>
    </x:row>
    <x:row r="128" ht="40" customHeight="1">
      <x:c r="A128" t="inlineStr">
        <x:is>
          <x:t xml:space="preserve">HR-D7-Q26</x:t>
        </x:is>
      </x:c>
      <x:c r="B128" t="inlineStr">
        <x:is>
          <x:t xml:space="preserve">T3</x:t>
        </x:is>
      </x:c>
      <x:c r="C128" t="inlineStr">
        <x:is>
          <x:t xml:space="preserve">7. Investigations &amp; Fairness</x:t>
        </x:is>
      </x:c>
      <x:c r="D128" t="inlineStr">
        <x:is>
          <x:t xml:space="preserve">R</x:t>
        </x:is>
      </x:c>
      <x:c r="E128" t="n">
        <x:v>0.6</x:v>
      </x:c>
      <x:c r="F128" t="inlineStr">
        <x:is>
          <x:t xml:space="preserve">H</x:t>
        </x:is>
      </x:c>
      <x:c r="G128" t="n">
        <x:v>0.4</x:v>
      </x:c>
      <x:c r="H128" s="2" t="inlineStr">
        <x:is>
          <x:t xml:space="preserve">After cases, do you translate outcomes into improvements (training, process, tooling) without creating blame or fear?</x:t>
        </x:is>
      </x:c>
      <x:c r="I128" t="inlineStr">
        <x:is>
          <x:t xml:space="preserve">Learning loop: reduce repeats while maintaining psychological safety.</x:t>
        </x:is>
      </x:c>
      <x:c r="J128" t="inlineStr">
        <x:is>
          <x:t xml:space="preserve">Business-proofing</x:t>
        </x:is>
      </x:c>
      <x:c r="K128" t="inlineStr">
        <x:is>
          <x:t xml:space="preserve">OPS_STD</x:t>
        </x:is>
      </x:c>
      <x:c r="L128" t="inlineStr">
        <x:is>
          <x:t xml:space="preserve">HR-D7-Q26-A2</x:t>
        </x:is>
      </x:c>
      <x:c r="M128" s="2" t="inlineStr">
        <x:is>
          <x:t xml:space="preserve">Sometimes: lessons discussed informally.</x:t>
        </x:is>
      </x:c>
      <x:c r="N128" t="n">
        <x:v>1</x:v>
      </x:c>
      <x:c r="O128" t="inlineStr">
        <x:is>
          <x:t xml:space="preserve">shadow_mature_signal</x:t>
        </x:is>
      </x:c>
      <x:c r="P128" t="inlineStr">
        <x:is>
          <x:t xml:space="preserve">Operating Model Gap</x:t>
        </x:is>
      </x:c>
      <x:c r="Q128" t="inlineStr">
        <x:is>
          <x:t xml:space="preserve">Document and assign actions</x:t>
        </x:is>
      </x:c>
      <x:c r="R128" t="inlineStr">
        <x:is>
          <x:t xml:space="preserve">N</x:t>
        </x:is>
      </x:c>
      <x:c r="S128" s="2" t="inlineStr">
        <x:is>
          <x:t xml:space="preserve"/>
        </x:is>
      </x:c>
      <x:c r="T128">
        <x:f>($N128)*(IF($D128="G",$E128,0)+IF($F128="G",$G128,0))</x:f>
      </x:c>
      <x:c r="U128">
        <x:f>($N128)*(IF($D128="E",$E128,0)+IF($F128="E",$G128,0))</x:f>
      </x:c>
      <x:c r="V128">
        <x:f>($N128)*(IF($D128="T",$E128,0)+IF($F128="T",$G128,0))</x:f>
      </x:c>
      <x:c r="W128">
        <x:f>($N128)*(IF($D128="L",$E128,0)+IF($F128="L",$G128,0))</x:f>
      </x:c>
      <x:c r="X128">
        <x:f>($N128)*(IF($D128="H",$E128,0)+IF($F128="H",$G128,0))</x:f>
      </x:c>
      <x:c r="Y128">
        <x:f>($N128)*(IF($D128="V",$E128,0)+IF($F128="V",$G128,0))</x:f>
      </x:c>
      <x:c r="Z128">
        <x:f>($N128)*(IF($D128="R",$E128,0)+IF($F128="R",$G128,0))</x:f>
      </x:c>
      <x:c r="AA128">
        <x:f>($N128)*(IF($D128="F",$E128,0)+IF($F128="F",$G128,0))</x:f>
      </x:c>
      <x:c r="AB128">
        <x:f>($N128)*(IF($D128="W",$E128,0)+IF($F128="W",$G128,0))</x:f>
      </x:c>
    </x:row>
    <x:row r="129" ht="40" customHeight="1">
      <x:c r="A129" t="inlineStr">
        <x:is>
          <x:t xml:space="preserve">HR-D7-Q26</x:t>
        </x:is>
      </x:c>
      <x:c r="B129" t="inlineStr">
        <x:is>
          <x:t xml:space="preserve">T3</x:t>
        </x:is>
      </x:c>
      <x:c r="C129" t="inlineStr">
        <x:is>
          <x:t xml:space="preserve">7. Investigations &amp; Fairness</x:t>
        </x:is>
      </x:c>
      <x:c r="D129" t="inlineStr">
        <x:is>
          <x:t xml:space="preserve">R</x:t>
        </x:is>
      </x:c>
      <x:c r="E129" t="n">
        <x:v>0.6</x:v>
      </x:c>
      <x:c r="F129" t="inlineStr">
        <x:is>
          <x:t xml:space="preserve">H</x:t>
        </x:is>
      </x:c>
      <x:c r="G129" t="n">
        <x:v>0.4</x:v>
      </x:c>
      <x:c r="H129" s="2" t="inlineStr">
        <x:is>
          <x:t xml:space="preserve">After cases, do you translate outcomes into improvements (training, process, tooling) without creating blame or fear?</x:t>
        </x:is>
      </x:c>
      <x:c r="I129" t="inlineStr">
        <x:is>
          <x:t xml:space="preserve">Learning loop: reduce repeats while maintaining psychological safety.</x:t>
        </x:is>
      </x:c>
      <x:c r="J129" t="inlineStr">
        <x:is>
          <x:t xml:space="preserve">Business-proofing</x:t>
        </x:is>
      </x:c>
      <x:c r="K129" t="inlineStr">
        <x:is>
          <x:t xml:space="preserve">OPS_STD</x:t>
        </x:is>
      </x:c>
      <x:c r="L129" t="inlineStr">
        <x:is>
          <x:t xml:space="preserve">HR-D7-Q26-A3</x:t>
        </x:is>
      </x:c>
      <x:c r="M129" s="2" t="inlineStr">
        <x:is>
          <x:t xml:space="preserve">Defined: post-case review exists but actions not tracked to completion.</x:t>
        </x:is>
      </x:c>
      <x:c r="N129" t="n">
        <x:v>2</x:v>
      </x:c>
      <x:c r="O129" t="inlineStr">
        <x:is>
          <x:t xml:space="preserve"/>
        </x:is>
      </x:c>
      <x:c r="P129" t="inlineStr">
        <x:is>
          <x:t xml:space="preserve">Operating Model Gap</x:t>
        </x:is>
      </x:c>
      <x:c r="Q129" t="inlineStr">
        <x:is>
          <x:t xml:space="preserve">Track action completion</x:t>
        </x:is>
      </x:c>
      <x:c r="R129" t="inlineStr">
        <x:is>
          <x:t xml:space="preserve">N</x:t>
        </x:is>
      </x:c>
      <x:c r="S129" s="2" t="inlineStr">
        <x:is>
          <x:t xml:space="preserve">Evidence: action log.</x:t>
        </x:is>
      </x:c>
      <x:c r="T129">
        <x:f>($N129)*(IF($D129="G",$E129,0)+IF($F129="G",$G129,0))</x:f>
      </x:c>
      <x:c r="U129">
        <x:f>($N129)*(IF($D129="E",$E129,0)+IF($F129="E",$G129,0))</x:f>
      </x:c>
      <x:c r="V129">
        <x:f>($N129)*(IF($D129="T",$E129,0)+IF($F129="T",$G129,0))</x:f>
      </x:c>
      <x:c r="W129">
        <x:f>($N129)*(IF($D129="L",$E129,0)+IF($F129="L",$G129,0))</x:f>
      </x:c>
      <x:c r="X129">
        <x:f>($N129)*(IF($D129="H",$E129,0)+IF($F129="H",$G129,0))</x:f>
      </x:c>
      <x:c r="Y129">
        <x:f>($N129)*(IF($D129="V",$E129,0)+IF($F129="V",$G129,0))</x:f>
      </x:c>
      <x:c r="Z129">
        <x:f>($N129)*(IF($D129="R",$E129,0)+IF($F129="R",$G129,0))</x:f>
      </x:c>
      <x:c r="AA129">
        <x:f>($N129)*(IF($D129="F",$E129,0)+IF($F129="F",$G129,0))</x:f>
      </x:c>
      <x:c r="AB129">
        <x:f>($N129)*(IF($D129="W",$E129,0)+IF($F129="W",$G129,0))</x:f>
      </x:c>
    </x:row>
    <x:row r="130" ht="40" customHeight="1">
      <x:c r="A130" t="inlineStr">
        <x:is>
          <x:t xml:space="preserve">HR-D7-Q26</x:t>
        </x:is>
      </x:c>
      <x:c r="B130" t="inlineStr">
        <x:is>
          <x:t xml:space="preserve">T3</x:t>
        </x:is>
      </x:c>
      <x:c r="C130" t="inlineStr">
        <x:is>
          <x:t xml:space="preserve">7. Investigations &amp; Fairness</x:t>
        </x:is>
      </x:c>
      <x:c r="D130" t="inlineStr">
        <x:is>
          <x:t xml:space="preserve">R</x:t>
        </x:is>
      </x:c>
      <x:c r="E130" t="n">
        <x:v>0.6</x:v>
      </x:c>
      <x:c r="F130" t="inlineStr">
        <x:is>
          <x:t xml:space="preserve">H</x:t>
        </x:is>
      </x:c>
      <x:c r="G130" t="n">
        <x:v>0.4</x:v>
      </x:c>
      <x:c r="H130" s="2" t="inlineStr">
        <x:is>
          <x:t xml:space="preserve">After cases, do you translate outcomes into improvements (training, process, tooling) without creating blame or fear?</x:t>
        </x:is>
      </x:c>
      <x:c r="I130" t="inlineStr">
        <x:is>
          <x:t xml:space="preserve">Learning loop: reduce repeats while maintaining psychological safety.</x:t>
        </x:is>
      </x:c>
      <x:c r="J130" t="inlineStr">
        <x:is>
          <x:t xml:space="preserve">Business-proofing</x:t>
        </x:is>
      </x:c>
      <x:c r="K130" t="inlineStr">
        <x:is>
          <x:t xml:space="preserve">OPS_STD</x:t>
        </x:is>
      </x:c>
      <x:c r="L130" t="inlineStr">
        <x:is>
          <x:t xml:space="preserve">HR-D7-Q26-A4</x:t>
        </x:is>
      </x:c>
      <x:c r="M130" s="2" t="inlineStr">
        <x:is>
          <x:t xml:space="preserve">Managed: improvements tracked and communicated; repeat issues reduce.</x:t>
        </x:is>
      </x:c>
      <x:c r="N130" t="n">
        <x:v>3</x:v>
      </x:c>
      <x:c r="O130" t="inlineStr">
        <x:is>
          <x:t xml:space="preserve"/>
        </x:is>
      </x:c>
      <x:c r="P130" t="inlineStr">
        <x:is>
          <x:t xml:space="preserve">Operating Model Gap</x:t>
        </x:is>
      </x:c>
      <x:c r="Q130" t="inlineStr">
        <x:is>
          <x:t xml:space="preserve">Maintain metrics</x:t>
        </x:is>
      </x:c>
      <x:c r="R130" t="inlineStr">
        <x:is>
          <x:t xml:space="preserve">N</x:t>
        </x:is>
      </x:c>
      <x:c r="S130" s="2" t="inlineStr">
        <x:is>
          <x:t xml:space="preserve">Evidence: before/after examples.</x:t>
        </x:is>
      </x:c>
      <x:c r="T130">
        <x:f>($N130)*(IF($D130="G",$E130,0)+IF($F130="G",$G130,0))</x:f>
      </x:c>
      <x:c r="U130">
        <x:f>($N130)*(IF($D130="E",$E130,0)+IF($F130="E",$G130,0))</x:f>
      </x:c>
      <x:c r="V130">
        <x:f>($N130)*(IF($D130="T",$E130,0)+IF($F130="T",$G130,0))</x:f>
      </x:c>
      <x:c r="W130">
        <x:f>($N130)*(IF($D130="L",$E130,0)+IF($F130="L",$G130,0))</x:f>
      </x:c>
      <x:c r="X130">
        <x:f>($N130)*(IF($D130="H",$E130,0)+IF($F130="H",$G130,0))</x:f>
      </x:c>
      <x:c r="Y130">
        <x:f>($N130)*(IF($D130="V",$E130,0)+IF($F130="V",$G130,0))</x:f>
      </x:c>
      <x:c r="Z130">
        <x:f>($N130)*(IF($D130="R",$E130,0)+IF($F130="R",$G130,0))</x:f>
      </x:c>
      <x:c r="AA130">
        <x:f>($N130)*(IF($D130="F",$E130,0)+IF($F130="F",$G130,0))</x:f>
      </x:c>
      <x:c r="AB130">
        <x:f>($N130)*(IF($D130="W",$E130,0)+IF($F130="W",$G130,0))</x:f>
      </x:c>
    </x:row>
    <x:row r="131" ht="40" customHeight="1">
      <x:c r="A131" t="inlineStr">
        <x:is>
          <x:t xml:space="preserve">HR-D7-Q26</x:t>
        </x:is>
      </x:c>
      <x:c r="B131" t="inlineStr">
        <x:is>
          <x:t xml:space="preserve">T3</x:t>
        </x:is>
      </x:c>
      <x:c r="C131" t="inlineStr">
        <x:is>
          <x:t xml:space="preserve">7. Investigations &amp; Fairness</x:t>
        </x:is>
      </x:c>
      <x:c r="D131" t="inlineStr">
        <x:is>
          <x:t xml:space="preserve">R</x:t>
        </x:is>
      </x:c>
      <x:c r="E131" t="n">
        <x:v>0.6</x:v>
      </x:c>
      <x:c r="F131" t="inlineStr">
        <x:is>
          <x:t xml:space="preserve">H</x:t>
        </x:is>
      </x:c>
      <x:c r="G131" t="n">
        <x:v>0.4</x:v>
      </x:c>
      <x:c r="H131" s="2" t="inlineStr">
        <x:is>
          <x:t xml:space="preserve">After cases, do you translate outcomes into improvements (training, process, tooling) without creating blame or fear?</x:t>
        </x:is>
      </x:c>
      <x:c r="I131" t="inlineStr">
        <x:is>
          <x:t xml:space="preserve">Learning loop: reduce repeats while maintaining psychological safety.</x:t>
        </x:is>
      </x:c>
      <x:c r="J131" t="inlineStr">
        <x:is>
          <x:t xml:space="preserve">Business-proofing</x:t>
        </x:is>
      </x:c>
      <x:c r="K131" t="inlineStr">
        <x:is>
          <x:t xml:space="preserve">OPS_STD</x:t>
        </x:is>
      </x:c>
      <x:c r="L131" t="inlineStr">
        <x:is>
          <x:t xml:space="preserve">HR-D7-Q26-A5</x:t>
        </x:is>
      </x:c>
      <x:c r="M131" s="2" t="inlineStr">
        <x:is>
          <x:t xml:space="preserve">Optimized: continuous improvement; trust and outcomes both measured.</x:t>
        </x:is>
      </x:c>
      <x:c r="N131" t="n">
        <x:v>4</x:v>
      </x:c>
      <x:c r="O131" t="inlineStr">
        <x:is>
          <x:t xml:space="preserve"/>
        </x:is>
      </x:c>
      <x:c r="P131" t="inlineStr">
        <x:is>
          <x:t xml:space="preserve">Culture Risk</x:t>
        </x:is>
      </x:c>
      <x:c r="Q131" t="inlineStr">
        <x:is>
          <x:t xml:space="preserve">Maintain maturity</x:t>
        </x:is>
      </x:c>
      <x:c r="R131" t="inlineStr">
        <x:is>
          <x:t xml:space="preserve">N</x:t>
        </x:is>
      </x:c>
      <x:c r="S131" s="2" t="inlineStr">
        <x:is>
          <x:t xml:space="preserve">Evidence: KPIs + survey trends.</x:t>
        </x:is>
      </x:c>
      <x:c r="T131">
        <x:f>($N131)*(IF($D131="G",$E131,0)+IF($F131="G",$G131,0))</x:f>
      </x:c>
      <x:c r="U131">
        <x:f>($N131)*(IF($D131="E",$E131,0)+IF($F131="E",$G131,0))</x:f>
      </x:c>
      <x:c r="V131">
        <x:f>($N131)*(IF($D131="T",$E131,0)+IF($F131="T",$G131,0))</x:f>
      </x:c>
      <x:c r="W131">
        <x:f>($N131)*(IF($D131="L",$E131,0)+IF($F131="L",$G131,0))</x:f>
      </x:c>
      <x:c r="X131">
        <x:f>($N131)*(IF($D131="H",$E131,0)+IF($F131="H",$G131,0))</x:f>
      </x:c>
      <x:c r="Y131">
        <x:f>($N131)*(IF($D131="V",$E131,0)+IF($F131="V",$G131,0))</x:f>
      </x:c>
      <x:c r="Z131">
        <x:f>($N131)*(IF($D131="R",$E131,0)+IF($F131="R",$G131,0))</x:f>
      </x:c>
      <x:c r="AA131">
        <x:f>($N131)*(IF($D131="F",$E131,0)+IF($F131="F",$G131,0))</x:f>
      </x:c>
      <x:c r="AB131">
        <x:f>($N131)*(IF($D131="W",$E131,0)+IF($F131="W",$G131,0))</x:f>
      </x:c>
    </x:row>
    <x:row r="132" ht="40" customHeight="1">
      <x:c r="A132" t="inlineStr">
        <x:is>
          <x:t xml:space="preserve">HR-D8-Q27</x:t>
        </x:is>
      </x:c>
      <x:c r="B132" t="inlineStr">
        <x:is>
          <x:t xml:space="preserve">T1</x:t>
        </x:is>
      </x:c>
      <x:c r="C132" t="inlineStr">
        <x:is>
          <x:t xml:space="preserve">8. Reporting &amp; Metrics</x:t>
        </x:is>
      </x:c>
      <x:c r="D132" t="inlineStr">
        <x:is>
          <x:t xml:space="preserve">G</x:t>
        </x:is>
      </x:c>
      <x:c r="E132" t="n">
        <x:v>0.5</x:v>
      </x:c>
      <x:c r="F132" t="inlineStr">
        <x:is>
          <x:t xml:space="preserve">H</x:t>
        </x:is>
      </x:c>
      <x:c r="G132" t="n">
        <x:v>0.5</x:v>
      </x:c>
      <x:c r="H132" s="2" t="inlineStr">
        <x:is>
          <x:t xml:space="preserve">What does HR report to leadership about the people-side of insider risk (themes, training, reporting culture) in a way that supports trust?</x:t>
        </x:is>
      </x:c>
      <x:c r="I132" t="inlineStr">
        <x:is>
          <x:t xml:space="preserve">Aggregated and privacy-safe: focus on themes + improvement actions.</x:t>
        </x:is>
      </x:c>
      <x:c r="J132" t="inlineStr">
        <x:is>
          <x:t xml:space="preserve">Gatekeeper (If BaseScore &lt;2 → HR-D8-Q28; If ≥2 → HR-D8-Q29)</x:t>
        </x:is>
      </x:c>
      <x:c r="K132" t="inlineStr">
        <x:is>
          <x:t xml:space="preserve">GOV_STD</x:t>
        </x:is>
      </x:c>
      <x:c r="L132" t="inlineStr">
        <x:is>
          <x:t xml:space="preserve">HR-D8-Q27-A0</x:t>
        </x:is>
      </x:c>
      <x:c r="M132" s="2" t="inlineStr">
        <x:is>
          <x:t xml:space="preserve">I don't know / Not sure.</x:t>
        </x:is>
      </x:c>
      <x:c r="N132" t="n">
        <x:v>0</x:v>
      </x:c>
      <x:c r="O132" t="inlineStr">
        <x:is>
          <x:t xml:space="preserve">low-confidence</x:t>
        </x:is>
      </x:c>
      <x:c r="P132" t="inlineStr">
        <x:is>
          <x:t xml:space="preserve">Operating Model Gap</x:t>
        </x:is>
      </x:c>
      <x:c r="Q132" t="inlineStr">
        <x:is>
          <x:t xml:space="preserve">Clarify reporting</x:t>
        </x:is>
      </x:c>
      <x:c r="R132" t="inlineStr">
        <x:is>
          <x:t xml:space="preserve">N</x:t>
        </x:is>
      </x:c>
      <x:c r="S132" s="2" t="inlineStr">
        <x:is>
          <x:t xml:space="preserve"/>
        </x:is>
      </x:c>
      <x:c r="T132">
        <x:f>($N132)*(IF($D132="G",$E132,0)+IF($F132="G",$G132,0))</x:f>
      </x:c>
      <x:c r="U132">
        <x:f>($N132)*(IF($D132="E",$E132,0)+IF($F132="E",$G132,0))</x:f>
      </x:c>
      <x:c r="V132">
        <x:f>($N132)*(IF($D132="T",$E132,0)+IF($F132="T",$G132,0))</x:f>
      </x:c>
      <x:c r="W132">
        <x:f>($N132)*(IF($D132="L",$E132,0)+IF($F132="L",$G132,0))</x:f>
      </x:c>
      <x:c r="X132">
        <x:f>($N132)*(IF($D132="H",$E132,0)+IF($F132="H",$G132,0))</x:f>
      </x:c>
      <x:c r="Y132">
        <x:f>($N132)*(IF($D132="V",$E132,0)+IF($F132="V",$G132,0))</x:f>
      </x:c>
      <x:c r="Z132">
        <x:f>($N132)*(IF($D132="R",$E132,0)+IF($F132="R",$G132,0))</x:f>
      </x:c>
      <x:c r="AA132">
        <x:f>($N132)*(IF($D132="F",$E132,0)+IF($F132="F",$G132,0))</x:f>
      </x:c>
      <x:c r="AB132">
        <x:f>($N132)*(IF($D132="W",$E132,0)+IF($F132="W",$G132,0))</x:f>
      </x:c>
    </x:row>
    <x:row r="133" ht="40" customHeight="1">
      <x:c r="A133" t="inlineStr">
        <x:is>
          <x:t xml:space="preserve">HR-D8-Q27</x:t>
        </x:is>
      </x:c>
      <x:c r="B133" t="inlineStr">
        <x:is>
          <x:t xml:space="preserve">T1</x:t>
        </x:is>
      </x:c>
      <x:c r="C133" t="inlineStr">
        <x:is>
          <x:t xml:space="preserve">8. Reporting &amp; Metrics</x:t>
        </x:is>
      </x:c>
      <x:c r="D133" t="inlineStr">
        <x:is>
          <x:t xml:space="preserve">G</x:t>
        </x:is>
      </x:c>
      <x:c r="E133" t="n">
        <x:v>0.5</x:v>
      </x:c>
      <x:c r="F133" t="inlineStr">
        <x:is>
          <x:t xml:space="preserve">H</x:t>
        </x:is>
      </x:c>
      <x:c r="G133" t="n">
        <x:v>0.5</x:v>
      </x:c>
      <x:c r="H133" s="2" t="inlineStr">
        <x:is>
          <x:t xml:space="preserve">What does HR report to leadership about the people-side of insider risk (themes, training, reporting culture) in a way that supports trust?</x:t>
        </x:is>
      </x:c>
      <x:c r="I133" t="inlineStr">
        <x:is>
          <x:t xml:space="preserve">Aggregated and privacy-safe: focus on themes + improvement actions.</x:t>
        </x:is>
      </x:c>
      <x:c r="J133" t="inlineStr">
        <x:is>
          <x:t xml:space="preserve">Gatekeeper (If BaseScore &lt;2 → HR-D8-Q28; If ≥2 → HR-D8-Q29)</x:t>
        </x:is>
      </x:c>
      <x:c r="K133" t="inlineStr">
        <x:is>
          <x:t xml:space="preserve">GOV_STD</x:t>
        </x:is>
      </x:c>
      <x:c r="L133" t="inlineStr">
        <x:is>
          <x:t xml:space="preserve">HR-D8-Q27-A1</x:t>
        </x:is>
      </x:c>
      <x:c r="M133" s="2" t="inlineStr">
        <x:is>
          <x:t xml:space="preserve">None: HR does not report on these topics.</x:t>
        </x:is>
      </x:c>
      <x:c r="N133" t="n">
        <x:v>0</x:v>
      </x:c>
      <x:c r="O133" t="inlineStr">
        <x:is>
          <x:t xml:space="preserve">paper_dragon_signal</x:t>
        </x:is>
      </x:c>
      <x:c r="P133" t="inlineStr">
        <x:is>
          <x:t xml:space="preserve">Paper Dragon</x:t>
        </x:is>
      </x:c>
      <x:c r="Q133" t="inlineStr">
        <x:is>
          <x:t xml:space="preserve">Introduce leadership reporting</x:t>
        </x:is>
      </x:c>
      <x:c r="R133" t="inlineStr">
        <x:is>
          <x:t xml:space="preserve">N</x:t>
        </x:is>
      </x:c>
      <x:c r="S133" s="2" t="inlineStr">
        <x:is>
          <x:t xml:space="preserve"/>
        </x:is>
      </x:c>
      <x:c r="T133">
        <x:f>($N133)*(IF($D133="G",$E133,0)+IF($F133="G",$G133,0))</x:f>
      </x:c>
      <x:c r="U133">
        <x:f>($N133)*(IF($D133="E",$E133,0)+IF($F133="E",$G133,0))</x:f>
      </x:c>
      <x:c r="V133">
        <x:f>($N133)*(IF($D133="T",$E133,0)+IF($F133="T",$G133,0))</x:f>
      </x:c>
      <x:c r="W133">
        <x:f>($N133)*(IF($D133="L",$E133,0)+IF($F133="L",$G133,0))</x:f>
      </x:c>
      <x:c r="X133">
        <x:f>($N133)*(IF($D133="H",$E133,0)+IF($F133="H",$G133,0))</x:f>
      </x:c>
      <x:c r="Y133">
        <x:f>($N133)*(IF($D133="V",$E133,0)+IF($F133="V",$G133,0))</x:f>
      </x:c>
      <x:c r="Z133">
        <x:f>($N133)*(IF($D133="R",$E133,0)+IF($F133="R",$G133,0))</x:f>
      </x:c>
      <x:c r="AA133">
        <x:f>($N133)*(IF($D133="F",$E133,0)+IF($F133="F",$G133,0))</x:f>
      </x:c>
      <x:c r="AB133">
        <x:f>($N133)*(IF($D133="W",$E133,0)+IF($F133="W",$G133,0))</x:f>
      </x:c>
    </x:row>
    <x:row r="134" ht="40" customHeight="1">
      <x:c r="A134" t="inlineStr">
        <x:is>
          <x:t xml:space="preserve">HR-D8-Q27</x:t>
        </x:is>
      </x:c>
      <x:c r="B134" t="inlineStr">
        <x:is>
          <x:t xml:space="preserve">T1</x:t>
        </x:is>
      </x:c>
      <x:c r="C134" t="inlineStr">
        <x:is>
          <x:t xml:space="preserve">8. Reporting &amp; Metrics</x:t>
        </x:is>
      </x:c>
      <x:c r="D134" t="inlineStr">
        <x:is>
          <x:t xml:space="preserve">G</x:t>
        </x:is>
      </x:c>
      <x:c r="E134" t="n">
        <x:v>0.5</x:v>
      </x:c>
      <x:c r="F134" t="inlineStr">
        <x:is>
          <x:t xml:space="preserve">H</x:t>
        </x:is>
      </x:c>
      <x:c r="G134" t="n">
        <x:v>0.5</x:v>
      </x:c>
      <x:c r="H134" s="2" t="inlineStr">
        <x:is>
          <x:t xml:space="preserve">What does HR report to leadership about the people-side of insider risk (themes, training, reporting culture) in a way that supports trust?</x:t>
        </x:is>
      </x:c>
      <x:c r="I134" t="inlineStr">
        <x:is>
          <x:t xml:space="preserve">Aggregated and privacy-safe: focus on themes + improvement actions.</x:t>
        </x:is>
      </x:c>
      <x:c r="J134" t="inlineStr">
        <x:is>
          <x:t xml:space="preserve">Gatekeeper (If BaseScore &lt;2 → HR-D8-Q28; If ≥2 → HR-D8-Q29)</x:t>
        </x:is>
      </x:c>
      <x:c r="K134" t="inlineStr">
        <x:is>
          <x:t xml:space="preserve">GOV_STD</x:t>
        </x:is>
      </x:c>
      <x:c r="L134" t="inlineStr">
        <x:is>
          <x:t xml:space="preserve">HR-D8-Q27-A2</x:t>
        </x:is>
      </x:c>
      <x:c r="M134" s="2" t="inlineStr">
        <x:is>
          <x:t xml:space="preserve">Ad-hoc: only after incidents or external pressure.</x:t>
        </x:is>
      </x:c>
      <x:c r="N134" t="n">
        <x:v>1</x:v>
      </x:c>
      <x:c r="O134" t="inlineStr">
        <x:is>
          <x:t xml:space="preserve">control_lag</x:t>
        </x:is>
      </x:c>
      <x:c r="P134" t="inlineStr">
        <x:is>
          <x:t xml:space="preserve">Control Lag</x:t>
        </x:is>
      </x:c>
      <x:c r="Q134" t="inlineStr">
        <x:is>
          <x:t xml:space="preserve">Create regular cadence</x:t>
        </x:is>
      </x:c>
      <x:c r="R134" t="inlineStr">
        <x:is>
          <x:t xml:space="preserve">N</x:t>
        </x:is>
      </x:c>
      <x:c r="S134" s="2" t="inlineStr">
        <x:is>
          <x:t xml:space="preserve"/>
        </x:is>
      </x:c>
      <x:c r="T134">
        <x:f>($N134)*(IF($D134="G",$E134,0)+IF($F134="G",$G134,0))</x:f>
      </x:c>
      <x:c r="U134">
        <x:f>($N134)*(IF($D134="E",$E134,0)+IF($F134="E",$G134,0))</x:f>
      </x:c>
      <x:c r="V134">
        <x:f>($N134)*(IF($D134="T",$E134,0)+IF($F134="T",$G134,0))</x:f>
      </x:c>
      <x:c r="W134">
        <x:f>($N134)*(IF($D134="L",$E134,0)+IF($F134="L",$G134,0))</x:f>
      </x:c>
      <x:c r="X134">
        <x:f>($N134)*(IF($D134="H",$E134,0)+IF($F134="H",$G134,0))</x:f>
      </x:c>
      <x:c r="Y134">
        <x:f>($N134)*(IF($D134="V",$E134,0)+IF($F134="V",$G134,0))</x:f>
      </x:c>
      <x:c r="Z134">
        <x:f>($N134)*(IF($D134="R",$E134,0)+IF($F134="R",$G134,0))</x:f>
      </x:c>
      <x:c r="AA134">
        <x:f>($N134)*(IF($D134="F",$E134,0)+IF($F134="F",$G134,0))</x:f>
      </x:c>
      <x:c r="AB134">
        <x:f>($N134)*(IF($D134="W",$E134,0)+IF($F134="W",$G134,0))</x:f>
      </x:c>
    </x:row>
    <x:row r="135" ht="40" customHeight="1">
      <x:c r="A135" t="inlineStr">
        <x:is>
          <x:t xml:space="preserve">HR-D8-Q27</x:t>
        </x:is>
      </x:c>
      <x:c r="B135" t="inlineStr">
        <x:is>
          <x:t xml:space="preserve">T1</x:t>
        </x:is>
      </x:c>
      <x:c r="C135" t="inlineStr">
        <x:is>
          <x:t xml:space="preserve">8. Reporting &amp; Metrics</x:t>
        </x:is>
      </x:c>
      <x:c r="D135" t="inlineStr">
        <x:is>
          <x:t xml:space="preserve">G</x:t>
        </x:is>
      </x:c>
      <x:c r="E135" t="n">
        <x:v>0.5</x:v>
      </x:c>
      <x:c r="F135" t="inlineStr">
        <x:is>
          <x:t xml:space="preserve">H</x:t>
        </x:is>
      </x:c>
      <x:c r="G135" t="n">
        <x:v>0.5</x:v>
      </x:c>
      <x:c r="H135" s="2" t="inlineStr">
        <x:is>
          <x:t xml:space="preserve">What does HR report to leadership about the people-side of insider risk (themes, training, reporting culture) in a way that supports trust?</x:t>
        </x:is>
      </x:c>
      <x:c r="I135" t="inlineStr">
        <x:is>
          <x:t xml:space="preserve">Aggregated and privacy-safe: focus on themes + improvement actions.</x:t>
        </x:is>
      </x:c>
      <x:c r="J135" t="inlineStr">
        <x:is>
          <x:t xml:space="preserve">Gatekeeper (If BaseScore &lt;2 → HR-D8-Q28; If ≥2 → HR-D8-Q29)</x:t>
        </x:is>
      </x:c>
      <x:c r="K135" t="inlineStr">
        <x:is>
          <x:t xml:space="preserve">GOV_STD</x:t>
        </x:is>
      </x:c>
      <x:c r="L135" t="inlineStr">
        <x:is>
          <x:t xml:space="preserve">HR-D8-Q27-A3</x:t>
        </x:is>
      </x:c>
      <x:c r="M135" s="2" t="inlineStr">
        <x:is>
          <x:t xml:space="preserve">Basic: occasional updates on policy/training; limited on culture/themes.</x:t>
        </x:is>
      </x:c>
      <x:c r="N135" t="n">
        <x:v>2</x:v>
      </x:c>
      <x:c r="O135" t="inlineStr">
        <x:is>
          <x:t xml:space="preserve"/>
        </x:is>
      </x:c>
      <x:c r="P135" t="inlineStr">
        <x:is>
          <x:t xml:space="preserve">Operating Model Gap</x:t>
        </x:is>
      </x:c>
      <x:c r="Q135" t="inlineStr">
        <x:is>
          <x:t xml:space="preserve">Expand to themes + actions</x:t>
        </x:is>
      </x:c>
      <x:c r="R135" t="inlineStr">
        <x:is>
          <x:t xml:space="preserve">N</x:t>
        </x:is>
      </x:c>
      <x:c r="S135" s="2" t="inlineStr">
        <x:is>
          <x:t xml:space="preserve">Evidence: slide pack example.</x:t>
        </x:is>
      </x:c>
      <x:c r="T135">
        <x:f>($N135)*(IF($D135="G",$E135,0)+IF($F135="G",$G135,0))</x:f>
      </x:c>
      <x:c r="U135">
        <x:f>($N135)*(IF($D135="E",$E135,0)+IF($F135="E",$G135,0))</x:f>
      </x:c>
      <x:c r="V135">
        <x:f>($N135)*(IF($D135="T",$E135,0)+IF($F135="T",$G135,0))</x:f>
      </x:c>
      <x:c r="W135">
        <x:f>($N135)*(IF($D135="L",$E135,0)+IF($F135="L",$G135,0))</x:f>
      </x:c>
      <x:c r="X135">
        <x:f>($N135)*(IF($D135="H",$E135,0)+IF($F135="H",$G135,0))</x:f>
      </x:c>
      <x:c r="Y135">
        <x:f>($N135)*(IF($D135="V",$E135,0)+IF($F135="V",$G135,0))</x:f>
      </x:c>
      <x:c r="Z135">
        <x:f>($N135)*(IF($D135="R",$E135,0)+IF($F135="R",$G135,0))</x:f>
      </x:c>
      <x:c r="AA135">
        <x:f>($N135)*(IF($D135="F",$E135,0)+IF($F135="F",$G135,0))</x:f>
      </x:c>
      <x:c r="AB135">
        <x:f>($N135)*(IF($D135="W",$E135,0)+IF($F135="W",$G135,0))</x:f>
      </x:c>
    </x:row>
    <x:row r="136" ht="40" customHeight="1">
      <x:c r="A136" t="inlineStr">
        <x:is>
          <x:t xml:space="preserve">HR-D8-Q27</x:t>
        </x:is>
      </x:c>
      <x:c r="B136" t="inlineStr">
        <x:is>
          <x:t xml:space="preserve">T1</x:t>
        </x:is>
      </x:c>
      <x:c r="C136" t="inlineStr">
        <x:is>
          <x:t xml:space="preserve">8. Reporting &amp; Metrics</x:t>
        </x:is>
      </x:c>
      <x:c r="D136" t="inlineStr">
        <x:is>
          <x:t xml:space="preserve">G</x:t>
        </x:is>
      </x:c>
      <x:c r="E136" t="n">
        <x:v>0.5</x:v>
      </x:c>
      <x:c r="F136" t="inlineStr">
        <x:is>
          <x:t xml:space="preserve">H</x:t>
        </x:is>
      </x:c>
      <x:c r="G136" t="n">
        <x:v>0.5</x:v>
      </x:c>
      <x:c r="H136" s="2" t="inlineStr">
        <x:is>
          <x:t xml:space="preserve">What does HR report to leadership about the people-side of insider risk (themes, training, reporting culture) in a way that supports trust?</x:t>
        </x:is>
      </x:c>
      <x:c r="I136" t="inlineStr">
        <x:is>
          <x:t xml:space="preserve">Aggregated and privacy-safe: focus on themes + improvement actions.</x:t>
        </x:is>
      </x:c>
      <x:c r="J136" t="inlineStr">
        <x:is>
          <x:t xml:space="preserve">Gatekeeper (If BaseScore &lt;2 → HR-D8-Q28; If ≥2 → HR-D8-Q29)</x:t>
        </x:is>
      </x:c>
      <x:c r="K136" t="inlineStr">
        <x:is>
          <x:t xml:space="preserve">GOV_STD</x:t>
        </x:is>
      </x:c>
      <x:c r="L136" t="inlineStr">
        <x:is>
          <x:t xml:space="preserve">HR-D8-Q27-A4</x:t>
        </x:is>
      </x:c>
      <x:c r="M136" s="2" t="inlineStr">
        <x:is>
          <x:t xml:space="preserve">Managed: quarterly dashboards covering culture, retaliation, and improvement actions.</x:t>
        </x:is>
      </x:c>
      <x:c r="N136" t="n">
        <x:v>3</x:v>
      </x:c>
      <x:c r="O136" t="inlineStr">
        <x:is>
          <x:t xml:space="preserve"/>
        </x:is>
      </x:c>
      <x:c r="P136" t="inlineStr">
        <x:is>
          <x:t xml:space="preserve">Operating Model Gap</x:t>
        </x:is>
      </x:c>
      <x:c r="Q136" t="inlineStr">
        <x:is>
          <x:t xml:space="preserve">Maintain and improve</x:t>
        </x:is>
      </x:c>
      <x:c r="R136" t="inlineStr">
        <x:is>
          <x:t xml:space="preserve">N</x:t>
        </x:is>
      </x:c>
      <x:c r="S136" s="2" t="inlineStr">
        <x:is>
          <x:t xml:space="preserve">Evidence: KPI dashboard.</x:t>
        </x:is>
      </x:c>
      <x:c r="T136">
        <x:f>($N136)*(IF($D136="G",$E136,0)+IF($F136="G",$G136,0))</x:f>
      </x:c>
      <x:c r="U136">
        <x:f>($N136)*(IF($D136="E",$E136,0)+IF($F136="E",$G136,0))</x:f>
      </x:c>
      <x:c r="V136">
        <x:f>($N136)*(IF($D136="T",$E136,0)+IF($F136="T",$G136,0))</x:f>
      </x:c>
      <x:c r="W136">
        <x:f>($N136)*(IF($D136="L",$E136,0)+IF($F136="L",$G136,0))</x:f>
      </x:c>
      <x:c r="X136">
        <x:f>($N136)*(IF($D136="H",$E136,0)+IF($F136="H",$G136,0))</x:f>
      </x:c>
      <x:c r="Y136">
        <x:f>($N136)*(IF($D136="V",$E136,0)+IF($F136="V",$G136,0))</x:f>
      </x:c>
      <x:c r="Z136">
        <x:f>($N136)*(IF($D136="R",$E136,0)+IF($F136="R",$G136,0))</x:f>
      </x:c>
      <x:c r="AA136">
        <x:f>($N136)*(IF($D136="F",$E136,0)+IF($F136="F",$G136,0))</x:f>
      </x:c>
      <x:c r="AB136">
        <x:f>($N136)*(IF($D136="W",$E136,0)+IF($F136="W",$G136,0))</x:f>
      </x:c>
    </x:row>
    <x:row r="137" ht="40" customHeight="1">
      <x:c r="A137" t="inlineStr">
        <x:is>
          <x:t xml:space="preserve">HR-D8-Q27</x:t>
        </x:is>
      </x:c>
      <x:c r="B137" t="inlineStr">
        <x:is>
          <x:t xml:space="preserve">T1</x:t>
        </x:is>
      </x:c>
      <x:c r="C137" t="inlineStr">
        <x:is>
          <x:t xml:space="preserve">8. Reporting &amp; Metrics</x:t>
        </x:is>
      </x:c>
      <x:c r="D137" t="inlineStr">
        <x:is>
          <x:t xml:space="preserve">G</x:t>
        </x:is>
      </x:c>
      <x:c r="E137" t="n">
        <x:v>0.5</x:v>
      </x:c>
      <x:c r="F137" t="inlineStr">
        <x:is>
          <x:t xml:space="preserve">H</x:t>
        </x:is>
      </x:c>
      <x:c r="G137" t="n">
        <x:v>0.5</x:v>
      </x:c>
      <x:c r="H137" s="2" t="inlineStr">
        <x:is>
          <x:t xml:space="preserve">What does HR report to leadership about the people-side of insider risk (themes, training, reporting culture) in a way that supports trust?</x:t>
        </x:is>
      </x:c>
      <x:c r="I137" t="inlineStr">
        <x:is>
          <x:t xml:space="preserve">Aggregated and privacy-safe: focus on themes + improvement actions.</x:t>
        </x:is>
      </x:c>
      <x:c r="J137" t="inlineStr">
        <x:is>
          <x:t xml:space="preserve">Gatekeeper (If BaseScore &lt;2 → HR-D8-Q28; If ≥2 → HR-D8-Q29)</x:t>
        </x:is>
      </x:c>
      <x:c r="K137" t="inlineStr">
        <x:is>
          <x:t xml:space="preserve">GOV_STD</x:t>
        </x:is>
      </x:c>
      <x:c r="L137" t="inlineStr">
        <x:is>
          <x:t xml:space="preserve">HR-D8-Q27-A5</x:t>
        </x:is>
      </x:c>
      <x:c r="M137" s="2" t="inlineStr">
        <x:is>
          <x:t xml:space="preserve">Optimized: trends + leading indicators tracked and linked to outcomes.</x:t>
        </x:is>
      </x:c>
      <x:c r="N137" t="n">
        <x:v>4</x:v>
      </x:c>
      <x:c r="O137" t="inlineStr">
        <x:is>
          <x:t xml:space="preserve"/>
        </x:is>
      </x:c>
      <x:c r="P137" t="inlineStr">
        <x:is>
          <x:t xml:space="preserve">Culture Risk</x:t>
        </x:is>
      </x:c>
      <x:c r="Q137" t="inlineStr">
        <x:is>
          <x:t xml:space="preserve">Maintain maturity</x:t>
        </x:is>
      </x:c>
      <x:c r="R137" t="inlineStr">
        <x:is>
          <x:t xml:space="preserve">N</x:t>
        </x:is>
      </x:c>
      <x:c r="S137" s="2" t="inlineStr">
        <x:is>
          <x:t xml:space="preserve">Evidence: trend charts + outcomes.</x:t>
        </x:is>
      </x:c>
      <x:c r="T137">
        <x:f>($N137)*(IF($D137="G",$E137,0)+IF($F137="G",$G137,0))</x:f>
      </x:c>
      <x:c r="U137">
        <x:f>($N137)*(IF($D137="E",$E137,0)+IF($F137="E",$G137,0))</x:f>
      </x:c>
      <x:c r="V137">
        <x:f>($N137)*(IF($D137="T",$E137,0)+IF($F137="T",$G137,0))</x:f>
      </x:c>
      <x:c r="W137">
        <x:f>($N137)*(IF($D137="L",$E137,0)+IF($F137="L",$G137,0))</x:f>
      </x:c>
      <x:c r="X137">
        <x:f>($N137)*(IF($D137="H",$E137,0)+IF($F137="H",$G137,0))</x:f>
      </x:c>
      <x:c r="Y137">
        <x:f>($N137)*(IF($D137="V",$E137,0)+IF($F137="V",$G137,0))</x:f>
      </x:c>
      <x:c r="Z137">
        <x:f>($N137)*(IF($D137="R",$E137,0)+IF($F137="R",$G137,0))</x:f>
      </x:c>
      <x:c r="AA137">
        <x:f>($N137)*(IF($D137="F",$E137,0)+IF($F137="F",$G137,0))</x:f>
      </x:c>
      <x:c r="AB137">
        <x:f>($N137)*(IF($D137="W",$E137,0)+IF($F137="W",$G137,0))</x:f>
      </x:c>
    </x:row>
    <x:row r="138" ht="40" customHeight="1">
      <x:c r="A138" t="inlineStr">
        <x:is>
          <x:t xml:space="preserve">HR-D8-Q28</x:t>
        </x:is>
      </x:c>
      <x:c r="B138" t="inlineStr">
        <x:is>
          <x:t xml:space="preserve">T2</x:t>
        </x:is>
      </x:c>
      <x:c r="C138" t="inlineStr">
        <x:is>
          <x:t xml:space="preserve">8. Reporting &amp; Metrics</x:t>
        </x:is>
      </x:c>
      <x:c r="D138" t="inlineStr">
        <x:is>
          <x:t xml:space="preserve">H</x:t>
        </x:is>
      </x:c>
      <x:c r="E138" t="n">
        <x:v>1</x:v>
      </x:c>
      <x:c r="F138" t="inlineStr">
        <x:is>
          <x:t xml:space="preserve">-</x:t>
        </x:is>
      </x:c>
      <x:c r="G138" t="inlineStr">
        <x:is>
          <x:t xml:space="preserve"/>
        </x:is>
      </x:c>
      <x:c r="H138" s="2" t="inlineStr">
        <x:is>
          <x:t xml:space="preserve">(Shadow probe) Do you recognise and track 'near-misses' or early interventions as positive signals (without naming/shaming)?</x:t>
        </x:is>
      </x:c>
      <x:c r="I138" t="inlineStr">
        <x:is>
          <x:t xml:space="preserve">Near-miss = prevented escalation (e.g., someone flagged risky sharing).</x:t>
        </x:is>
      </x:c>
      <x:c r="J138" t="inlineStr">
        <x:is>
          <x:t xml:space="preserve">Shadow fallback (Then → END)</x:t>
        </x:is>
      </x:c>
      <x:c r="K138" t="inlineStr">
        <x:is>
          <x:t xml:space="preserve">CULT_SOFT</x:t>
        </x:is>
      </x:c>
      <x:c r="L138" t="inlineStr">
        <x:is>
          <x:t xml:space="preserve">HR-D8-Q28-A1</x:t>
        </x:is>
      </x:c>
      <x:c r="M138" s="2" t="inlineStr">
        <x:is>
          <x:t xml:space="preserve">No: only serious cases or formal complaints are tracked.</x:t>
        </x:is>
      </x:c>
      <x:c r="N138" t="n">
        <x:v>0</x:v>
      </x:c>
      <x:c r="O138" t="inlineStr">
        <x:is>
          <x:t xml:space="preserve">paper_dragon_signal</x:t>
        </x:is>
      </x:c>
      <x:c r="P138" t="inlineStr">
        <x:is>
          <x:t xml:space="preserve">Paper Dragon</x:t>
        </x:is>
      </x:c>
      <x:c r="Q138" t="inlineStr">
        <x:is>
          <x:t xml:space="preserve">Add near-miss learning loop</x:t>
        </x:is>
      </x:c>
      <x:c r="R138" t="inlineStr">
        <x:is>
          <x:t xml:space="preserve">N</x:t>
        </x:is>
      </x:c>
      <x:c r="S138" s="2" t="inlineStr">
        <x:is>
          <x:t xml:space="preserve"/>
        </x:is>
      </x:c>
      <x:c r="T138">
        <x:f>($N138)*(IF($D138="G",$E138,0)+IF($F138="G",$G138,0))</x:f>
      </x:c>
      <x:c r="U138">
        <x:f>($N138)*(IF($D138="E",$E138,0)+IF($F138="E",$G138,0))</x:f>
      </x:c>
      <x:c r="V138">
        <x:f>($N138)*(IF($D138="T",$E138,0)+IF($F138="T",$G138,0))</x:f>
      </x:c>
      <x:c r="W138">
        <x:f>($N138)*(IF($D138="L",$E138,0)+IF($F138="L",$G138,0))</x:f>
      </x:c>
      <x:c r="X138">
        <x:f>($N138)*(IF($D138="H",$E138,0)+IF($F138="H",$G138,0))</x:f>
      </x:c>
      <x:c r="Y138">
        <x:f>($N138)*(IF($D138="V",$E138,0)+IF($F138="V",$G138,0))</x:f>
      </x:c>
      <x:c r="Z138">
        <x:f>($N138)*(IF($D138="R",$E138,0)+IF($F138="R",$G138,0))</x:f>
      </x:c>
      <x:c r="AA138">
        <x:f>($N138)*(IF($D138="F",$E138,0)+IF($F138="F",$G138,0))</x:f>
      </x:c>
      <x:c r="AB138">
        <x:f>($N138)*(IF($D138="W",$E138,0)+IF($F138="W",$G138,0))</x:f>
      </x:c>
    </x:row>
    <x:row r="139" ht="40" customHeight="1">
      <x:c r="A139" t="inlineStr">
        <x:is>
          <x:t xml:space="preserve">HR-D8-Q28</x:t>
        </x:is>
      </x:c>
      <x:c r="B139" t="inlineStr">
        <x:is>
          <x:t xml:space="preserve">T2</x:t>
        </x:is>
      </x:c>
      <x:c r="C139" t="inlineStr">
        <x:is>
          <x:t xml:space="preserve">8. Reporting &amp; Metrics</x:t>
        </x:is>
      </x:c>
      <x:c r="D139" t="inlineStr">
        <x:is>
          <x:t xml:space="preserve">H</x:t>
        </x:is>
      </x:c>
      <x:c r="E139" t="n">
        <x:v>1</x:v>
      </x:c>
      <x:c r="F139" t="inlineStr">
        <x:is>
          <x:t xml:space="preserve">-</x:t>
        </x:is>
      </x:c>
      <x:c r="G139" t="inlineStr">
        <x:is>
          <x:t xml:space="preserve"/>
        </x:is>
      </x:c>
      <x:c r="H139" s="2" t="inlineStr">
        <x:is>
          <x:t xml:space="preserve">(Shadow probe) Do you recognise and track 'near-misses' or early interventions as positive signals (without naming/shaming)?</x:t>
        </x:is>
      </x:c>
      <x:c r="I139" t="inlineStr">
        <x:is>
          <x:t xml:space="preserve">Near-miss = prevented escalation (e.g., someone flagged risky sharing).</x:t>
        </x:is>
      </x:c>
      <x:c r="J139" t="inlineStr">
        <x:is>
          <x:t xml:space="preserve">Shadow fallback (Then → END)</x:t>
        </x:is>
      </x:c>
      <x:c r="K139" t="inlineStr">
        <x:is>
          <x:t xml:space="preserve">CULT_SOFT</x:t>
        </x:is>
      </x:c>
      <x:c r="L139" t="inlineStr">
        <x:is>
          <x:t xml:space="preserve">HR-D8-Q28-A2</x:t>
        </x:is>
      </x:c>
      <x:c r="M139" s="2" t="inlineStr">
        <x:is>
          <x:t xml:space="preserve">Informal: talked about, but nothing tracked.</x:t>
        </x:is>
      </x:c>
      <x:c r="N139" t="n">
        <x:v>1</x:v>
      </x:c>
      <x:c r="O139" t="inlineStr">
        <x:is>
          <x:t xml:space="preserve">shadow_mature_signal</x:t>
        </x:is>
      </x:c>
      <x:c r="P139" t="inlineStr">
        <x:is>
          <x:t xml:space="preserve">Culture Risk</x:t>
        </x:is>
      </x:c>
      <x:c r="Q139" t="inlineStr">
        <x:is>
          <x:t xml:space="preserve">Create privacy-safe tracking</x:t>
        </x:is>
      </x:c>
      <x:c r="R139" t="inlineStr">
        <x:is>
          <x:t xml:space="preserve">N</x:t>
        </x:is>
      </x:c>
      <x:c r="S139" s="2" t="inlineStr">
        <x:is>
          <x:t xml:space="preserve"/>
        </x:is>
      </x:c>
      <x:c r="T139">
        <x:f>($N139)*(IF($D139="G",$E139,0)+IF($F139="G",$G139,0))</x:f>
      </x:c>
      <x:c r="U139">
        <x:f>($N139)*(IF($D139="E",$E139,0)+IF($F139="E",$G139,0))</x:f>
      </x:c>
      <x:c r="V139">
        <x:f>($N139)*(IF($D139="T",$E139,0)+IF($F139="T",$G139,0))</x:f>
      </x:c>
      <x:c r="W139">
        <x:f>($N139)*(IF($D139="L",$E139,0)+IF($F139="L",$G139,0))</x:f>
      </x:c>
      <x:c r="X139">
        <x:f>($N139)*(IF($D139="H",$E139,0)+IF($F139="H",$G139,0))</x:f>
      </x:c>
      <x:c r="Y139">
        <x:f>($N139)*(IF($D139="V",$E139,0)+IF($F139="V",$G139,0))</x:f>
      </x:c>
      <x:c r="Z139">
        <x:f>($N139)*(IF($D139="R",$E139,0)+IF($F139="R",$G139,0))</x:f>
      </x:c>
      <x:c r="AA139">
        <x:f>($N139)*(IF($D139="F",$E139,0)+IF($F139="F",$G139,0))</x:f>
      </x:c>
      <x:c r="AB139">
        <x:f>($N139)*(IF($D139="W",$E139,0)+IF($F139="W",$G139,0))</x:f>
      </x:c>
    </x:row>
    <x:row r="140" ht="40" customHeight="1">
      <x:c r="A140" t="inlineStr">
        <x:is>
          <x:t xml:space="preserve">HR-D8-Q28</x:t>
        </x:is>
      </x:c>
      <x:c r="B140" t="inlineStr">
        <x:is>
          <x:t xml:space="preserve">T2</x:t>
        </x:is>
      </x:c>
      <x:c r="C140" t="inlineStr">
        <x:is>
          <x:t xml:space="preserve">8. Reporting &amp; Metrics</x:t>
        </x:is>
      </x:c>
      <x:c r="D140" t="inlineStr">
        <x:is>
          <x:t xml:space="preserve">H</x:t>
        </x:is>
      </x:c>
      <x:c r="E140" t="n">
        <x:v>1</x:v>
      </x:c>
      <x:c r="F140" t="inlineStr">
        <x:is>
          <x:t xml:space="preserve">-</x:t>
        </x:is>
      </x:c>
      <x:c r="G140" t="inlineStr">
        <x:is>
          <x:t xml:space="preserve"/>
        </x:is>
      </x:c>
      <x:c r="H140" s="2" t="inlineStr">
        <x:is>
          <x:t xml:space="preserve">(Shadow probe) Do you recognise and track 'near-misses' or early interventions as positive signals (without naming/shaming)?</x:t>
        </x:is>
      </x:c>
      <x:c r="I140" t="inlineStr">
        <x:is>
          <x:t xml:space="preserve">Near-miss = prevented escalation (e.g., someone flagged risky sharing).</x:t>
        </x:is>
      </x:c>
      <x:c r="J140" t="inlineStr">
        <x:is>
          <x:t xml:space="preserve">Shadow fallback (Then → END)</x:t>
        </x:is>
      </x:c>
      <x:c r="K140" t="inlineStr">
        <x:is>
          <x:t xml:space="preserve">CULT_SOFT</x:t>
        </x:is>
      </x:c>
      <x:c r="L140" t="inlineStr">
        <x:is>
          <x:t xml:space="preserve">HR-D8-Q28-A3</x:t>
        </x:is>
      </x:c>
      <x:c r="M140" s="2" t="inlineStr">
        <x:is>
          <x:t xml:space="preserve">Sometimes tracked in aggregate; used for learning/training.</x:t>
        </x:is>
      </x:c>
      <x:c r="N140" t="n">
        <x:v>2</x:v>
      </x:c>
      <x:c r="O140" t="inlineStr">
        <x:is>
          <x:t xml:space="preserve"/>
        </x:is>
      </x:c>
      <x:c r="P140" t="inlineStr">
        <x:is>
          <x:t xml:space="preserve">Culture Risk</x:t>
        </x:is>
      </x:c>
      <x:c r="Q140" t="inlineStr">
        <x:is>
          <x:t xml:space="preserve">Improve consistency</x:t>
        </x:is>
      </x:c>
      <x:c r="R140" t="inlineStr">
        <x:is>
          <x:t xml:space="preserve">N</x:t>
        </x:is>
      </x:c>
      <x:c r="S140" s="2" t="inlineStr">
        <x:is>
          <x:t xml:space="preserve">Evidence: anonymized examples.</x:t>
        </x:is>
      </x:c>
      <x:c r="T140">
        <x:f>($N140)*(IF($D140="G",$E140,0)+IF($F140="G",$G140,0))</x:f>
      </x:c>
      <x:c r="U140">
        <x:f>($N140)*(IF($D140="E",$E140,0)+IF($F140="E",$G140,0))</x:f>
      </x:c>
      <x:c r="V140">
        <x:f>($N140)*(IF($D140="T",$E140,0)+IF($F140="T",$G140,0))</x:f>
      </x:c>
      <x:c r="W140">
        <x:f>($N140)*(IF($D140="L",$E140,0)+IF($F140="L",$G140,0))</x:f>
      </x:c>
      <x:c r="X140">
        <x:f>($N140)*(IF($D140="H",$E140,0)+IF($F140="H",$G140,0))</x:f>
      </x:c>
      <x:c r="Y140">
        <x:f>($N140)*(IF($D140="V",$E140,0)+IF($F140="V",$G140,0))</x:f>
      </x:c>
      <x:c r="Z140">
        <x:f>($N140)*(IF($D140="R",$E140,0)+IF($F140="R",$G140,0))</x:f>
      </x:c>
      <x:c r="AA140">
        <x:f>($N140)*(IF($D140="F",$E140,0)+IF($F140="F",$G140,0))</x:f>
      </x:c>
      <x:c r="AB140">
        <x:f>($N140)*(IF($D140="W",$E140,0)+IF($F140="W",$G140,0))</x:f>
      </x:c>
    </x:row>
    <x:row r="141" ht="40" customHeight="1">
      <x:c r="A141" t="inlineStr">
        <x:is>
          <x:t xml:space="preserve">HR-D8-Q28</x:t>
        </x:is>
      </x:c>
      <x:c r="B141" t="inlineStr">
        <x:is>
          <x:t xml:space="preserve">T2</x:t>
        </x:is>
      </x:c>
      <x:c r="C141" t="inlineStr">
        <x:is>
          <x:t xml:space="preserve">8. Reporting &amp; Metrics</x:t>
        </x:is>
      </x:c>
      <x:c r="D141" t="inlineStr">
        <x:is>
          <x:t xml:space="preserve">H</x:t>
        </x:is>
      </x:c>
      <x:c r="E141" t="n">
        <x:v>1</x:v>
      </x:c>
      <x:c r="F141" t="inlineStr">
        <x:is>
          <x:t xml:space="preserve">-</x:t>
        </x:is>
      </x:c>
      <x:c r="G141" t="inlineStr">
        <x:is>
          <x:t xml:space="preserve"/>
        </x:is>
      </x:c>
      <x:c r="H141" s="2" t="inlineStr">
        <x:is>
          <x:t xml:space="preserve">(Shadow probe) Do you recognise and track 'near-misses' or early interventions as positive signals (without naming/shaming)?</x:t>
        </x:is>
      </x:c>
      <x:c r="I141" t="inlineStr">
        <x:is>
          <x:t xml:space="preserve">Near-miss = prevented escalation (e.g., someone flagged risky sharing).</x:t>
        </x:is>
      </x:c>
      <x:c r="J141" t="inlineStr">
        <x:is>
          <x:t xml:space="preserve">Shadow fallback (Then → END)</x:t>
        </x:is>
      </x:c>
      <x:c r="K141" t="inlineStr">
        <x:is>
          <x:t xml:space="preserve">CULT_SOFT</x:t>
        </x:is>
      </x:c>
      <x:c r="L141" t="inlineStr">
        <x:is>
          <x:t xml:space="preserve">HR-D8-Q28-A4</x:t>
        </x:is>
      </x:c>
      <x:c r="M141" s="2" t="inlineStr">
        <x:is>
          <x:t xml:space="preserve">Tracked as leading indicators; reinforces positive culture and reduces repeats.</x:t>
        </x:is>
      </x:c>
      <x:c r="N141" t="n">
        <x:v>3</x:v>
      </x:c>
      <x:c r="O141" t="inlineStr">
        <x:is>
          <x:t xml:space="preserve"/>
        </x:is>
      </x:c>
      <x:c r="P141" t="inlineStr">
        <x:is>
          <x:t xml:space="preserve">Culture Risk</x:t>
        </x:is>
      </x:c>
      <x:c r="Q141" t="inlineStr">
        <x:is>
          <x:t xml:space="preserve">Maintain</x:t>
        </x:is>
      </x:c>
      <x:c r="R141" t="inlineStr">
        <x:is>
          <x:t xml:space="preserve">N</x:t>
        </x:is>
      </x:c>
      <x:c r="S141" s="2" t="inlineStr">
        <x:is>
          <x:t xml:space="preserve">Evidence: dashboard indicator.</x:t>
        </x:is>
      </x:c>
      <x:c r="T141">
        <x:f>($N141)*(IF($D141="G",$E141,0)+IF($F141="G",$G141,0))</x:f>
      </x:c>
      <x:c r="U141">
        <x:f>($N141)*(IF($D141="E",$E141,0)+IF($F141="E",$G141,0))</x:f>
      </x:c>
      <x:c r="V141">
        <x:f>($N141)*(IF($D141="T",$E141,0)+IF($F141="T",$G141,0))</x:f>
      </x:c>
      <x:c r="W141">
        <x:f>($N141)*(IF($D141="L",$E141,0)+IF($F141="L",$G141,0))</x:f>
      </x:c>
      <x:c r="X141">
        <x:f>($N141)*(IF($D141="H",$E141,0)+IF($F141="H",$G141,0))</x:f>
      </x:c>
      <x:c r="Y141">
        <x:f>($N141)*(IF($D141="V",$E141,0)+IF($F141="V",$G141,0))</x:f>
      </x:c>
      <x:c r="Z141">
        <x:f>($N141)*(IF($D141="R",$E141,0)+IF($F141="R",$G141,0))</x:f>
      </x:c>
      <x:c r="AA141">
        <x:f>($N141)*(IF($D141="F",$E141,0)+IF($F141="F",$G141,0))</x:f>
      </x:c>
      <x:c r="AB141">
        <x:f>($N141)*(IF($D141="W",$E141,0)+IF($F141="W",$G141,0))</x:f>
      </x:c>
    </x:row>
    <x:row r="142" ht="40" customHeight="1">
      <x:c r="A142" t="inlineStr">
        <x:is>
          <x:t xml:space="preserve">HR-D8-Q29</x:t>
        </x:is>
      </x:c>
      <x:c r="B142" t="inlineStr">
        <x:is>
          <x:t xml:space="preserve">T3</x:t>
        </x:is>
      </x:c>
      <x:c r="C142" t="inlineStr">
        <x:is>
          <x:t xml:space="preserve">8. Reporting &amp; Metrics</x:t>
        </x:is>
      </x:c>
      <x:c r="D142" t="inlineStr">
        <x:is>
          <x:t xml:space="preserve">E</x:t>
        </x:is>
      </x:c>
      <x:c r="E142" t="n">
        <x:v>1</x:v>
      </x:c>
      <x:c r="F142" t="inlineStr">
        <x:is>
          <x:t xml:space="preserve">-</x:t>
        </x:is>
      </x:c>
      <x:c r="G142" t="inlineStr">
        <x:is>
          <x:t xml:space="preserve"/>
        </x:is>
      </x:c>
      <x:c r="H142" s="2" t="inlineStr">
        <x:is>
          <x:t xml:space="preserve">Do you track timeliness and quality metrics for reports/cases and use them to improve?</x:t>
        </x:is>
      </x:c>
      <x:c r="I142" t="inlineStr">
        <x:is>
          <x:t xml:space="preserve">Use aggregated metrics only (no personal data).</x:t>
        </x:is>
      </x:c>
      <x:c r="J142" t="inlineStr">
        <x:is>
          <x:t xml:space="preserve">Business-proofing</x:t>
        </x:is>
      </x:c>
      <x:c r="K142" t="inlineStr">
        <x:is>
          <x:t xml:space="preserve">OPS_STD</x:t>
        </x:is>
      </x:c>
      <x:c r="L142" t="inlineStr">
        <x:is>
          <x:t xml:space="preserve">HR-D8-Q29-A1</x:t>
        </x:is>
      </x:c>
      <x:c r="M142" s="2" t="inlineStr">
        <x:is>
          <x:t xml:space="preserve">No metrics: we can't tell how fast or consistent we are.</x:t>
        </x:is>
      </x:c>
      <x:c r="N142" t="n">
        <x:v>0</x:v>
      </x:c>
      <x:c r="O142" t="inlineStr">
        <x:is>
          <x:t xml:space="preserve">operating_model_gap</x:t>
        </x:is>
      </x:c>
      <x:c r="P142" t="inlineStr">
        <x:is>
          <x:t xml:space="preserve">Operating Model Gap</x:t>
        </x:is>
      </x:c>
      <x:c r="Q142" t="inlineStr">
        <x:is>
          <x:t xml:space="preserve">Introduce case metrics</x:t>
        </x:is>
      </x:c>
      <x:c r="R142" t="inlineStr">
        <x:is>
          <x:t xml:space="preserve">N</x:t>
        </x:is>
      </x:c>
      <x:c r="S142" s="2" t="inlineStr">
        <x:is>
          <x:t xml:space="preserve"/>
        </x:is>
      </x:c>
      <x:c r="T142">
        <x:f>($N142)*(IF($D142="G",$E142,0)+IF($F142="G",$G142,0))</x:f>
      </x:c>
      <x:c r="U142">
        <x:f>($N142)*(IF($D142="E",$E142,0)+IF($F142="E",$G142,0))</x:f>
      </x:c>
      <x:c r="V142">
        <x:f>($N142)*(IF($D142="T",$E142,0)+IF($F142="T",$G142,0))</x:f>
      </x:c>
      <x:c r="W142">
        <x:f>($N142)*(IF($D142="L",$E142,0)+IF($F142="L",$G142,0))</x:f>
      </x:c>
      <x:c r="X142">
        <x:f>($N142)*(IF($D142="H",$E142,0)+IF($F142="H",$G142,0))</x:f>
      </x:c>
      <x:c r="Y142">
        <x:f>($N142)*(IF($D142="V",$E142,0)+IF($F142="V",$G142,0))</x:f>
      </x:c>
      <x:c r="Z142">
        <x:f>($N142)*(IF($D142="R",$E142,0)+IF($F142="R",$G142,0))</x:f>
      </x:c>
      <x:c r="AA142">
        <x:f>($N142)*(IF($D142="F",$E142,0)+IF($F142="F",$G142,0))</x:f>
      </x:c>
      <x:c r="AB142">
        <x:f>($N142)*(IF($D142="W",$E142,0)+IF($F142="W",$G142,0))</x:f>
      </x:c>
    </x:row>
    <x:row r="143" ht="40" customHeight="1">
      <x:c r="A143" t="inlineStr">
        <x:is>
          <x:t xml:space="preserve">HR-D8-Q29</x:t>
        </x:is>
      </x:c>
      <x:c r="B143" t="inlineStr">
        <x:is>
          <x:t xml:space="preserve">T3</x:t>
        </x:is>
      </x:c>
      <x:c r="C143" t="inlineStr">
        <x:is>
          <x:t xml:space="preserve">8. Reporting &amp; Metrics</x:t>
        </x:is>
      </x:c>
      <x:c r="D143" t="inlineStr">
        <x:is>
          <x:t xml:space="preserve">E</x:t>
        </x:is>
      </x:c>
      <x:c r="E143" t="n">
        <x:v>1</x:v>
      </x:c>
      <x:c r="F143" t="inlineStr">
        <x:is>
          <x:t xml:space="preserve">-</x:t>
        </x:is>
      </x:c>
      <x:c r="G143" t="inlineStr">
        <x:is>
          <x:t xml:space="preserve"/>
        </x:is>
      </x:c>
      <x:c r="H143" s="2" t="inlineStr">
        <x:is>
          <x:t xml:space="preserve">Do you track timeliness and quality metrics for reports/cases and use them to improve?</x:t>
        </x:is>
      </x:c>
      <x:c r="I143" t="inlineStr">
        <x:is>
          <x:t xml:space="preserve">Use aggregated metrics only (no personal data).</x:t>
        </x:is>
      </x:c>
      <x:c r="J143" t="inlineStr">
        <x:is>
          <x:t xml:space="preserve">Business-proofing</x:t>
        </x:is>
      </x:c>
      <x:c r="K143" t="inlineStr">
        <x:is>
          <x:t xml:space="preserve">OPS_STD</x:t>
        </x:is>
      </x:c>
      <x:c r="L143" t="inlineStr">
        <x:is>
          <x:t xml:space="preserve">HR-D8-Q29-A2</x:t>
        </x:is>
      </x:c>
      <x:c r="M143" s="2" t="inlineStr">
        <x:is>
          <x:t xml:space="preserve">Some metrics exist but not used for improvement.</x:t>
        </x:is>
      </x:c>
      <x:c r="N143" t="n">
        <x:v>1</x:v>
      </x:c>
      <x:c r="O143" t="inlineStr">
        <x:is>
          <x:t xml:space="preserve">paper_dragon_signal</x:t>
        </x:is>
      </x:c>
      <x:c r="P143" t="inlineStr">
        <x:is>
          <x:t xml:space="preserve">Paper Dragon</x:t>
        </x:is>
      </x:c>
      <x:c r="Q143" t="inlineStr">
        <x:is>
          <x:t xml:space="preserve">Use metrics for improvement</x:t>
        </x:is>
      </x:c>
      <x:c r="R143" t="inlineStr">
        <x:is>
          <x:t xml:space="preserve">N</x:t>
        </x:is>
      </x:c>
      <x:c r="S143" s="2" t="inlineStr">
        <x:is>
          <x:t xml:space="preserve"/>
        </x:is>
      </x:c>
      <x:c r="T143">
        <x:f>($N143)*(IF($D143="G",$E143,0)+IF($F143="G",$G143,0))</x:f>
      </x:c>
      <x:c r="U143">
        <x:f>($N143)*(IF($D143="E",$E143,0)+IF($F143="E",$G143,0))</x:f>
      </x:c>
      <x:c r="V143">
        <x:f>($N143)*(IF($D143="T",$E143,0)+IF($F143="T",$G143,0))</x:f>
      </x:c>
      <x:c r="W143">
        <x:f>($N143)*(IF($D143="L",$E143,0)+IF($F143="L",$G143,0))</x:f>
      </x:c>
      <x:c r="X143">
        <x:f>($N143)*(IF($D143="H",$E143,0)+IF($F143="H",$G143,0))</x:f>
      </x:c>
      <x:c r="Y143">
        <x:f>($N143)*(IF($D143="V",$E143,0)+IF($F143="V",$G143,0))</x:f>
      </x:c>
      <x:c r="Z143">
        <x:f>($N143)*(IF($D143="R",$E143,0)+IF($F143="R",$G143,0))</x:f>
      </x:c>
      <x:c r="AA143">
        <x:f>($N143)*(IF($D143="F",$E143,0)+IF($F143="F",$G143,0))</x:f>
      </x:c>
      <x:c r="AB143">
        <x:f>($N143)*(IF($D143="W",$E143,0)+IF($F143="W",$G143,0))</x:f>
      </x:c>
    </x:row>
    <x:row r="144" ht="40" customHeight="1">
      <x:c r="A144" t="inlineStr">
        <x:is>
          <x:t xml:space="preserve">HR-D8-Q29</x:t>
        </x:is>
      </x:c>
      <x:c r="B144" t="inlineStr">
        <x:is>
          <x:t xml:space="preserve">T3</x:t>
        </x:is>
      </x:c>
      <x:c r="C144" t="inlineStr">
        <x:is>
          <x:t xml:space="preserve">8. Reporting &amp; Metrics</x:t>
        </x:is>
      </x:c>
      <x:c r="D144" t="inlineStr">
        <x:is>
          <x:t xml:space="preserve">E</x:t>
        </x:is>
      </x:c>
      <x:c r="E144" t="n">
        <x:v>1</x:v>
      </x:c>
      <x:c r="F144" t="inlineStr">
        <x:is>
          <x:t xml:space="preserve">-</x:t>
        </x:is>
      </x:c>
      <x:c r="G144" t="inlineStr">
        <x:is>
          <x:t xml:space="preserve"/>
        </x:is>
      </x:c>
      <x:c r="H144" s="2" t="inlineStr">
        <x:is>
          <x:t xml:space="preserve">Do you track timeliness and quality metrics for reports/cases and use them to improve?</x:t>
        </x:is>
      </x:c>
      <x:c r="I144" t="inlineStr">
        <x:is>
          <x:t xml:space="preserve">Use aggregated metrics only (no personal data).</x:t>
        </x:is>
      </x:c>
      <x:c r="J144" t="inlineStr">
        <x:is>
          <x:t xml:space="preserve">Business-proofing</x:t>
        </x:is>
      </x:c>
      <x:c r="K144" t="inlineStr">
        <x:is>
          <x:t xml:space="preserve">OPS_STD</x:t>
        </x:is>
      </x:c>
      <x:c r="L144" t="inlineStr">
        <x:is>
          <x:t xml:space="preserve">HR-D8-Q29-A3</x:t>
        </x:is>
      </x:c>
      <x:c r="M144" s="2" t="inlineStr">
        <x:is>
          <x:t xml:space="preserve">Basic metrics tracked; improvement actions occasional.</x:t>
        </x:is>
      </x:c>
      <x:c r="N144" t="n">
        <x:v>2</x:v>
      </x:c>
      <x:c r="O144" t="inlineStr">
        <x:is>
          <x:t xml:space="preserve"/>
        </x:is>
      </x:c>
      <x:c r="P144" t="inlineStr">
        <x:is>
          <x:t xml:space="preserve">Operating Model Gap</x:t>
        </x:is>
      </x:c>
      <x:c r="Q144" t="inlineStr">
        <x:is>
          <x:t xml:space="preserve">Set targets and review cadence</x:t>
        </x:is>
      </x:c>
      <x:c r="R144" t="inlineStr">
        <x:is>
          <x:t xml:space="preserve">N</x:t>
        </x:is>
      </x:c>
      <x:c r="S144" s="2" t="inlineStr">
        <x:is>
          <x:t xml:space="preserve">Evidence: KPI list.</x:t>
        </x:is>
      </x:c>
      <x:c r="T144">
        <x:f>($N144)*(IF($D144="G",$E144,0)+IF($F144="G",$G144,0))</x:f>
      </x:c>
      <x:c r="U144">
        <x:f>($N144)*(IF($D144="E",$E144,0)+IF($F144="E",$G144,0))</x:f>
      </x:c>
      <x:c r="V144">
        <x:f>($N144)*(IF($D144="T",$E144,0)+IF($F144="T",$G144,0))</x:f>
      </x:c>
      <x:c r="W144">
        <x:f>($N144)*(IF($D144="L",$E144,0)+IF($F144="L",$G144,0))</x:f>
      </x:c>
      <x:c r="X144">
        <x:f>($N144)*(IF($D144="H",$E144,0)+IF($F144="H",$G144,0))</x:f>
      </x:c>
      <x:c r="Y144">
        <x:f>($N144)*(IF($D144="V",$E144,0)+IF($F144="V",$G144,0))</x:f>
      </x:c>
      <x:c r="Z144">
        <x:f>($N144)*(IF($D144="R",$E144,0)+IF($F144="R",$G144,0))</x:f>
      </x:c>
      <x:c r="AA144">
        <x:f>($N144)*(IF($D144="F",$E144,0)+IF($F144="F",$G144,0))</x:f>
      </x:c>
      <x:c r="AB144">
        <x:f>($N144)*(IF($D144="W",$E144,0)+IF($F144="W",$G144,0))</x:f>
      </x:c>
    </x:row>
    <x:row r="145" ht="40" customHeight="1">
      <x:c r="A145" t="inlineStr">
        <x:is>
          <x:t xml:space="preserve">HR-D8-Q29</x:t>
        </x:is>
      </x:c>
      <x:c r="B145" t="inlineStr">
        <x:is>
          <x:t xml:space="preserve">T3</x:t>
        </x:is>
      </x:c>
      <x:c r="C145" t="inlineStr">
        <x:is>
          <x:t xml:space="preserve">8. Reporting &amp; Metrics</x:t>
        </x:is>
      </x:c>
      <x:c r="D145" t="inlineStr">
        <x:is>
          <x:t xml:space="preserve">E</x:t>
        </x:is>
      </x:c>
      <x:c r="E145" t="n">
        <x:v>1</x:v>
      </x:c>
      <x:c r="F145" t="inlineStr">
        <x:is>
          <x:t xml:space="preserve">-</x:t>
        </x:is>
      </x:c>
      <x:c r="G145" t="inlineStr">
        <x:is>
          <x:t xml:space="preserve"/>
        </x:is>
      </x:c>
      <x:c r="H145" s="2" t="inlineStr">
        <x:is>
          <x:t xml:space="preserve">Do you track timeliness and quality metrics for reports/cases and use them to improve?</x:t>
        </x:is>
      </x:c>
      <x:c r="I145" t="inlineStr">
        <x:is>
          <x:t xml:space="preserve">Use aggregated metrics only (no personal data).</x:t>
        </x:is>
      </x:c>
      <x:c r="J145" t="inlineStr">
        <x:is>
          <x:t xml:space="preserve">Business-proofing</x:t>
        </x:is>
      </x:c>
      <x:c r="K145" t="inlineStr">
        <x:is>
          <x:t xml:space="preserve">OPS_STD</x:t>
        </x:is>
      </x:c>
      <x:c r="L145" t="inlineStr">
        <x:is>
          <x:t xml:space="preserve">HR-D8-Q29-A4</x:t>
        </x:is>
      </x:c>
      <x:c r="M145" s="2" t="inlineStr">
        <x:is>
          <x:t xml:space="preserve">Managed: targets set; metrics reviewed; backlog/quality addressed.</x:t>
        </x:is>
      </x:c>
      <x:c r="N145" t="n">
        <x:v>3</x:v>
      </x:c>
      <x:c r="O145" t="inlineStr">
        <x:is>
          <x:t xml:space="preserve"/>
        </x:is>
      </x:c>
      <x:c r="P145" t="inlineStr">
        <x:is>
          <x:t xml:space="preserve">Operating Model Gap</x:t>
        </x:is>
      </x:c>
      <x:c r="Q145" t="inlineStr">
        <x:is>
          <x:t xml:space="preserve">Maintain and refine</x:t>
        </x:is>
      </x:c>
      <x:c r="R145" t="inlineStr">
        <x:is>
          <x:t xml:space="preserve">N</x:t>
        </x:is>
      </x:c>
      <x:c r="S145" s="2" t="inlineStr">
        <x:is>
          <x:t xml:space="preserve">Evidence: dashboard + meeting notes.</x:t>
        </x:is>
      </x:c>
      <x:c r="T145">
        <x:f>($N145)*(IF($D145="G",$E145,0)+IF($F145="G",$G145,0))</x:f>
      </x:c>
      <x:c r="U145">
        <x:f>($N145)*(IF($D145="E",$E145,0)+IF($F145="E",$G145,0))</x:f>
      </x:c>
      <x:c r="V145">
        <x:f>($N145)*(IF($D145="T",$E145,0)+IF($F145="T",$G145,0))</x:f>
      </x:c>
      <x:c r="W145">
        <x:f>($N145)*(IF($D145="L",$E145,0)+IF($F145="L",$G145,0))</x:f>
      </x:c>
      <x:c r="X145">
        <x:f>($N145)*(IF($D145="H",$E145,0)+IF($F145="H",$G145,0))</x:f>
      </x:c>
      <x:c r="Y145">
        <x:f>($N145)*(IF($D145="V",$E145,0)+IF($F145="V",$G145,0))</x:f>
      </x:c>
      <x:c r="Z145">
        <x:f>($N145)*(IF($D145="R",$E145,0)+IF($F145="R",$G145,0))</x:f>
      </x:c>
      <x:c r="AA145">
        <x:f>($N145)*(IF($D145="F",$E145,0)+IF($F145="F",$G145,0))</x:f>
      </x:c>
      <x:c r="AB145">
        <x:f>($N145)*(IF($D145="W",$E145,0)+IF($F145="W",$G145,0))</x:f>
      </x:c>
    </x:row>
    <x:row r="146" ht="40" customHeight="1">
      <x:c r="A146" t="inlineStr">
        <x:is>
          <x:t xml:space="preserve">HR-D8-Q29</x:t>
        </x:is>
      </x:c>
      <x:c r="B146" t="inlineStr">
        <x:is>
          <x:t xml:space="preserve">T3</x:t>
        </x:is>
      </x:c>
      <x:c r="C146" t="inlineStr">
        <x:is>
          <x:t xml:space="preserve">8. Reporting &amp; Metrics</x:t>
        </x:is>
      </x:c>
      <x:c r="D146" t="inlineStr">
        <x:is>
          <x:t xml:space="preserve">E</x:t>
        </x:is>
      </x:c>
      <x:c r="E146" t="n">
        <x:v>1</x:v>
      </x:c>
      <x:c r="F146" t="inlineStr">
        <x:is>
          <x:t xml:space="preserve">-</x:t>
        </x:is>
      </x:c>
      <x:c r="G146" t="inlineStr">
        <x:is>
          <x:t xml:space="preserve"/>
        </x:is>
      </x:c>
      <x:c r="H146" s="2" t="inlineStr">
        <x:is>
          <x:t xml:space="preserve">Do you track timeliness and quality metrics for reports/cases and use them to improve?</x:t>
        </x:is>
      </x:c>
      <x:c r="I146" t="inlineStr">
        <x:is>
          <x:t xml:space="preserve">Use aggregated metrics only (no personal data).</x:t>
        </x:is>
      </x:c>
      <x:c r="J146" t="inlineStr">
        <x:is>
          <x:t xml:space="preserve">Business-proofing</x:t>
        </x:is>
      </x:c>
      <x:c r="K146" t="inlineStr">
        <x:is>
          <x:t xml:space="preserve">OPS_STD</x:t>
        </x:is>
      </x:c>
      <x:c r="L146" t="inlineStr">
        <x:is>
          <x:t xml:space="preserve">HR-D8-Q29-A5</x:t>
        </x:is>
      </x:c>
      <x:c r="M146" s="2" t="inlineStr">
        <x:is>
          <x:t xml:space="preserve">Optimized: metrics linked to trust outcomes and continuous improvement.</x:t>
        </x:is>
      </x:c>
      <x:c r="N146" t="n">
        <x:v>4</x:v>
      </x:c>
      <x:c r="O146" t="inlineStr">
        <x:is>
          <x:t xml:space="preserve"/>
        </x:is>
      </x:c>
      <x:c r="P146" t="inlineStr">
        <x:is>
          <x:t xml:space="preserve">Culture Risk</x:t>
        </x:is>
      </x:c>
      <x:c r="Q146" t="inlineStr">
        <x:is>
          <x:t xml:space="preserve">Maintain maturity</x:t>
        </x:is>
      </x:c>
      <x:c r="R146" t="inlineStr">
        <x:is>
          <x:t xml:space="preserve">N</x:t>
        </x:is>
      </x:c>
      <x:c r="S146" s="2" t="inlineStr">
        <x:is>
          <x:t xml:space="preserve">Evidence: KPI trends + actions.</x:t>
        </x:is>
      </x:c>
      <x:c r="T146">
        <x:f>($N146)*(IF($D146="G",$E146,0)+IF($F146="G",$G146,0))</x:f>
      </x:c>
      <x:c r="U146">
        <x:f>($N146)*(IF($D146="E",$E146,0)+IF($F146="E",$G146,0))</x:f>
      </x:c>
      <x:c r="V146">
        <x:f>($N146)*(IF($D146="T",$E146,0)+IF($F146="T",$G146,0))</x:f>
      </x:c>
      <x:c r="W146">
        <x:f>($N146)*(IF($D146="L",$E146,0)+IF($F146="L",$G146,0))</x:f>
      </x:c>
      <x:c r="X146">
        <x:f>($N146)*(IF($D146="H",$E146,0)+IF($F146="H",$G146,0))</x:f>
      </x:c>
      <x:c r="Y146">
        <x:f>($N146)*(IF($D146="V",$E146,0)+IF($F146="V",$G146,0))</x:f>
      </x:c>
      <x:c r="Z146">
        <x:f>($N146)*(IF($D146="R",$E146,0)+IF($F146="R",$G146,0))</x:f>
      </x:c>
      <x:c r="AA146">
        <x:f>($N146)*(IF($D146="F",$E146,0)+IF($F146="F",$G146,0))</x:f>
      </x:c>
      <x:c r="AB146">
        <x:f>($N146)*(IF($D146="W",$E146,0)+IF($F146="W",$G146,0))</x:f>
      </x:c>
    </x:row>
  </x:sheetData>
  <x:pageMargins left="0.7" right="0.7" top="0.75" bottom="0.75" header="0.3" footer="0.3"/>
</x:worksheet>
</file>