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cobmareen/Documents/"/>
    </mc:Choice>
  </mc:AlternateContent>
  <xr:revisionPtr revIDLastSave="0" documentId="13_ncr:1_{3D5BA7C2-5E64-6C46-841D-FE483823BB12}" xr6:coauthVersionLast="47" xr6:coauthVersionMax="47" xr10:uidLastSave="{00000000-0000-0000-0000-000000000000}"/>
  <bookViews>
    <workbookView xWindow="0" yWindow="600" windowWidth="38400" windowHeight="19820" xr2:uid="{00000000-000D-0000-FFFF-FFFF00000000}"/>
  </bookViews>
  <sheets>
    <sheet name="Action Plan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</calcChain>
</file>

<file path=xl/sharedStrings.xml><?xml version="1.0" encoding="utf-8"?>
<sst xmlns="http://schemas.openxmlformats.org/spreadsheetml/2006/main" count="524" uniqueCount="384">
  <si>
    <t>ID</t>
  </si>
  <si>
    <t>Priority</t>
  </si>
  <si>
    <t>Phase</t>
  </si>
  <si>
    <t>Workstream</t>
  </si>
  <si>
    <t>Deliverable</t>
  </si>
  <si>
    <t>What to do (detailed)</t>
  </si>
  <si>
    <t>Why (business)</t>
  </si>
  <si>
    <t>Why (technical)</t>
  </si>
  <si>
    <t>Where (files/modules)</t>
  </si>
  <si>
    <t>Data/Schema changes</t>
  </si>
  <si>
    <t>API changes</t>
  </si>
  <si>
    <t>UI changes</t>
  </si>
  <si>
    <t>Acceptance criteria (definition of done)</t>
  </si>
  <si>
    <t>Dependencies</t>
  </si>
  <si>
    <t>Effort (S/M/L)</t>
  </si>
  <si>
    <t>Notes</t>
  </si>
  <si>
    <t>P0-01</t>
  </si>
  <si>
    <t>P0</t>
  </si>
  <si>
    <t>Pilot Foundation</t>
  </si>
  <si>
    <t>Adaptive UX</t>
  </si>
  <si>
    <t>Reachable-path sidebar (Gatekeeper-aware)</t>
  </si>
  <si>
    <t>Render sidebar from server-provided reachable question list only. Hide questions behind Gatekeepers until unlocked. Provide optional 'locked' state with tooltip explaining why.</t>
  </si>
  <si>
    <t>Prevents confusion and drop-off; makes the 'neuro-adaptive' promise feel real.</t>
  </si>
  <si>
    <t>Avoids client-side re-implementation of branching rules; single source of truth on server.</t>
  </si>
  <si>
    <t>assessment.html (sidebar render), services/engines (context builder)</t>
  </si>
  <si>
    <t>None</t>
  </si>
  <si>
    <t>Ensure /assessment/{id}/context returns reachable_path + reasons (locked_by, gatekeeper_qid)</t>
  </si>
  <si>
    <t>Collapsible/stretchable sidebar + reachable list + optional locked tooltips</t>
  </si>
  <si>
    <t>In any domain: user sees only relevant/reachable questions; no irrelevant list; no broken navigation.</t>
  </si>
  <si>
    <t>P0-03, P0-04</t>
  </si>
  <si>
    <t>M</t>
  </si>
  <si>
    <t>Make locked tooltip text consistent with your methodology language (Foundational gate, etc.).</t>
  </si>
  <si>
    <t>P0-02</t>
  </si>
  <si>
    <t>Session/Resumption</t>
  </si>
  <si>
    <t>Server-side resume handshake</t>
  </si>
  <si>
    <t>On load and on 'Resume', rebuild userResponses and navigation state from DB (fact_responses) using access token / assessment key; localStorage becomes a cache only.</t>
  </si>
  <si>
    <t>Users can switch devices/browsers; supports auditors and multi-stakeholder completion workflows.</t>
  </si>
  <si>
    <t>Prevents state desync and client-only corruption; improves audit defensibility.</t>
  </si>
  <si>
    <t>assessment.html init(), main.py resume/context routes, repositories/services</t>
  </si>
  <si>
    <t>Ensure fact_responses stores question_id/a_id/score and optional metadata (origin, evidence_confidence)</t>
  </si>
  <si>
    <t>GET /assessments/resume/{assessment_id} (or /assessment/{id}/context) returns responses + next_best_qid</t>
  </si>
  <si>
    <t>Welcome page 'Enter' always calls server; dashboard shows 'Continue' CTA</t>
  </si>
  <si>
    <t>Refresh browser: progress persists; resume restores answers + correct next question without localStorage.</t>
  </si>
  <si>
    <t>Database working; auth mode set for dev</t>
  </si>
  <si>
    <t>Keep DEV_AUTH_DISABLED for alpha; later replace with JWT/tenant auth.</t>
  </si>
  <si>
    <t>P0-03</t>
  </si>
  <si>
    <t>Navigation</t>
  </si>
  <si>
    <t>Next-best-question guidance (stop/return)</t>
  </si>
  <si>
    <t>Compute a deterministic 'next_best_qid' and 'next_best_reason' on server: prioritize (1) marked-for-review, (2) deferred, (3) next unanswered reachable. Add a small 'Continue' card on dashboard.</t>
  </si>
  <si>
    <t>Directly addresses user dropout and improves completion rates; makes product feel guided.</t>
  </si>
  <si>
    <t>Centralizes routing and prevents UI guessing; reduces 'random jumps'.</t>
  </si>
  <si>
    <t>services.py (assessment context), engines.py (routing helper), assessment.html dashboard</t>
  </si>
  <si>
    <t>Optionally store last_seen_qid per assessment for analytics; not required</t>
  </si>
  <si>
    <t>Include next_best_qid in context response</t>
  </si>
  <si>
    <t>Dashboard card: Continue / Review / Deferred sections</t>
  </si>
  <si>
    <t>If user exits mid-question: reopening takes them to the most relevant next step with explanation.</t>
  </si>
  <si>
    <t>Also log routing decisions for later tuning.</t>
  </si>
  <si>
    <t>P0-04</t>
  </si>
  <si>
    <t>Security</t>
  </si>
  <si>
    <t>Non-guessable assessment IDs</t>
  </si>
  <si>
    <t>Stop client-generated short IDs. Create assessments server-side with UUID/ULID. Provide a shareable 'assessment key' that is long, unguessable, and can be revoked later.</t>
  </si>
  <si>
    <t>Prevents accidental data exposure; increases enterprise trust.</t>
  </si>
  <si>
    <t>Eliminates enumeration risk; enables multi-tenant future.</t>
  </si>
  <si>
    <t>assessment.html (new assessment), main.py create assessment endpoint, auth.py</t>
  </si>
  <si>
    <t>Add assessments table fields: assessment_id (ulid/uuid), created_at, mode, override_depth flag</t>
  </si>
  <si>
    <t>POST /assessments to create; return id + token (dev mode still frictionless)</t>
  </si>
  <si>
    <t>Replace ID input flow: 'Start new' calls server; optionally allow custom label (not name).</t>
  </si>
  <si>
    <t>Attempting to guess IDs yields 404/401; IDs are high entropy; new flow works in dev.</t>
  </si>
  <si>
    <t>S</t>
  </si>
  <si>
    <t>In alpha: you can still display the ID clearly and offer copy button.</t>
  </si>
  <si>
    <t>P0-05</t>
  </si>
  <si>
    <t>Scoring Core</t>
  </si>
  <si>
    <t>Declared vs Verified scoring separation</t>
  </si>
  <si>
    <t>Classify questions into Declared vs Verified (based on tier/metadata). Compute both sets separately per axis &amp; domain; compute SI gap. Store in report snapshot.</t>
  </si>
  <si>
    <t>Creates C-level defensibility; reveals paper programs vs reality; drives program roadmap urgency.</t>
  </si>
  <si>
    <t>Implements core IRMMF v6.1 methodology; avoids averaging away contradictions.</t>
  </si>
  <si>
    <t>engines.py (scoring), services.py (analysis), schemas.py (analysis payload)</t>
  </si>
  <si>
    <t>Add per-response: layer (declared/verified) or infer from question.tier; store in snapshots.</t>
  </si>
  <si>
    <t>GET /responses/analysis/{assessment_id} returns declared_vector, verified_vector, gap_vector</t>
  </si>
  <si>
    <t>Results page: show SI gap &amp; explain meaning; add 'confidence' overlay later</t>
  </si>
  <si>
    <t>A scenario with high declared + low verified triggers Paper Dragon SI gap flag; results clearly show both.</t>
  </si>
  <si>
    <t>P0-06</t>
  </si>
  <si>
    <t>Keep rules in one engine module and version it.</t>
  </si>
  <si>
    <t>Circuit breakers (Fatigue &amp; Shadow caps) + Alpha penalty</t>
  </si>
  <si>
    <t>After base scoring, apply: (a) Fatigue cap (H low caps R), (b) Shadow cap (V low caps G), (c) Alpha penalty: if cw&gt;1.2 and response&lt;th =&gt; multiply by 0.3 (or as specified).</t>
  </si>
  <si>
    <t>Prevents greenwashing; surfaces high-risk archetypes; increases trust with auditors.</t>
  </si>
  <si>
    <t>Aligns output with IRMMF v6.1 'hard-coded' logic rules.</t>
  </si>
  <si>
    <t>engines.py scoring post-processing; main.py analysis endpoint</t>
  </si>
  <si>
    <t>None (analysis payload includes flags indicating caps applied)</t>
  </si>
  <si>
    <t>Results: show 'caps applied' badges and affected axes</t>
  </si>
  <si>
    <t>Given inputs that satisfy cap conditions, output is capped and flags show why.</t>
  </si>
  <si>
    <t>Make cap thresholds configurable by engine version.</t>
  </si>
  <si>
    <t>P0-07</t>
  </si>
  <si>
    <t>Evidence (No Upload)</t>
  </si>
  <si>
    <t>Evidence attestation + challenge micro-questions</t>
  </si>
  <si>
    <t>For relevant questions: ask 'Do you have evidence?' then 3–6 micro-questions to assess evidence maturity (freshness, scope, independence, sampling, traceability). No file uploads. Store structured JSON and compute evidence_confidence.</t>
  </si>
  <si>
    <t>Avoids NDA/file friction; increases credibility; reduces overstatement risk.</t>
  </si>
  <si>
    <t>Adds a confidence signal without handling documents; supports future connectors.</t>
  </si>
  <si>
    <t>assessment.html (option expand / dropdown), schemas.py, models.py (response metadata), engines.py (confidence)</t>
  </si>
  <si>
    <t>Add columns/JSON: fact_responses.evidence (jsonb), evidence_confidence (float), evidence_policy_id ref</t>
  </si>
  <si>
    <t>Update POST /responses/submit to accept evidence payload</t>
  </si>
  <si>
    <t>Inline dropdown on certain answers; quick 30–60s flow; optional notes field</t>
  </si>
  <si>
    <t>Users can complete without uploads; evidence confidence computed and shown in report appendix.</t>
  </si>
  <si>
    <t>Implement via templates keyed by evidence_policy_id, but allow per-question overrides.</t>
  </si>
  <si>
    <t>P0-08</t>
  </si>
  <si>
    <t>UX Controls</t>
  </si>
  <si>
    <t>Mark for review + overview</t>
  </si>
  <si>
    <t>Add 'Mark for review' button (separate from Defer). Show a dashboard section listing review items; prioritize these in next-best routing.</t>
  </si>
  <si>
    <t>Supports audit workflows and multi-stakeholder validation.</t>
  </si>
  <si>
    <t>Adds separate state bucket; improves routing logic.</t>
  </si>
  <si>
    <t>assessment.html, services.py context builder</t>
  </si>
  <si>
    <t>Store review marks in fact_responses metadata or a separate table</t>
  </si>
  <si>
    <t>Include marked_for_review list in context response</t>
  </si>
  <si>
    <t>Add button + dashboard list + counts</t>
  </si>
  <si>
    <t>Marked items persist server-side; appear on dashboard; routing prioritizes them.</t>
  </si>
  <si>
    <t>P0-02, P0-03</t>
  </si>
  <si>
    <t>You can later add 'assign to role' for review items.</t>
  </si>
  <si>
    <t>P0-09</t>
  </si>
  <si>
    <t>Performance</t>
  </si>
  <si>
    <t>Add core indexes for heavy filtering</t>
  </si>
  <si>
    <t>Ensure indexes exist on dim_questions(domain,tier), dim_answers(question_id), fact_responses(assessment_id,q_id), etc.</t>
  </si>
  <si>
    <t>Faster UX; critical when multiple users/tenants; avoids lag that kills completion.</t>
  </si>
  <si>
    <t>Prevents full-table scans; lowers DB load.</t>
  </si>
  <si>
    <t>database.py startup ensure_indexes or migrations</t>
  </si>
  <si>
    <t>SQL indexes only</t>
  </si>
  <si>
    <t>Queries for /questions/all and /context stay fast (&lt;300ms locally; &lt;1s in pilot infra).</t>
  </si>
  <si>
    <t>DB schema stable</t>
  </si>
  <si>
    <t>Move to Alembic migrations once stable.</t>
  </si>
  <si>
    <t>P1-01</t>
  </si>
  <si>
    <t>P1</t>
  </si>
  <si>
    <t>Enterprise Core</t>
  </si>
  <si>
    <t>Adaptive Logic</t>
  </si>
  <si>
    <t>Override depth toggle (alpha) with origin tagging</t>
  </si>
  <si>
    <t>Add UI toggle 'Explore deeper questions' and store override_depth at assessment level. Tag each response origin=adaptive|override. Default scoring excludes override answers from benchmarks; include in appendix.</t>
  </si>
  <si>
    <t>Lets CISOs/auditors go deeper without breaking adaptive promise; supports small-but-mature orgs.</t>
  </si>
  <si>
    <t>Prevents override answers from contaminating adaptive path analytics and benchmarks.</t>
  </si>
  <si>
    <t>assessment.html (toggle), services.py (routing), models.py (assessment, response metadata)</t>
  </si>
  <si>
    <t>assessments.override_depth bool; fact_responses.origin enum/text</t>
  </si>
  <si>
    <t>POST /assessments, GET /context includes override state</t>
  </si>
  <si>
    <t>Toggle + banner explaining implications; lock icon changes</t>
  </si>
  <si>
    <t>With override off, deep questions hidden. With override on, they appear and are labeled 'override'.</t>
  </si>
  <si>
    <t>P0-01, P0-05</t>
  </si>
  <si>
    <t>Also record why user enabled override (optional short selection).</t>
  </si>
  <si>
    <t>P1-02</t>
  </si>
  <si>
    <t>Archetypes</t>
  </si>
  <si>
    <t>Expanded archetype engine (single output) + future-proofing</t>
  </si>
  <si>
    <t>Implement archetype scoring rules per axis patterns + SI gaps. Output one primary archetype + rationale bullets. Store runner-up and confidence internally for future.</t>
  </si>
  <si>
    <t>Creates a compelling C-level story; supports advisory upsell and program design.</t>
  </si>
  <si>
    <t>Aligns classification with methodology; avoids misleading labels.</t>
  </si>
  <si>
    <t>engines.py (archetype rules), services.py (analysis), schemas.py (report)</t>
  </si>
  <si>
    <t>report_snapshots store archetype_details JSON</t>
  </si>
  <si>
    <t>Results page shows archetype card + 'why' bullets</t>
  </si>
  <si>
    <t>Given known test profiles, archetype matches expected; rationale is explainable and traceable.</t>
  </si>
  <si>
    <t>P0-05, P0-06</t>
  </si>
  <si>
    <t>L</t>
  </si>
  <si>
    <t>Start with ~6–10 archetypes; expand over time.</t>
  </si>
  <si>
    <t>P1-03</t>
  </si>
  <si>
    <t>Recommendations</t>
  </si>
  <si>
    <t>Recommendation databank (archetype + domain + axis)</t>
  </si>
  <si>
    <t>Build a recommendation library keyed by (archetype, low axes, high gaps, fracture tags). Output top 5 prioritized actions with sequencing (30/60/90 days).</t>
  </si>
  <si>
    <t>Turns assessment into an IRM program blueprint; drives advisory engagement.</t>
  </si>
  <si>
    <t>Decouples content from code; allows updates without redeploying core scoring.</t>
  </si>
  <si>
    <t>services.py (recommendations), new data file/table rec_library, report generation</t>
  </si>
  <si>
    <t>New table or JSON file with versioning; store which recs were shown in snapshot</t>
  </si>
  <si>
    <t>Add /recommendations endpoint (optional)</t>
  </si>
  <si>
    <t>Results page + export: 'Top actions'</t>
  </si>
  <si>
    <t>Report always produces actionable plan with owners/timelines; consistent across runs via snapshot.</t>
  </si>
  <si>
    <t>Authoring effort: start with 30–60 core recommendations.</t>
  </si>
  <si>
    <t>P1-04</t>
  </si>
  <si>
    <t>Scoring Model</t>
  </si>
  <si>
    <t>Domain + Axis scoring combined views</t>
  </si>
  <si>
    <t>Compute axis scores using question axis1/axis2 weights; compute domain rollups separately. Present both: Axis radar + Domain heatmap/table.</t>
  </si>
  <si>
    <t>Executives want domain view; technical teams want axis signal; reduces misinterpretation.</t>
  </si>
  <si>
    <t>Fixes current conflation of domain vs axis; respects question weighting.</t>
  </si>
  <si>
    <t>engines.py scoring, schemas.py output, assessment.html results</t>
  </si>
  <si>
    <t>Results tabs: Axis view / Domain view / Role view</t>
  </si>
  <si>
    <t>Axis scores change appropriately when dual-axis weights are adjusted; domain rollups stable and explainable.</t>
  </si>
  <si>
    <t>Keep weighting in data (Excel) so analysts can tune without code.</t>
  </si>
  <si>
    <t>P1-05</t>
  </si>
  <si>
    <t>Intake</t>
  </si>
  <si>
    <t>Light, anonymous intake for benchmarking + routing (no company name)</t>
  </si>
  <si>
    <t>Implement minimal intake (industry bucket, region bucket, size band optional, regulated flags). Use it for benchmark tags and initial depth suggestion. Do not block small-but-mature: allow early maturity signals to promote depth.</t>
  </si>
  <si>
    <t>Reduces friction, supports anonymity, enables benchmarking and tailored flow.</t>
  </si>
  <si>
    <t>Enables cohort analytics; supports future external benchmarks.</t>
  </si>
  <si>
    <t>index.html / intake UI, services.py intake engine, models.py intake responses</t>
  </si>
  <si>
    <t>Store benchmark_tags JSON in assessment or snapshot</t>
  </si>
  <si>
    <t>POST /intake/submit, GET /intake/options</t>
  </si>
  <si>
    <t>Simple intake wizard (5–10 items), optional</t>
  </si>
  <si>
    <t>Assessment can proceed without company name; benchmark tags captured; depth suggestion computed.</t>
  </si>
  <si>
    <t>P0-02, P1-01</t>
  </si>
  <si>
    <t>Later: allow client to add name only to exported report.</t>
  </si>
  <si>
    <t>P1-06</t>
  </si>
  <si>
    <t>UX / IA</t>
  </si>
  <si>
    <t>Kick-start gatekeepers as separate step</t>
  </si>
  <si>
    <t>Create a short 'Kick-start Assessment' phase containing only Tier1 gatekeepers across domains. After completion: show recommended path (Core/Standard/Deep) + override toggle.</t>
  </si>
  <si>
    <t>Feels logical; reduces random jumping; sets expectations on scope/time.</t>
  </si>
  <si>
    <t>Provides stable initial state for routing engine and progress metrics.</t>
  </si>
  <si>
    <t>assessment.html flow + routing engine</t>
  </si>
  <si>
    <t>New endpoint optional: /gatekeepers/list</t>
  </si>
  <si>
    <t>New welcome flow steps</t>
  </si>
  <si>
    <t>Users complete gatekeepers first; then enter main assessment with pruned path.</t>
  </si>
  <si>
    <t>P0-01, P1-05</t>
  </si>
  <si>
    <t>Also improves low-maturity experience (clear start).</t>
  </si>
  <si>
    <t>P1-07</t>
  </si>
  <si>
    <t>Low Maturity / Shadow</t>
  </si>
  <si>
    <t>Shadow maturity capture pack</t>
  </si>
  <si>
    <t>Add a small question pack to detect 'pockets of excellence' in otherwise low-maturity orgs (localized controls, strong teams). Include 'scale this' recommendations.</t>
  </si>
  <si>
    <t>Avoids demoralizing all-red results; creates realistic roadmap and upsell path.</t>
  </si>
  <si>
    <t>Improves signal quality; distinguishes low maturity from zero capability.</t>
  </si>
  <si>
    <t>Excel question bank additions + scoring tags + recommendations</t>
  </si>
  <si>
    <t>New questions and tags; update ingest</t>
  </si>
  <si>
    <t>UI: show 'strength pockets' section in results</t>
  </si>
  <si>
    <t>Low-maturity org can still show localized strengths; report includes scale actions.</t>
  </si>
  <si>
    <t>Use evidence confidence to avoid false positives.</t>
  </si>
  <si>
    <t>P1-08</t>
  </si>
  <si>
    <t>Role Lenses</t>
  </si>
  <si>
    <t>Role/Function dashboards (CISO / IA / HR views)</t>
  </si>
  <si>
    <t>Add role views: filter questions and results by role packs; allow stakeholders to focus and collaborate. Tailor question wording/add-ons for IA &amp; HR.</t>
  </si>
  <si>
    <t>Improves completion and accuracy; increases adoption across org.</t>
  </si>
  <si>
    <t>Enables multi-user later; supports modular content expansion.</t>
  </si>
  <si>
    <t>assessment.html dashboard, question metadata (role tags), services.py filtering</t>
  </si>
  <si>
    <t>Add role_tag to questions (already exists in bank map) and store per-response role</t>
  </si>
  <si>
    <t>Optional: /questions/by_role</t>
  </si>
  <si>
    <t>Dashboard toggle: Overall vs Role view</t>
  </si>
  <si>
    <t>Role view shows only relevant domains/questions; report includes stakeholder appendices.</t>
  </si>
  <si>
    <t>Start with view-only filtering; later add assignments.</t>
  </si>
  <si>
    <t>P2-01</t>
  </si>
  <si>
    <t>P2</t>
  </si>
  <si>
    <t>Differentiators</t>
  </si>
  <si>
    <t>Results</t>
  </si>
  <si>
    <t>Risk heatmap + risk catalog</t>
  </si>
  <si>
    <t>Define a risk catalog (e.g., IP leakage, privileged misuse, shadow AI exfil). Map question tags/axes patterns to risk likelihood/impact. Render heatmap in results and export.</t>
  </si>
  <si>
    <t>Executives understand heatmaps; supports board reporting; accelerates advisory conversations.</t>
  </si>
  <si>
    <t>Provides a stable taxonomy; supports integrations later.</t>
  </si>
  <si>
    <t>engines.py (risk mapping), new risk_catalog data, assessment.html results</t>
  </si>
  <si>
    <t>New risk definitions JSON/table; store top risks in snapshot</t>
  </si>
  <si>
    <t>Heatmap + top risks list + drilldown</t>
  </si>
  <si>
    <t>Heatmap reflects changes in answers; top risks have clear rationale and linked questions.</t>
  </si>
  <si>
    <t>P1-04, P1-03</t>
  </si>
  <si>
    <t>Start with 10–15 risks; expand later.</t>
  </si>
  <si>
    <t>P2-02</t>
  </si>
  <si>
    <t>Optional Modules</t>
  </si>
  <si>
    <t>Conditional regulatory / topical add-ons (not optional by default)</t>
  </si>
  <si>
    <t>Implement add-on modules: Whistleblowing, IRM standards/laws, NIS2, DORA. Ask only when relevant (intake triggers) and when maturity suggests depth is useful.</t>
  </si>
  <si>
    <t>Improves relevance; sells premium modules; avoids survey bloat.</t>
  </si>
  <si>
    <t>Modular question selection; prevents irrelevant questions.</t>
  </si>
  <si>
    <t>Excel bank + intake triggers + routing engine</t>
  </si>
  <si>
    <t>Module flags in assessment context/snapshot</t>
  </si>
  <si>
    <t>UI: module status + optional override to include</t>
  </si>
  <si>
    <t>Modules appear only when triggered; can be enabled manually with explicit acknowledgment.</t>
  </si>
  <si>
    <t>P1-05, P1-01</t>
  </si>
  <si>
    <t>Treat as separate packs with their own reporting sections.</t>
  </si>
  <si>
    <t>P2-03</t>
  </si>
  <si>
    <t>Coverage</t>
  </si>
  <si>
    <t>IP risk coverage expansion</t>
  </si>
  <si>
    <t>Add IP-focused controls: code repo access, contractor controls, data classification for trade secrets, exfil detection, M&amp;A boundary controls, legal response readiness.</t>
  </si>
  <si>
    <t>IP risk is a primary insider risk driver; increases business relevance.</t>
  </si>
  <si>
    <t>Improves domain completeness and risk mapping.</t>
  </si>
  <si>
    <t>Question bank + risk catalog</t>
  </si>
  <si>
    <t>New questions/tags</t>
  </si>
  <si>
    <t>UI: appears only if intake indicates IP-heavy org or via override</t>
  </si>
  <si>
    <t>Report includes IP risk section and prioritized actions.</t>
  </si>
  <si>
    <t>Also aligns to persona/risk taxonomy.</t>
  </si>
  <si>
    <t>P2-04</t>
  </si>
  <si>
    <t>Personas</t>
  </si>
  <si>
    <t>Persona signals module</t>
  </si>
  <si>
    <t>Introduce persona detection as hypotheses (not accusations): 'disgruntled admin', 'shadow innovator', 'departing engineer'. Add guidance on signals to monitor and safe mitigations.</t>
  </si>
  <si>
    <t>Highly compelling to executives; improves program readiness.</t>
  </si>
  <si>
    <t>Adds structured reasoning without needing sensitive data.</t>
  </si>
  <si>
    <t>Question bank + reporting + risk catalog</t>
  </si>
  <si>
    <t>Persona taxonomy JSON; store detected personas in snapshot</t>
  </si>
  <si>
    <t>Results: persona cards with cautionary language</t>
  </si>
  <si>
    <t>Persona suggestions are traceable to signals; output remains privacy-safe.</t>
  </si>
  <si>
    <t>Keep it advisory; avoid stigmatizing individuals.</t>
  </si>
  <si>
    <t>P2-05</t>
  </si>
  <si>
    <t>Integrations</t>
  </si>
  <si>
    <t>Connector framework (metadata only)</t>
  </si>
  <si>
    <t>Create connector interfaces (IdP, MDM, SIEM, DLP/CASB). Pull counts/timestamps/coverage%. Use to adjust evidence confidence and trigger targeted follow-ups.</t>
  </si>
  <si>
    <t>Reduces self-report bias; strong enterprise differentiator.</t>
  </si>
  <si>
    <t>Privacy-first integration; no documents or PII; future automation.</t>
  </si>
  <si>
    <t>New integrations module + services.py + scoring engine</t>
  </si>
  <si>
    <t>connector_snapshots table; store in snapshot</t>
  </si>
  <si>
    <t>New endpoints: /connectors/status, /connectors/ingest (admin)</t>
  </si>
  <si>
    <t>UI: optional 'connectors' page (pilot)</t>
  </si>
  <si>
    <t>With connectors enabled, report shows 'verified via telemetry' confidence boost and follow-ups.</t>
  </si>
  <si>
    <t>Start with manual CSV import to validate value before APIs.</t>
  </si>
  <si>
    <t>P2-06</t>
  </si>
  <si>
    <t>AI Assist</t>
  </si>
  <si>
    <t>AI analysis add-on (cost staged)</t>
  </si>
  <si>
    <t>Phase 1 (low cost): rules-based narrative summarizer using archetype + top risks + recs. Phase 2: LLM summary from structured outputs only. Phase 3: private deployment options.</t>
  </si>
  <si>
    <t>Adds premium value; speeds advisory insights; compelling demos.</t>
  </si>
  <si>
    <t>Keeps privacy by avoiding raw PII and avoiding document ingestion.</t>
  </si>
  <si>
    <t>New ai_assistant service; report generator</t>
  </si>
  <si>
    <t>Store ai_summary in snapshot</t>
  </si>
  <si>
    <t>Optional endpoint /analysis/summary</t>
  </si>
  <si>
    <t>Results: 'Executive narrative' section</t>
  </si>
  <si>
    <t>AI summary is consistent, cites drivers, and never leaks sensitive data.</t>
  </si>
  <si>
    <t>P1-03, P2-01</t>
  </si>
  <si>
    <t>Cost depends on usage; start with deterministic templates first.</t>
  </si>
  <si>
    <t>P2-07</t>
  </si>
  <si>
    <t>UI/Brand</t>
  </si>
  <si>
    <t>Belfort Advisory theming + layout polish</t>
  </si>
  <si>
    <t>Apply brand palette (#e8b373, #907054, #011E3D) and typography (Spartan headings, Montserrat body). Improve spacing, focus states, accessibility contrast.</t>
  </si>
  <si>
    <t>Professional polish increases trust and conversion.</t>
  </si>
  <si>
    <t>Improves usability and reduces perceived prototype feel.</t>
  </si>
  <si>
    <t>assessment.html CSS + shared styles</t>
  </si>
  <si>
    <t>Update CSS + ensure responsive behavior</t>
  </si>
  <si>
    <t>All pages reflect brand; no contrast/accessibility regressions; feels enterprise-grade.</t>
  </si>
  <si>
    <t>Keep a theme file to avoid editing many pages.</t>
  </si>
  <si>
    <t>P2-08</t>
  </si>
  <si>
    <t>UI/Controls</t>
  </si>
  <si>
    <t>Sidebar collapsible/stretchable</t>
  </si>
  <si>
    <t>Add collapse button, width drag handle, remember preference in localStorage.</t>
  </si>
  <si>
    <t>Supports different workflows (review vs answering).</t>
  </si>
  <si>
    <t>Improves layout flexibility and mobile usability.</t>
  </si>
  <si>
    <t>assessment.html</t>
  </si>
  <si>
    <t>UI controls added</t>
  </si>
  <si>
    <t>Sidebar can collapse and resize without breaking content; preference persists.</t>
  </si>
  <si>
    <t>Combine with role view navigation.</t>
  </si>
  <si>
    <t>P2-09</t>
  </si>
  <si>
    <t>UI/Review</t>
  </si>
  <si>
    <t>Overview table page (domain x questions x answers)</t>
  </si>
  <si>
    <t>Create a review page with a large table: question, selected answer, evidence confidence, marked/deferred flags, domain/axis tags. Export CSV.</t>
  </si>
  <si>
    <t>Auditors love this; speeds internal review and sign-off.</t>
  </si>
  <si>
    <t>Provides a deterministic artifact and reduces UI navigation complexity.</t>
  </si>
  <si>
    <t>assessment.html new tab + API endpoint to fetch table view</t>
  </si>
  <si>
    <t>GET /responses/table/{assessment_id}</t>
  </si>
  <si>
    <t>New tab: Review Table</t>
  </si>
  <si>
    <t>Table renders quickly and matches DB state; can export.</t>
  </si>
  <si>
    <t>Later: add filters by role/domain/flag.</t>
  </si>
  <si>
    <t>P3-01</t>
  </si>
  <si>
    <t>P3</t>
  </si>
  <si>
    <t>Scale</t>
  </si>
  <si>
    <t>Auth/Multi-tenancy</t>
  </si>
  <si>
    <t>Tenant isolation + RBAC + production auth</t>
  </si>
  <si>
    <t>Introduce tenant table, tenant_key, RBAC (CISO/IA/HR). Replace dev auth with JWT/OIDC later. Add audit logs and revocation for assessment keys.</t>
  </si>
  <si>
    <t>Required for real enterprise deployment and commercial sales.</t>
  </si>
  <si>
    <t>Prevents cross-tenant leakage; supports multiple stakeholders.</t>
  </si>
  <si>
    <t>auth.py, models.py, repositories/services, DB migrations</t>
  </si>
  <si>
    <t>Add tenant_id to all fact tables; user table; audit log table</t>
  </si>
  <si>
    <t>Auth endpoints + middleware</t>
  </si>
  <si>
    <t>Login flow + org workspace</t>
  </si>
  <si>
    <t>All data isolated by tenant; keys cannot access other tenants; RBAC enforced.</t>
  </si>
  <si>
    <t>Keep dev bypass for local dev only.</t>
  </si>
  <si>
    <t>P3-02</t>
  </si>
  <si>
    <t>Ops</t>
  </si>
  <si>
    <t>Migrations + tests + feature flags</t>
  </si>
  <si>
    <t>Adopt Alembic migrations; add golden tests for archetypes, scoring invariants, branching. Introduce feature flags for new engines.</t>
  </si>
  <si>
    <t>Allows safe evolution without breaking pilots; supports regulated buyers.</t>
  </si>
  <si>
    <t>Prevents schema drift and regression.</t>
  </si>
  <si>
    <t>alembic/, tests.py, CI pipeline</t>
  </si>
  <si>
    <t>Migration scripts</t>
  </si>
  <si>
    <t>Fresh DB bootstrap succeeds; tests cover core logic; scoring changes are gated.</t>
  </si>
  <si>
    <t>Stable milestone of P1</t>
  </si>
  <si>
    <t>Also helps manage question-bank version upgrades.</t>
  </si>
  <si>
    <t>P3-03</t>
  </si>
  <si>
    <t>Reporting</t>
  </si>
  <si>
    <t>Immutable snapshots + report generation pipeline</t>
  </si>
  <si>
    <t>Finalize snapshot model: store bank hash, engine version, results JSON, recs, AI narrative. Add PDF/slide export later.</t>
  </si>
  <si>
    <t>Board-ready artifacts drive program funding and advisory engagement.</t>
  </si>
  <si>
    <t>Ensures results are reproducible even when bank updates.</t>
  </si>
  <si>
    <t>models.py report_snapshots, services.py, export module</t>
  </si>
  <si>
    <t>report_snapshots JSONB fields</t>
  </si>
  <si>
    <t>POST /reports/generate, GET /reports/{id}</t>
  </si>
  <si>
    <t>Download buttons in UI</t>
  </si>
  <si>
    <t>Report exports match snapshot exactly; changing bank doesn't change old reports.</t>
  </si>
  <si>
    <t>Start with HTML export, then PDF.</t>
  </si>
  <si>
    <t>IRMMF v6.1 — Program/Action Plan (generated)</t>
  </si>
  <si>
    <t>Generated: 2026-01-11</t>
  </si>
  <si>
    <t>How to use:</t>
  </si>
  <si>
    <t>1) Filter by Priority (P0–P3) and Phase.</t>
  </si>
  <si>
    <t>2) Sort by Workstream to assign owners.</t>
  </si>
  <si>
    <t>3) Use Acceptance criteria as definition-of-done for tickets.</t>
  </si>
  <si>
    <t>Key decisions embedded:</t>
  </si>
  <si>
    <t>- Override depth is enabled in alpha; responses must be tagged origin=adaptive|override.</t>
  </si>
  <si>
    <t>- No 'Not Applicable' option for now.</t>
  </si>
  <si>
    <t>- Evidence uses per-question micro-questions driven by templates keyed by evidence_policy_id (no file uploads).</t>
  </si>
  <si>
    <t>- Archetype output is single primary result; keep internal runner-up for future without changing UI.</t>
  </si>
  <si>
    <t>- Benchmarking: support external peer groups later; intake remains anonymous.</t>
  </si>
  <si>
    <t>- Connectors: metadata-only stage 1; used for confidence and follow-ups, not raw scoring initially.</t>
  </si>
  <si>
    <t>Status</t>
  </si>
  <si>
    <t>Not started</t>
  </si>
  <si>
    <t>Implemented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</si>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</sst>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1E3D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3" borderId="0" xfId="1"/>
  </cellXfs>
  <cellStyles count="2">
    <cellStyle name="Neutral" xfId="1" builtinId="28"/>
    <cellStyle name="Normal" xfId="0" builtinId="0"/>
  </cellStyles>
  <dxfs count="1">
    <dxf>
      <numFmt numFmtId="0" formatCode="General"/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MMF_ActionPlan" displayName="IRMMF_ActionPlan" ref="A1:R30">
  <autoFilter ref="A1:R30" xr:uid="{00000000-0009-0000-0100-000001000000}"/>
  <tableColumns count="18">
    <tableColumn id="1" xr3:uid="{00000000-0010-0000-0000-000001000000}" name="ID"/>
    <tableColumn id="2" xr3:uid="{00000000-0010-0000-0000-000002000000}" name="Priority"/>
    <tableColumn id="3" xr3:uid="{00000000-0010-0000-0000-000003000000}" name="Phase"/>
    <tableColumn id="4" xr3:uid="{00000000-0010-0000-0000-000004000000}" name="Workstream"/>
    <tableColumn id="5" xr3:uid="{00000000-0010-0000-0000-000005000000}" name="Deliverable"/>
    <tableColumn id="6" xr3:uid="{00000000-0010-0000-0000-000006000000}" name="What to do (detailed)"/>
    <tableColumn id="7" xr3:uid="{00000000-0010-0000-0000-000007000000}" name="Why (business)"/>
    <tableColumn id="8" xr3:uid="{00000000-0010-0000-0000-000008000000}" name="Why (technical)"/>
    <tableColumn id="9" xr3:uid="{00000000-0010-0000-0000-000009000000}" name="Where (files/modules)"/>
    <tableColumn id="10" xr3:uid="{00000000-0010-0000-0000-00000A000000}" name="Data/Schema changes"/>
    <tableColumn id="11" xr3:uid="{00000000-0010-0000-0000-00000B000000}" name="API changes"/>
    <tableColumn id="12" xr3:uid="{00000000-0010-0000-0000-00000C000000}" name="UI changes"/>
    <tableColumn id="13" xr3:uid="{00000000-0010-0000-0000-00000D000000}" name="Acceptance criteria (definition of done)"/>
    <tableColumn id="14" xr3:uid="{00000000-0010-0000-0000-00000E000000}" name="Dependencies"/>
    <tableColumn id="15" xr3:uid="{00000000-0010-0000-0000-00000F000000}" name="Effort (S/M/L)"/>
    <tableColumn id="16" xr3:uid="{00000000-0010-0000-0000-000010000000}" name="Notes"/>
    <tableColumn id="18" xr3:uid="{7E537DF2-DC14-464E-9604-94DF9CF39EDD}" name="Column1" dataDxfId="0">
      <calculatedColumnFormula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calculatedColumnFormula>
    </tableColumn>
    <tableColumn id="17" xr3:uid="{8D778793-5D0D-354A-BFAE-43EF18815C1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F1" workbookViewId="0">
      <pane ySplit="1" topLeftCell="A3" activePane="bottomLeft" state="frozen"/>
      <selection pane="bottomLeft" activeCell="F25" sqref="A25:XFD25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4" width="18" customWidth="1"/>
    <col min="5" max="5" width="28" customWidth="1"/>
    <col min="6" max="6" width="55" customWidth="1"/>
    <col min="7" max="8" width="28" customWidth="1"/>
    <col min="9" max="9" width="26" customWidth="1"/>
    <col min="10" max="12" width="22" customWidth="1"/>
    <col min="13" max="13" width="40" customWidth="1"/>
    <col min="14" max="14" width="18" customWidth="1"/>
    <col min="15" max="15" width="10" customWidth="1"/>
    <col min="16" max="17" width="22" customWidth="1"/>
    <col min="18" max="18" width="12.1640625" bestFit="1" customWidth="1"/>
  </cols>
  <sheetData>
    <row r="1" spans="1:1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383</v>
      </c>
      <c r="R1" t="s">
        <v>380</v>
      </c>
    </row>
    <row r="2" spans="1:18" ht="80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P0-01,P0,Pilot Foundation,Adaptive UX,Reachable-path sidebar (Gatekeeper-aware),Render sidebar from server-provided reachable question list only. Hide questions behind Gatekeepers until unlocked. Provide optional 'locked' state with tooltip explaining why.,Prevents confusion and drop-off; makes the 'neuro-adaptive' promise feel real.,Avoids client-side re-implementation of branching rules; single source of truth on server.,assessment.html (sidebar render), services/engines (context builder),None,Ensure /assessment/{id}/context returns reachable_path + reasons (locked_by, gatekeeper_qid),Collapsible/stretchable sidebar + reachable list + optional locked tooltips,In any domain: user sees only relevant/reachable questions; no irrelevant list; no broken navigation.,P0-03, P0-04,M,Make locked tooltip text consistent with your methodology language (Foundational gate, etc.).</v>
      </c>
      <c r="R2" t="s">
        <v>381</v>
      </c>
    </row>
    <row r="3" spans="1:18" ht="96" x14ac:dyDescent="0.2">
      <c r="A3" s="2" t="s">
        <v>32</v>
      </c>
      <c r="B3" s="2" t="s">
        <v>17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30</v>
      </c>
      <c r="P3" s="2" t="s">
        <v>44</v>
      </c>
      <c r="Q3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P0-02,P0,Pilot Foundation,Session/Resumption,Server-side resume handshake,On load and on 'Resume', rebuild userResponses and navigation state from DB (fact_responses) using access token / assessment key; localStorage becomes a cache only.,Users can switch devices/browsers; supports auditors and multi-stakeholder completion workflows.,Prevents state desync and client-only corruption; improves audit defensibility.,assessment.html init(), main.py resume/context routes, repositories/services,Ensure fact_responses stores question_id/a_id/score and optional metadata (origin, evidence_confidence),GET /assessments/resume/{assessment_id} (or /assessment/{id}/context) returns responses + next_best_qid,Welcome page 'Enter' always calls server; dashboard shows 'Continue' CTA,Refresh browser: progress persists; resume restores answers + correct next question without localStorage.,Database working; auth mode set for dev,M,Keep DEV_AUTH_DISABLED for alpha; later replace with JWT/tenant auth.</v>
      </c>
      <c r="R3" s="4" t="s">
        <v>382</v>
      </c>
    </row>
    <row r="4" spans="1:18" ht="64" x14ac:dyDescent="0.2">
      <c r="A4" s="2" t="s">
        <v>45</v>
      </c>
      <c r="B4" s="2" t="s">
        <v>17</v>
      </c>
      <c r="C4" s="2" t="s">
        <v>18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32</v>
      </c>
      <c r="O4" s="2" t="s">
        <v>30</v>
      </c>
      <c r="P4" s="2" t="s">
        <v>56</v>
      </c>
      <c r="Q4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P0-03,P0,Pilot Foundation,Navigation,Next-best-question guidance (stop/return),Compute a deterministic 'next_best_qid' and 'next_best_reason' on server: prioritize (1) marked-for-review, (2) deferred, (3) next unanswered reachable. Add a small 'Continue' card on dashboard.,Directly addresses user dropout and improves completion rates; makes product feel guided.,Centralizes routing and prevents UI guessing; reduces 'random jumps'.,services.py (assessment context), engines.py (routing helper), assessment.html dashboard,Optionally store last_seen_qid per assessment for analytics; not required,Include next_best_qid in context response,Dashboard card: Continue / Review / Deferred sections,If user exits mid-question: reopening takes them to the most relevant next step with explanation.,P0-02,M,Also log routing decisions for later tuning.</v>
      </c>
      <c r="R4" t="s">
        <v>381</v>
      </c>
    </row>
    <row r="5" spans="1:18" ht="64" x14ac:dyDescent="0.2">
      <c r="A5" s="2" t="s">
        <v>57</v>
      </c>
      <c r="B5" s="2" t="s">
        <v>17</v>
      </c>
      <c r="C5" s="2" t="s">
        <v>18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32</v>
      </c>
      <c r="O5" s="2" t="s">
        <v>68</v>
      </c>
      <c r="P5" s="2" t="s">
        <v>69</v>
      </c>
      <c r="Q5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P0-04,P0,Pilot Foundation,Security,Non-guessable assessment IDs,Stop client-generated short IDs. Create assessments server-side with UUID/ULID. Provide a shareable 'assessment key' that is long, unguessable, and can be revoked later.,Prevents accidental data exposure; increases enterprise trust.,Eliminates enumeration risk; enables multi-tenant future.,assessment.html (new assessment), main.py create assessment endpoint, auth.py,Add assessments table fields: assessment_id (ulid/uuid), created_at, mode, override_depth flag,POST /assessments to create; return id + token (dev mode still frictionless),Replace ID input flow: 'Start new' calls server; optionally allow custom label (not name).,Attempting to guess IDs yields 404/401; IDs are high entropy; new flow works in dev.,P0-02,S,In alpha: you can still display the ID clearly and offer copy button.</v>
      </c>
      <c r="R5" t="s">
        <v>381</v>
      </c>
    </row>
    <row r="6" spans="1:18" ht="80" x14ac:dyDescent="0.2">
      <c r="A6" s="2" t="s">
        <v>70</v>
      </c>
      <c r="B6" s="2" t="s">
        <v>17</v>
      </c>
      <c r="C6" s="2" t="s">
        <v>18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81</v>
      </c>
      <c r="O6" s="2" t="s">
        <v>30</v>
      </c>
      <c r="P6" s="2" t="s">
        <v>82</v>
      </c>
      <c r="Q6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P0-05,P0,Pilot Foundation,Scoring Core,Declared vs Verified scoring separation,Classify questions into Declared vs Verified (based on tier/metadata). Compute both sets separately per axis &amp; domain; compute SI gap. Store in report snapshot.,Creates C-level defensibility; reveals paper programs vs reality; drives program roadmap urgency.,Implements core IRMMF v6.1 methodology; avoids averaging away contradictions.,engines.py (scoring), services.py (analysis), schemas.py (analysis payload),Add per-response: layer (declared/verified) or infer from question.tier; store in snapshots.,GET /responses/analysis/{assessment_id} returns declared_vector, verified_vector, gap_vector,Results page: show SI gap &amp; explain meaning; add 'confidence' overlay later,A scenario with high declared + low verified triggers Paper Dragon SI gap flag; results clearly show both.,P0-06,M,Keep rules in one engine module and version it.</v>
      </c>
      <c r="R6" t="s">
        <v>381</v>
      </c>
    </row>
    <row r="7" spans="1:18" ht="48" x14ac:dyDescent="0.2">
      <c r="A7" s="2" t="s">
        <v>81</v>
      </c>
      <c r="B7" s="2" t="s">
        <v>17</v>
      </c>
      <c r="C7" s="2" t="s">
        <v>18</v>
      </c>
      <c r="D7" s="2" t="s">
        <v>71</v>
      </c>
      <c r="E7" s="2" t="s">
        <v>83</v>
      </c>
      <c r="F7" s="2" t="s">
        <v>84</v>
      </c>
      <c r="G7" s="2" t="s">
        <v>85</v>
      </c>
      <c r="H7" s="2" t="s">
        <v>86</v>
      </c>
      <c r="I7" s="2" t="s">
        <v>87</v>
      </c>
      <c r="J7" s="2" t="s">
        <v>25</v>
      </c>
      <c r="K7" s="2" t="s">
        <v>88</v>
      </c>
      <c r="L7" s="2" t="s">
        <v>89</v>
      </c>
      <c r="M7" s="2" t="s">
        <v>90</v>
      </c>
      <c r="N7" s="2" t="s">
        <v>70</v>
      </c>
      <c r="O7" s="2" t="s">
        <v>30</v>
      </c>
      <c r="P7" s="2" t="s">
        <v>91</v>
      </c>
      <c r="Q7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P0-06,P0,Pilot Foundation,Scoring Core,Circuit breakers (Fatigue &amp; Shadow caps) + Alpha penalty,After base scoring, apply: (a) Fatigue cap (H low caps R), (b) Shadow cap (V low caps G), (c) Alpha penalty: if cw&gt;1.2 and response&lt;th =&gt; multiply by 0.3 (or as specified).,Prevents greenwashing; surfaces high-risk archetypes; increases trust with auditors.,Aligns output with IRMMF v6.1 'hard-coded' logic rules.,engines.py scoring post-processing; main.py analysis endpoint,None,None (analysis payload includes flags indicating caps applied),Results: show 'caps applied' badges and affected axes,Given inputs that satisfy cap conditions, output is capped and flags show why.,P0-05,M,Make cap thresholds configurable by engine version.</v>
      </c>
      <c r="R7" t="s">
        <v>381</v>
      </c>
    </row>
    <row r="8" spans="1:18" ht="96" x14ac:dyDescent="0.2">
      <c r="A8" s="2" t="s">
        <v>92</v>
      </c>
      <c r="B8" s="2" t="s">
        <v>17</v>
      </c>
      <c r="C8" s="2" t="s">
        <v>18</v>
      </c>
      <c r="D8" s="2" t="s">
        <v>93</v>
      </c>
      <c r="E8" s="2" t="s">
        <v>94</v>
      </c>
      <c r="F8" s="2" t="s">
        <v>95</v>
      </c>
      <c r="G8" s="2" t="s">
        <v>96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2" t="s">
        <v>70</v>
      </c>
      <c r="O8" s="2" t="s">
        <v>30</v>
      </c>
      <c r="P8" s="2" t="s">
        <v>103</v>
      </c>
      <c r="Q8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P0-07,P0,Pilot Foundation,Evidence (No Upload),Evidence attestation + challenge micro-questions,For relevant questions: ask 'Do you have evidence?' then 3–6 micro-questions to assess evidence maturity (freshness, scope, independence, sampling, traceability). No file uploads. Store structured JSON and compute evidence_confidence.,Avoids NDA/file friction; increases credibility; reduces overstatement risk.,Adds a confidence signal without handling documents; supports future connectors.,assessment.html (option expand / dropdown), schemas.py, models.py (response metadata), engines.py (confidence),Add columns/JSON: fact_responses.evidence (jsonb), evidence_confidence (float), evidence_policy_id ref,Update POST /responses/submit to accept evidence payload,Inline dropdown on certain answers; quick 30–60s flow; optional notes field,Users can complete without uploads; evidence confidence computed and shown in report appendix.,P0-05,M,Implement via templates keyed by evidence_policy_id, but allow per-question overrides.</v>
      </c>
      <c r="R8" t="s">
        <v>381</v>
      </c>
    </row>
    <row r="9" spans="1:18" ht="48" x14ac:dyDescent="0.2">
      <c r="A9" s="2" t="s">
        <v>104</v>
      </c>
      <c r="B9" s="2" t="s">
        <v>17</v>
      </c>
      <c r="C9" s="2" t="s">
        <v>18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113</v>
      </c>
      <c r="M9" s="2" t="s">
        <v>114</v>
      </c>
      <c r="N9" s="2" t="s">
        <v>115</v>
      </c>
      <c r="O9" s="2" t="s">
        <v>68</v>
      </c>
      <c r="P9" s="2" t="s">
        <v>116</v>
      </c>
      <c r="Q9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P0-08,P0,Pilot Foundation,UX Controls,Mark for review + overview,Add 'Mark for review' button (separate from Defer). Show a dashboard section listing review items; prioritize these in next-best routing.,Supports audit workflows and multi-stakeholder validation.,Adds separate state bucket; improves routing logic.,assessment.html, services.py context builder,Store review marks in fact_responses metadata or a separate table,Include marked_for_review list in context response,Add button + dashboard list + counts,Marked items persist server-side; appear on dashboard; routing prioritizes them.,P0-02, P0-03,S,You can later add 'assign to role' for review items.</v>
      </c>
      <c r="R9" t="s">
        <v>381</v>
      </c>
    </row>
    <row r="10" spans="1:18" ht="48" x14ac:dyDescent="0.2">
      <c r="A10" s="2" t="s">
        <v>117</v>
      </c>
      <c r="B10" s="2" t="s">
        <v>17</v>
      </c>
      <c r="C10" s="2" t="s">
        <v>18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2" t="s">
        <v>25</v>
      </c>
      <c r="L10" s="2" t="s">
        <v>25</v>
      </c>
      <c r="M10" s="2" t="s">
        <v>125</v>
      </c>
      <c r="N10" s="2" t="s">
        <v>126</v>
      </c>
      <c r="O10" s="2" t="s">
        <v>68</v>
      </c>
      <c r="P10" s="2" t="s">
        <v>127</v>
      </c>
      <c r="Q10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P0-09,P0,Pilot Foundation,Performance,Add core indexes for heavy filtering,Ensure indexes exist on dim_questions(domain,tier), dim_answers(question_id), fact_responses(assessment_id,q_id), etc.,Faster UX; critical when multiple users/tenants; avoids lag that kills completion.,Prevents full-table scans; lowers DB load.,database.py startup ensure_indexes or migrations,SQL indexes only,None,None,Queries for /questions/all and /context stay fast (&lt;300ms locally; &lt;1s in pilot infra).,DB schema stable,S,Move to Alembic migrations once stable.</v>
      </c>
      <c r="R10" t="s">
        <v>381</v>
      </c>
    </row>
    <row r="11" spans="1:18" ht="64" x14ac:dyDescent="0.2">
      <c r="A11" s="2" t="s">
        <v>128</v>
      </c>
      <c r="B11" s="2" t="s">
        <v>129</v>
      </c>
      <c r="C11" s="2" t="s">
        <v>130</v>
      </c>
      <c r="D11" s="2" t="s">
        <v>131</v>
      </c>
      <c r="E11" s="2" t="s">
        <v>132</v>
      </c>
      <c r="F11" s="2" t="s">
        <v>133</v>
      </c>
      <c r="G11" s="2" t="s">
        <v>134</v>
      </c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139</v>
      </c>
      <c r="M11" s="2" t="s">
        <v>140</v>
      </c>
      <c r="N11" s="2" t="s">
        <v>141</v>
      </c>
      <c r="O11" s="2" t="s">
        <v>30</v>
      </c>
      <c r="P11" s="2" t="s">
        <v>142</v>
      </c>
      <c r="Q11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P1-01,P1,Enterprise Core,Adaptive Logic,Override depth toggle (alpha) with origin tagging,Add UI toggle 'Explore deeper questions' and store override_depth at assessment level. Tag each response origin=adaptive|override. Default scoring excludes override answers from benchmarks; include in appendix.,Lets CISOs/auditors go deeper without breaking adaptive promise; supports small-but-mature orgs.,Prevents override answers from contaminating adaptive path analytics and benchmarks.,assessment.html (toggle), services.py (routing), models.py (assessment, response metadata),assessments.override_depth bool; fact_responses.origin enum/text,POST /assessments, GET /context includes override state,Toggle + banner explaining implications; lock icon changes,With override off, deep questions hidden. With override on, they appear and are labeled 'override'.,P0-01, P0-05,M,Also record why user enabled override (optional short selection).</v>
      </c>
      <c r="R11" t="s">
        <v>381</v>
      </c>
    </row>
    <row r="12" spans="1:18" ht="48" x14ac:dyDescent="0.2">
      <c r="A12" s="2" t="s">
        <v>143</v>
      </c>
      <c r="B12" s="2" t="s">
        <v>129</v>
      </c>
      <c r="C12" s="2" t="s">
        <v>130</v>
      </c>
      <c r="D12" s="2" t="s">
        <v>144</v>
      </c>
      <c r="E12" s="2" t="s">
        <v>145</v>
      </c>
      <c r="F12" s="2" t="s">
        <v>146</v>
      </c>
      <c r="G12" s="2" t="s">
        <v>147</v>
      </c>
      <c r="H12" s="2" t="s">
        <v>148</v>
      </c>
      <c r="I12" s="2" t="s">
        <v>149</v>
      </c>
      <c r="J12" s="2" t="s">
        <v>150</v>
      </c>
      <c r="K12" s="2" t="s">
        <v>25</v>
      </c>
      <c r="L12" s="2" t="s">
        <v>151</v>
      </c>
      <c r="M12" s="2" t="s">
        <v>152</v>
      </c>
      <c r="N12" s="2" t="s">
        <v>153</v>
      </c>
      <c r="O12" s="2" t="s">
        <v>154</v>
      </c>
      <c r="P12" s="2" t="s">
        <v>155</v>
      </c>
      <c r="Q12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P1-02,P1,Enterprise Core,Archetypes,Expanded archetype engine (single output) + future-proofing,Implement archetype scoring rules per axis patterns + SI gaps. Output one primary archetype + rationale bullets. Store runner-up and confidence internally for future.,Creates a compelling C-level story; supports advisory upsell and program design.,Aligns classification with methodology; avoids misleading labels.,engines.py (archetype rules), services.py (analysis), schemas.py (report),report_snapshots store archetype_details JSON,None,Results page shows archetype card + 'why' bullets,Given known test profiles, archetype matches expected; rationale is explainable and traceable.,P0-05, P0-06,L,Start with ~6–10 archetypes; expand over time.</v>
      </c>
      <c r="R12" t="s">
        <v>381</v>
      </c>
    </row>
    <row r="13" spans="1:18" ht="64" x14ac:dyDescent="0.2">
      <c r="A13" s="2" t="s">
        <v>156</v>
      </c>
      <c r="B13" s="2" t="s">
        <v>129</v>
      </c>
      <c r="C13" s="2" t="s">
        <v>130</v>
      </c>
      <c r="D13" s="2" t="s">
        <v>157</v>
      </c>
      <c r="E13" s="2" t="s">
        <v>158</v>
      </c>
      <c r="F13" s="2" t="s">
        <v>159</v>
      </c>
      <c r="G13" s="2" t="s">
        <v>160</v>
      </c>
      <c r="H13" s="2" t="s">
        <v>161</v>
      </c>
      <c r="I13" s="2" t="s">
        <v>162</v>
      </c>
      <c r="J13" s="2" t="s">
        <v>163</v>
      </c>
      <c r="K13" s="2" t="s">
        <v>164</v>
      </c>
      <c r="L13" s="2" t="s">
        <v>165</v>
      </c>
      <c r="M13" s="2" t="s">
        <v>166</v>
      </c>
      <c r="N13" s="2" t="s">
        <v>143</v>
      </c>
      <c r="O13" s="2" t="s">
        <v>154</v>
      </c>
      <c r="P13" s="2" t="s">
        <v>167</v>
      </c>
      <c r="Q13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P1-03,P1,Enterprise Core,Recommendations,Recommendation databank (archetype + domain + axis),Build a recommendation library keyed by (archetype, low axes, high gaps, fracture tags). Output top 5 prioritized actions with sequencing (30/60/90 days).,Turns assessment into an IRM program blueprint; drives advisory engagement.,Decouples content from code; allows updates without redeploying core scoring.,services.py (recommendations), new data file/table rec_library, report generation,New table or JSON file with versioning; store which recs were shown in snapshot,Add /recommendations endpoint (optional),Results page + export: 'Top actions',Report always produces actionable plan with owners/timelines; consistent across runs via snapshot.,P1-02,L,Authoring effort: start with 30–60 core recommendations.</v>
      </c>
      <c r="R13" t="s">
        <v>381</v>
      </c>
    </row>
    <row r="14" spans="1:18" ht="48" x14ac:dyDescent="0.2">
      <c r="A14" s="2" t="s">
        <v>168</v>
      </c>
      <c r="B14" s="2" t="s">
        <v>129</v>
      </c>
      <c r="C14" s="2" t="s">
        <v>130</v>
      </c>
      <c r="D14" s="2" t="s">
        <v>169</v>
      </c>
      <c r="E14" s="2" t="s">
        <v>170</v>
      </c>
      <c r="F14" s="2" t="s">
        <v>171</v>
      </c>
      <c r="G14" s="2" t="s">
        <v>172</v>
      </c>
      <c r="H14" s="2" t="s">
        <v>173</v>
      </c>
      <c r="I14" s="2" t="s">
        <v>174</v>
      </c>
      <c r="J14" s="2" t="s">
        <v>25</v>
      </c>
      <c r="K14" s="2" t="s">
        <v>25</v>
      </c>
      <c r="L14" s="2" t="s">
        <v>175</v>
      </c>
      <c r="M14" s="2" t="s">
        <v>176</v>
      </c>
      <c r="N14" s="2" t="s">
        <v>70</v>
      </c>
      <c r="O14" s="2" t="s">
        <v>30</v>
      </c>
      <c r="P14" s="2" t="s">
        <v>177</v>
      </c>
      <c r="Q14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P1-04,P1,Enterprise Core,Scoring Model,Domain + Axis scoring combined views,Compute axis scores using question axis1/axis2 weights; compute domain rollups separately. Present both: Axis radar + Domain heatmap/table.,Executives want domain view; technical teams want axis signal; reduces misinterpretation.,Fixes current conflation of domain vs axis; respects question weighting.,engines.py scoring, schemas.py output, assessment.html results,None,None,Results tabs: Axis view / Domain view / Role view,Axis scores change appropriately when dual-axis weights are adjusted; domain rollups stable and explainable.,P0-05,M,Keep weighting in data (Excel) so analysts can tune without code.</v>
      </c>
      <c r="R14" t="s">
        <v>381</v>
      </c>
    </row>
    <row r="15" spans="1:18" ht="64" x14ac:dyDescent="0.2">
      <c r="A15" s="2" t="s">
        <v>178</v>
      </c>
      <c r="B15" s="2" t="s">
        <v>129</v>
      </c>
      <c r="C15" s="2" t="s">
        <v>130</v>
      </c>
      <c r="D15" s="2" t="s">
        <v>179</v>
      </c>
      <c r="E15" s="2" t="s">
        <v>180</v>
      </c>
      <c r="F15" s="2" t="s">
        <v>181</v>
      </c>
      <c r="G15" s="2" t="s">
        <v>182</v>
      </c>
      <c r="H15" s="2" t="s">
        <v>183</v>
      </c>
      <c r="I15" s="2" t="s">
        <v>184</v>
      </c>
      <c r="J15" s="2" t="s">
        <v>185</v>
      </c>
      <c r="K15" s="2" t="s">
        <v>186</v>
      </c>
      <c r="L15" s="2" t="s">
        <v>187</v>
      </c>
      <c r="M15" s="2" t="s">
        <v>188</v>
      </c>
      <c r="N15" s="2" t="s">
        <v>189</v>
      </c>
      <c r="O15" s="2" t="s">
        <v>30</v>
      </c>
      <c r="P15" s="2" t="s">
        <v>190</v>
      </c>
      <c r="Q15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P1-05,P1,Enterprise Core,Intake,Light, anonymous intake for benchmarking + routing (no company name),Implement minimal intake (industry bucket, region bucket, size band optional, regulated flags). Use it for benchmark tags and initial depth suggestion. Do not block small-but-mature: allow early maturity signals to promote depth.,Reduces friction, supports anonymity, enables benchmarking and tailored flow.,Enables cohort analytics; supports future external benchmarks.,index.html / intake UI, services.py intake engine, models.py intake responses,Store benchmark_tags JSON in assessment or snapshot,POST /intake/submit, GET /intake/options,Simple intake wizard (5–10 items), optional,Assessment can proceed without company name; benchmark tags captured; depth suggestion computed.,P0-02, P1-01,M,Later: allow client to add name only to exported report.</v>
      </c>
      <c r="R15" t="s">
        <v>381</v>
      </c>
    </row>
    <row r="16" spans="1:18" ht="48" x14ac:dyDescent="0.2">
      <c r="A16" s="2" t="s">
        <v>191</v>
      </c>
      <c r="B16" s="2" t="s">
        <v>129</v>
      </c>
      <c r="C16" s="2" t="s">
        <v>130</v>
      </c>
      <c r="D16" s="2" t="s">
        <v>192</v>
      </c>
      <c r="E16" s="2" t="s">
        <v>193</v>
      </c>
      <c r="F16" s="2" t="s">
        <v>194</v>
      </c>
      <c r="G16" s="2" t="s">
        <v>195</v>
      </c>
      <c r="H16" s="2" t="s">
        <v>196</v>
      </c>
      <c r="I16" s="2" t="s">
        <v>197</v>
      </c>
      <c r="J16" s="2" t="s">
        <v>25</v>
      </c>
      <c r="K16" s="2" t="s">
        <v>198</v>
      </c>
      <c r="L16" s="2" t="s">
        <v>199</v>
      </c>
      <c r="M16" s="2" t="s">
        <v>200</v>
      </c>
      <c r="N16" s="2" t="s">
        <v>201</v>
      </c>
      <c r="O16" s="2" t="s">
        <v>30</v>
      </c>
      <c r="P16" s="2" t="s">
        <v>202</v>
      </c>
      <c r="Q16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P1-06,P1,Enterprise Core,UX / IA,Kick-start gatekeepers as separate step,Create a short 'Kick-start Assessment' phase containing only Tier1 gatekeepers across domains. After completion: show recommended path (Core/Standard/Deep) + override toggle.,Feels logical; reduces random jumping; sets expectations on scope/time.,Provides stable initial state for routing engine and progress metrics.,assessment.html flow + routing engine,None,New endpoint optional: /gatekeepers/list,New welcome flow steps,Users complete gatekeepers first; then enter main assessment with pruned path.,P0-01, P1-05,M,Also improves low-maturity experience (clear start).</v>
      </c>
      <c r="R16" t="s">
        <v>381</v>
      </c>
    </row>
    <row r="17" spans="1:18" ht="48" x14ac:dyDescent="0.2">
      <c r="A17" s="2" t="s">
        <v>203</v>
      </c>
      <c r="B17" s="2" t="s">
        <v>129</v>
      </c>
      <c r="C17" s="2" t="s">
        <v>130</v>
      </c>
      <c r="D17" s="2" t="s">
        <v>204</v>
      </c>
      <c r="E17" s="2" t="s">
        <v>205</v>
      </c>
      <c r="F17" s="2" t="s">
        <v>206</v>
      </c>
      <c r="G17" s="2" t="s">
        <v>207</v>
      </c>
      <c r="H17" s="2" t="s">
        <v>208</v>
      </c>
      <c r="I17" s="2" t="s">
        <v>209</v>
      </c>
      <c r="J17" s="2" t="s">
        <v>210</v>
      </c>
      <c r="K17" s="2" t="s">
        <v>25</v>
      </c>
      <c r="L17" s="2" t="s">
        <v>211</v>
      </c>
      <c r="M17" s="2" t="s">
        <v>212</v>
      </c>
      <c r="N17" s="2" t="s">
        <v>156</v>
      </c>
      <c r="O17" s="2" t="s">
        <v>154</v>
      </c>
      <c r="P17" s="2" t="s">
        <v>213</v>
      </c>
      <c r="Q17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P1-07,P1,Enterprise Core,Low Maturity / Shadow,Shadow maturity capture pack,Add a small question pack to detect 'pockets of excellence' in otherwise low-maturity orgs (localized controls, strong teams). Include 'scale this' recommendations.,Avoids demoralizing all-red results; creates realistic roadmap and upsell path.,Improves signal quality; distinguishes low maturity from zero capability.,Excel question bank additions + scoring tags + recommendations,New questions and tags; update ingest,None,UI: show 'strength pockets' section in results,Low-maturity org can still show localized strengths; report includes scale actions.,P1-03,L,Use evidence confidence to avoid false positives.</v>
      </c>
      <c r="R17" t="s">
        <v>381</v>
      </c>
    </row>
    <row r="18" spans="1:18" ht="48" x14ac:dyDescent="0.2">
      <c r="A18" s="2" t="s">
        <v>214</v>
      </c>
      <c r="B18" s="2" t="s">
        <v>129</v>
      </c>
      <c r="C18" s="2" t="s">
        <v>130</v>
      </c>
      <c r="D18" s="2" t="s">
        <v>215</v>
      </c>
      <c r="E18" s="2" t="s">
        <v>216</v>
      </c>
      <c r="F18" s="2" t="s">
        <v>217</v>
      </c>
      <c r="G18" s="2" t="s">
        <v>218</v>
      </c>
      <c r="H18" s="2" t="s">
        <v>219</v>
      </c>
      <c r="I18" s="2" t="s">
        <v>220</v>
      </c>
      <c r="J18" s="2" t="s">
        <v>221</v>
      </c>
      <c r="K18" s="2" t="s">
        <v>222</v>
      </c>
      <c r="L18" s="2" t="s">
        <v>223</v>
      </c>
      <c r="M18" s="2" t="s">
        <v>224</v>
      </c>
      <c r="N18" s="2" t="s">
        <v>178</v>
      </c>
      <c r="O18" s="2" t="s">
        <v>154</v>
      </c>
      <c r="P18" s="2" t="s">
        <v>225</v>
      </c>
      <c r="Q18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P1-08,P1,Enterprise Core,Role Lenses,Role/Function dashboards (CISO / IA / HR views),Add role views: filter questions and results by role packs; allow stakeholders to focus and collaborate. Tailor question wording/add-ons for IA &amp; HR.,Improves completion and accuracy; increases adoption across org.,Enables multi-user later; supports modular content expansion.,assessment.html dashboard, question metadata (role tags), services.py filtering,Add role_tag to questions (already exists in bank map) and store per-response role,Optional: /questions/by_role,Dashboard toggle: Overall vs Role view,Role view shows only relevant domains/questions; report includes stakeholder appendices.,P1-05,L,Start with view-only filtering; later add assignments.</v>
      </c>
      <c r="R18" t="s">
        <v>381</v>
      </c>
    </row>
    <row r="19" spans="1:18" ht="48" x14ac:dyDescent="0.2">
      <c r="A19" s="2" t="s">
        <v>226</v>
      </c>
      <c r="B19" s="2" t="s">
        <v>227</v>
      </c>
      <c r="C19" s="2" t="s">
        <v>228</v>
      </c>
      <c r="D19" s="2" t="s">
        <v>229</v>
      </c>
      <c r="E19" s="2" t="s">
        <v>230</v>
      </c>
      <c r="F19" s="2" t="s">
        <v>231</v>
      </c>
      <c r="G19" s="2" t="s">
        <v>232</v>
      </c>
      <c r="H19" s="2" t="s">
        <v>233</v>
      </c>
      <c r="I19" s="2" t="s">
        <v>234</v>
      </c>
      <c r="J19" s="2" t="s">
        <v>235</v>
      </c>
      <c r="K19" s="2" t="s">
        <v>25</v>
      </c>
      <c r="L19" s="2" t="s">
        <v>236</v>
      </c>
      <c r="M19" s="2" t="s">
        <v>237</v>
      </c>
      <c r="N19" s="2" t="s">
        <v>238</v>
      </c>
      <c r="O19" s="2" t="s">
        <v>154</v>
      </c>
      <c r="P19" s="2" t="s">
        <v>239</v>
      </c>
      <c r="Q19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P2-01,P2,Differentiators,Results,Risk heatmap + risk catalog,Define a risk catalog (e.g., IP leakage, privileged misuse, shadow AI exfil). Map question tags/axes patterns to risk likelihood/impact. Render heatmap in results and export.,Executives understand heatmaps; supports board reporting; accelerates advisory conversations.,Provides a stable taxonomy; supports integrations later.,engines.py (risk mapping), new risk_catalog data, assessment.html results,New risk definitions JSON/table; store top risks in snapshot,None,Heatmap + top risks list + drilldown,Heatmap reflects changes in answers; top risks have clear rationale and linked questions.,P1-04, P1-03,L,Start with 10–15 risks; expand later.</v>
      </c>
      <c r="R19" t="s">
        <v>381</v>
      </c>
    </row>
    <row r="20" spans="1:18" ht="48" x14ac:dyDescent="0.2">
      <c r="A20" s="2" t="s">
        <v>240</v>
      </c>
      <c r="B20" s="2" t="s">
        <v>227</v>
      </c>
      <c r="C20" s="2" t="s">
        <v>228</v>
      </c>
      <c r="D20" s="2" t="s">
        <v>241</v>
      </c>
      <c r="E20" s="2" t="s">
        <v>242</v>
      </c>
      <c r="F20" s="2" t="s">
        <v>243</v>
      </c>
      <c r="G20" s="2" t="s">
        <v>244</v>
      </c>
      <c r="H20" s="2" t="s">
        <v>245</v>
      </c>
      <c r="I20" s="2" t="s">
        <v>246</v>
      </c>
      <c r="J20" s="2" t="s">
        <v>247</v>
      </c>
      <c r="K20" s="2" t="s">
        <v>25</v>
      </c>
      <c r="L20" s="2" t="s">
        <v>248</v>
      </c>
      <c r="M20" s="2" t="s">
        <v>249</v>
      </c>
      <c r="N20" s="2" t="s">
        <v>250</v>
      </c>
      <c r="O20" s="2" t="s">
        <v>30</v>
      </c>
      <c r="P20" s="2" t="s">
        <v>251</v>
      </c>
      <c r="Q20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P2-02,P2,Differentiators,Optional Modules,Conditional regulatory / topical add-ons (not optional by default),Implement add-on modules: Whistleblowing, IRM standards/laws, NIS2, DORA. Ask only when relevant (intake triggers) and when maturity suggests depth is useful.,Improves relevance; sells premium modules; avoids survey bloat.,Modular question selection; prevents irrelevant questions.,Excel bank + intake triggers + routing engine,Module flags in assessment context/snapshot,None,UI: module status + optional override to include,Modules appear only when triggered; can be enabled manually with explicit acknowledgment.,P1-05, P1-01,M,Treat as separate packs with their own reporting sections.</v>
      </c>
      <c r="R20" t="s">
        <v>381</v>
      </c>
    </row>
    <row r="21" spans="1:18" ht="48" x14ac:dyDescent="0.2">
      <c r="A21" s="2" t="s">
        <v>252</v>
      </c>
      <c r="B21" s="2" t="s">
        <v>227</v>
      </c>
      <c r="C21" s="2" t="s">
        <v>228</v>
      </c>
      <c r="D21" s="2" t="s">
        <v>253</v>
      </c>
      <c r="E21" s="2" t="s">
        <v>254</v>
      </c>
      <c r="F21" s="2" t="s">
        <v>255</v>
      </c>
      <c r="G21" s="2" t="s">
        <v>256</v>
      </c>
      <c r="H21" s="2" t="s">
        <v>257</v>
      </c>
      <c r="I21" s="2" t="s">
        <v>258</v>
      </c>
      <c r="J21" s="2" t="s">
        <v>259</v>
      </c>
      <c r="K21" s="2" t="s">
        <v>25</v>
      </c>
      <c r="L21" s="2" t="s">
        <v>260</v>
      </c>
      <c r="M21" s="2" t="s">
        <v>261</v>
      </c>
      <c r="N21" s="2" t="s">
        <v>226</v>
      </c>
      <c r="O21" s="2" t="s">
        <v>30</v>
      </c>
      <c r="P21" s="2" t="s">
        <v>262</v>
      </c>
      <c r="Q21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P2-03,P2,Differentiators,Coverage,IP risk coverage expansion,Add IP-focused controls: code repo access, contractor controls, data classification for trade secrets, exfil detection, M&amp;A boundary controls, legal response readiness.,IP risk is a primary insider risk driver; increases business relevance.,Improves domain completeness and risk mapping.,Question bank + risk catalog,New questions/tags,None,UI: appears only if intake indicates IP-heavy org or via override,Report includes IP risk section and prioritized actions.,P2-01,M,Also aligns to persona/risk taxonomy.</v>
      </c>
      <c r="R21" t="s">
        <v>381</v>
      </c>
    </row>
    <row r="22" spans="1:18" ht="48" x14ac:dyDescent="0.2">
      <c r="A22" s="2" t="s">
        <v>263</v>
      </c>
      <c r="B22" s="2" t="s">
        <v>227</v>
      </c>
      <c r="C22" s="2" t="s">
        <v>228</v>
      </c>
      <c r="D22" s="2" t="s">
        <v>264</v>
      </c>
      <c r="E22" s="2" t="s">
        <v>265</v>
      </c>
      <c r="F22" s="2" t="s">
        <v>266</v>
      </c>
      <c r="G22" s="2" t="s">
        <v>267</v>
      </c>
      <c r="H22" s="2" t="s">
        <v>268</v>
      </c>
      <c r="I22" s="2" t="s">
        <v>269</v>
      </c>
      <c r="J22" s="2" t="s">
        <v>270</v>
      </c>
      <c r="K22" s="2" t="s">
        <v>25</v>
      </c>
      <c r="L22" s="2" t="s">
        <v>271</v>
      </c>
      <c r="M22" s="2" t="s">
        <v>272</v>
      </c>
      <c r="N22" s="2" t="s">
        <v>226</v>
      </c>
      <c r="O22" s="2" t="s">
        <v>154</v>
      </c>
      <c r="P22" s="2" t="s">
        <v>273</v>
      </c>
      <c r="Q22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P2-04,P2,Differentiators,Personas,Persona signals module,Introduce persona detection as hypotheses (not accusations): 'disgruntled admin', 'shadow innovator', 'departing engineer'. Add guidance on signals to monitor and safe mitigations.,Highly compelling to executives; improves program readiness.,Adds structured reasoning without needing sensitive data.,Question bank + reporting + risk catalog,Persona taxonomy JSON; store detected personas in snapshot,None,Results: persona cards with cautionary language,Persona suggestions are traceable to signals; output remains privacy-safe.,P2-01,L,Keep it advisory; avoid stigmatizing individuals.</v>
      </c>
      <c r="R22" t="s">
        <v>381</v>
      </c>
    </row>
    <row r="23" spans="1:18" ht="48" x14ac:dyDescent="0.2">
      <c r="A23" s="2" t="s">
        <v>274</v>
      </c>
      <c r="B23" s="2" t="s">
        <v>227</v>
      </c>
      <c r="C23" s="2" t="s">
        <v>228</v>
      </c>
      <c r="D23" s="2" t="s">
        <v>275</v>
      </c>
      <c r="E23" s="2" t="s">
        <v>276</v>
      </c>
      <c r="F23" s="2" t="s">
        <v>277</v>
      </c>
      <c r="G23" s="2" t="s">
        <v>278</v>
      </c>
      <c r="H23" s="2" t="s">
        <v>279</v>
      </c>
      <c r="I23" s="2" t="s">
        <v>280</v>
      </c>
      <c r="J23" s="2" t="s">
        <v>281</v>
      </c>
      <c r="K23" s="2" t="s">
        <v>282</v>
      </c>
      <c r="L23" s="2" t="s">
        <v>283</v>
      </c>
      <c r="M23" s="2" t="s">
        <v>284</v>
      </c>
      <c r="N23" s="2" t="s">
        <v>92</v>
      </c>
      <c r="O23" s="2" t="s">
        <v>154</v>
      </c>
      <c r="P23" s="2" t="s">
        <v>285</v>
      </c>
      <c r="Q23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P2-05,P2,Differentiators,Integrations,Connector framework (metadata only),Create connector interfaces (IdP, MDM, SIEM, DLP/CASB). Pull counts/timestamps/coverage%. Use to adjust evidence confidence and trigger targeted follow-ups.,Reduces self-report bias; strong enterprise differentiator.,Privacy-first integration; no documents or PII; future automation.,New integrations module + services.py + scoring engine,connector_snapshots table; store in snapshot,New endpoints: /connectors/status, /connectors/ingest (admin),UI: optional 'connectors' page (pilot),With connectors enabled, report shows 'verified via telemetry' confidence boost and follow-ups.,P0-07,L,Start with manual CSV import to validate value before APIs.</v>
      </c>
      <c r="R23" t="s">
        <v>381</v>
      </c>
    </row>
    <row r="24" spans="1:18" ht="48" x14ac:dyDescent="0.2">
      <c r="A24" s="2" t="s">
        <v>286</v>
      </c>
      <c r="B24" s="2" t="s">
        <v>227</v>
      </c>
      <c r="C24" s="2" t="s">
        <v>228</v>
      </c>
      <c r="D24" s="2" t="s">
        <v>287</v>
      </c>
      <c r="E24" s="2" t="s">
        <v>288</v>
      </c>
      <c r="F24" s="2" t="s">
        <v>289</v>
      </c>
      <c r="G24" s="2" t="s">
        <v>290</v>
      </c>
      <c r="H24" s="2" t="s">
        <v>291</v>
      </c>
      <c r="I24" s="2" t="s">
        <v>292</v>
      </c>
      <c r="J24" s="2" t="s">
        <v>293</v>
      </c>
      <c r="K24" s="2" t="s">
        <v>294</v>
      </c>
      <c r="L24" s="2" t="s">
        <v>295</v>
      </c>
      <c r="M24" s="2" t="s">
        <v>296</v>
      </c>
      <c r="N24" s="2" t="s">
        <v>297</v>
      </c>
      <c r="O24" s="2" t="s">
        <v>154</v>
      </c>
      <c r="P24" s="2" t="s">
        <v>298</v>
      </c>
      <c r="Q24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P2-06,P2,Differentiators,AI Assist,AI analysis add-on (cost staged),Phase 1 (low cost): rules-based narrative summarizer using archetype + top risks + recs. Phase 2: LLM summary from structured outputs only. Phase 3: private deployment options.,Adds premium value; speeds advisory insights; compelling demos.,Keeps privacy by avoiding raw PII and avoiding document ingestion.,New ai_assistant service; report generator,Store ai_summary in snapshot,Optional endpoint /analysis/summary,Results: 'Executive narrative' section,AI summary is consistent, cites drivers, and never leaks sensitive data.,P1-03, P2-01,L,Cost depends on usage; start with deterministic templates first.</v>
      </c>
      <c r="R24" t="s">
        <v>381</v>
      </c>
    </row>
    <row r="25" spans="1:18" ht="48" x14ac:dyDescent="0.2">
      <c r="A25" s="2" t="s">
        <v>299</v>
      </c>
      <c r="B25" s="2" t="s">
        <v>227</v>
      </c>
      <c r="C25" s="2" t="s">
        <v>228</v>
      </c>
      <c r="D25" s="2" t="s">
        <v>300</v>
      </c>
      <c r="E25" s="2" t="s">
        <v>301</v>
      </c>
      <c r="F25" s="2" t="s">
        <v>302</v>
      </c>
      <c r="G25" s="2" t="s">
        <v>303</v>
      </c>
      <c r="H25" s="2" t="s">
        <v>304</v>
      </c>
      <c r="I25" s="2" t="s">
        <v>305</v>
      </c>
      <c r="J25" s="2" t="s">
        <v>25</v>
      </c>
      <c r="K25" s="2" t="s">
        <v>25</v>
      </c>
      <c r="L25" s="2" t="s">
        <v>306</v>
      </c>
      <c r="M25" s="2" t="s">
        <v>307</v>
      </c>
      <c r="N25" s="2" t="s">
        <v>25</v>
      </c>
      <c r="O25" s="2" t="s">
        <v>68</v>
      </c>
      <c r="P25" s="2" t="s">
        <v>308</v>
      </c>
      <c r="Q25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P2-07,P2,Differentiators,UI/Brand,Belfort Advisory theming + layout polish,Apply brand palette (#e8b373, #907054, #011E3D) and typography (Spartan headings, Montserrat body). Improve spacing, focus states, accessibility contrast.,Professional polish increases trust and conversion.,Improves usability and reduces perceived prototype feel.,assessment.html CSS + shared styles,None,None,Update CSS + ensure responsive behavior,All pages reflect brand; no contrast/accessibility regressions; feels enterprise-grade.,None,S,Keep a theme file to avoid editing many pages.</v>
      </c>
      <c r="R25" t="s">
        <v>381</v>
      </c>
    </row>
    <row r="26" spans="1:18" ht="32" x14ac:dyDescent="0.2">
      <c r="A26" s="2" t="s">
        <v>309</v>
      </c>
      <c r="B26" s="2" t="s">
        <v>227</v>
      </c>
      <c r="C26" s="2" t="s">
        <v>228</v>
      </c>
      <c r="D26" s="2" t="s">
        <v>310</v>
      </c>
      <c r="E26" s="2" t="s">
        <v>311</v>
      </c>
      <c r="F26" s="2" t="s">
        <v>312</v>
      </c>
      <c r="G26" s="2" t="s">
        <v>313</v>
      </c>
      <c r="H26" s="2" t="s">
        <v>314</v>
      </c>
      <c r="I26" s="2" t="s">
        <v>315</v>
      </c>
      <c r="J26" s="2" t="s">
        <v>25</v>
      </c>
      <c r="K26" s="2" t="s">
        <v>25</v>
      </c>
      <c r="L26" s="2" t="s">
        <v>316</v>
      </c>
      <c r="M26" s="2" t="s">
        <v>317</v>
      </c>
      <c r="N26" s="2" t="s">
        <v>16</v>
      </c>
      <c r="O26" s="2" t="s">
        <v>68</v>
      </c>
      <c r="P26" s="2" t="s">
        <v>318</v>
      </c>
      <c r="Q26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P2-08,P2,Differentiators,UI/Controls,Sidebar collapsible/stretchable,Add collapse button, width drag handle, remember preference in localStorage.,Supports different workflows (review vs answering).,Improves layout flexibility and mobile usability.,assessment.html,None,None,UI controls added,Sidebar can collapse and resize without breaking content; preference persists.,P0-01,S,Combine with role view navigation.</v>
      </c>
      <c r="R26" t="s">
        <v>381</v>
      </c>
    </row>
    <row r="27" spans="1:18" ht="48" x14ac:dyDescent="0.2">
      <c r="A27" s="2" t="s">
        <v>319</v>
      </c>
      <c r="B27" s="2" t="s">
        <v>227</v>
      </c>
      <c r="C27" s="2" t="s">
        <v>228</v>
      </c>
      <c r="D27" s="2" t="s">
        <v>320</v>
      </c>
      <c r="E27" s="2" t="s">
        <v>321</v>
      </c>
      <c r="F27" s="2" t="s">
        <v>322</v>
      </c>
      <c r="G27" s="2" t="s">
        <v>323</v>
      </c>
      <c r="H27" s="2" t="s">
        <v>324</v>
      </c>
      <c r="I27" s="2" t="s">
        <v>325</v>
      </c>
      <c r="J27" s="2" t="s">
        <v>25</v>
      </c>
      <c r="K27" s="2" t="s">
        <v>326</v>
      </c>
      <c r="L27" s="2" t="s">
        <v>327</v>
      </c>
      <c r="M27" s="2" t="s">
        <v>328</v>
      </c>
      <c r="N27" s="2" t="s">
        <v>32</v>
      </c>
      <c r="O27" s="2" t="s">
        <v>30</v>
      </c>
      <c r="P27" s="2" t="s">
        <v>329</v>
      </c>
      <c r="Q27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P2-09,P2,Differentiators,UI/Review,Overview table page (domain x questions x answers),Create a review page with a large table: question, selected answer, evidence confidence, marked/deferred flags, domain/axis tags. Export CSV.,Auditors love this; speeds internal review and sign-off.,Provides a deterministic artifact and reduces UI navigation complexity.,assessment.html new tab + API endpoint to fetch table view,None,GET /responses/table/{assessment_id},New tab: Review Table,Table renders quickly and matches DB state; can export.,P0-02,M,Later: add filters by role/domain/flag.</v>
      </c>
      <c r="R27" t="s">
        <v>381</v>
      </c>
    </row>
    <row r="28" spans="1:18" ht="48" x14ac:dyDescent="0.2">
      <c r="A28" s="2" t="s">
        <v>330</v>
      </c>
      <c r="B28" s="2" t="s">
        <v>331</v>
      </c>
      <c r="C28" s="2" t="s">
        <v>332</v>
      </c>
      <c r="D28" s="2" t="s">
        <v>333</v>
      </c>
      <c r="E28" s="2" t="s">
        <v>334</v>
      </c>
      <c r="F28" s="2" t="s">
        <v>335</v>
      </c>
      <c r="G28" s="2" t="s">
        <v>336</v>
      </c>
      <c r="H28" s="2" t="s">
        <v>337</v>
      </c>
      <c r="I28" s="2" t="s">
        <v>338</v>
      </c>
      <c r="J28" s="2" t="s">
        <v>339</v>
      </c>
      <c r="K28" s="2" t="s">
        <v>340</v>
      </c>
      <c r="L28" s="2" t="s">
        <v>341</v>
      </c>
      <c r="M28" s="2" t="s">
        <v>342</v>
      </c>
      <c r="N28" s="2" t="s">
        <v>57</v>
      </c>
      <c r="O28" s="2" t="s">
        <v>154</v>
      </c>
      <c r="P28" s="2" t="s">
        <v>343</v>
      </c>
      <c r="Q28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P3-01,P3,Scale,Auth/Multi-tenancy,Tenant isolation + RBAC + production auth,Introduce tenant table, tenant_key, RBAC (CISO/IA/HR). Replace dev auth with JWT/OIDC later. Add audit logs and revocation for assessment keys.,Required for real enterprise deployment and commercial sales.,Prevents cross-tenant leakage; supports multiple stakeholders.,auth.py, models.py, repositories/services, DB migrations,Add tenant_id to all fact tables; user table; audit log table,Auth endpoints + middleware,Login flow + org workspace,All data isolated by tenant; keys cannot access other tenants; RBAC enforced.,P0-04,L,Keep dev bypass for local dev only.</v>
      </c>
      <c r="R28" t="s">
        <v>381</v>
      </c>
    </row>
    <row r="29" spans="1:18" ht="48" x14ac:dyDescent="0.2">
      <c r="A29" s="2" t="s">
        <v>344</v>
      </c>
      <c r="B29" s="2" t="s">
        <v>331</v>
      </c>
      <c r="C29" s="2" t="s">
        <v>332</v>
      </c>
      <c r="D29" s="2" t="s">
        <v>345</v>
      </c>
      <c r="E29" s="2" t="s">
        <v>346</v>
      </c>
      <c r="F29" s="2" t="s">
        <v>347</v>
      </c>
      <c r="G29" s="2" t="s">
        <v>348</v>
      </c>
      <c r="H29" s="2" t="s">
        <v>349</v>
      </c>
      <c r="I29" s="2" t="s">
        <v>350</v>
      </c>
      <c r="J29" s="2" t="s">
        <v>351</v>
      </c>
      <c r="K29" s="2" t="s">
        <v>25</v>
      </c>
      <c r="L29" s="2" t="s">
        <v>25</v>
      </c>
      <c r="M29" s="2" t="s">
        <v>352</v>
      </c>
      <c r="N29" s="2" t="s">
        <v>353</v>
      </c>
      <c r="O29" s="2" t="s">
        <v>154</v>
      </c>
      <c r="P29" s="2" t="s">
        <v>354</v>
      </c>
      <c r="Q29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P3-02,P3,Scale,Ops,Migrations + tests + feature flags,Adopt Alembic migrations; add golden tests for archetypes, scoring invariants, branching. Introduce feature flags for new engines.,Allows safe evolution without breaking pilots; supports regulated buyers.,Prevents schema drift and regression.,alembic/, tests.py, CI pipeline,Migration scripts,None,None,Fresh DB bootstrap succeeds; tests cover core logic; scoring changes are gated.,Stable milestone of P1,L,Also helps manage question-bank version upgrades.</v>
      </c>
      <c r="R29" t="s">
        <v>381</v>
      </c>
    </row>
    <row r="30" spans="1:18" ht="48" x14ac:dyDescent="0.2">
      <c r="A30" s="2" t="s">
        <v>355</v>
      </c>
      <c r="B30" s="2" t="s">
        <v>331</v>
      </c>
      <c r="C30" s="2" t="s">
        <v>332</v>
      </c>
      <c r="D30" s="2" t="s">
        <v>356</v>
      </c>
      <c r="E30" s="2" t="s">
        <v>357</v>
      </c>
      <c r="F30" s="2" t="s">
        <v>358</v>
      </c>
      <c r="G30" s="2" t="s">
        <v>359</v>
      </c>
      <c r="H30" s="2" t="s">
        <v>360</v>
      </c>
      <c r="I30" s="2" t="s">
        <v>361</v>
      </c>
      <c r="J30" s="2" t="s">
        <v>362</v>
      </c>
      <c r="K30" s="2" t="s">
        <v>363</v>
      </c>
      <c r="L30" s="2" t="s">
        <v>364</v>
      </c>
      <c r="M30" s="2" t="s">
        <v>365</v>
      </c>
      <c r="N30" s="2" t="s">
        <v>156</v>
      </c>
      <c r="O30" s="2" t="s">
        <v>154</v>
      </c>
      <c r="P30" s="2" t="s">
        <v>366</v>
      </c>
      <c r="Q30" s="2" t="str">
        <f>IRMMF_ActionPlan[[#This Row],[ID]]&amp;","&amp;IRMMF_ActionPlan[[#This Row],[Priority]]&amp;","&amp;IRMMF_ActionPlan[[#This Row],[Phase]]&amp;","&amp;IRMMF_ActionPlan[[#This Row],[Workstream]]&amp;","&amp;IRMMF_ActionPlan[[#This Row],[Deliverable]]&amp;","&amp;IRMMF_ActionPlan[[#This Row],[What to do (detailed)]]&amp;","&amp;IRMMF_ActionPlan[[#This Row],[Why (business)]]&amp;","&amp;IRMMF_ActionPlan[[#This Row],[Why (technical)]]&amp;","&amp;IRMMF_ActionPlan[[#This Row],[Where (files/modules)]]&amp;","&amp;IRMMF_ActionPlan[[#This Row],[Data/Schema changes]]&amp;","&amp;IRMMF_ActionPlan[[#This Row],[API changes]]&amp;","&amp;IRMMF_ActionPlan[[#This Row],[UI changes]]&amp;","&amp;IRMMF_ActionPlan[[#This Row],[Acceptance criteria (definition of done)]]&amp;","&amp;IRMMF_ActionPlan[[#This Row],[Dependencies]]&amp;","&amp;IRMMF_ActionPlan[[#This Row],[Effort (S/M/L)]]&amp;","&amp;IRMMF_ActionPlan[[#This Row],[Notes]]</f>
        <v>P3-03,P3,Scale,Reporting,Immutable snapshots + report generation pipeline,Finalize snapshot model: store bank hash, engine version, results JSON, recs, AI narrative. Add PDF/slide export later.,Board-ready artifacts drive program funding and advisory engagement.,Ensures results are reproducible even when bank updates.,models.py report_snapshots, services.py, export module,report_snapshots JSONB fields,POST /reports/generate, GET /reports/{id},Download buttons in UI,Report exports match snapshot exactly; changing bank doesn't change old reports.,P1-03,L,Start with HTML export, then PDF.</v>
      </c>
      <c r="R30" t="s">
        <v>381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3" t="s">
        <v>367</v>
      </c>
    </row>
    <row r="3" spans="1:1" x14ac:dyDescent="0.2">
      <c r="A3" t="s">
        <v>368</v>
      </c>
    </row>
    <row r="5" spans="1:1" ht="16" x14ac:dyDescent="0.2">
      <c r="A5" s="2" t="s">
        <v>369</v>
      </c>
    </row>
    <row r="6" spans="1:1" ht="16" x14ac:dyDescent="0.2">
      <c r="A6" s="2" t="s">
        <v>370</v>
      </c>
    </row>
    <row r="7" spans="1:1" ht="16" x14ac:dyDescent="0.2">
      <c r="A7" s="2" t="s">
        <v>371</v>
      </c>
    </row>
    <row r="8" spans="1:1" ht="16" x14ac:dyDescent="0.2">
      <c r="A8" s="2" t="s">
        <v>372</v>
      </c>
    </row>
    <row r="9" spans="1:1" x14ac:dyDescent="0.2">
      <c r="A9" s="2"/>
    </row>
    <row r="10" spans="1:1" ht="16" x14ac:dyDescent="0.2">
      <c r="A10" s="2" t="s">
        <v>373</v>
      </c>
    </row>
    <row r="11" spans="1:1" ht="16" x14ac:dyDescent="0.2">
      <c r="A11" s="2" t="s">
        <v>374</v>
      </c>
    </row>
    <row r="12" spans="1:1" ht="16" x14ac:dyDescent="0.2">
      <c r="A12" s="2" t="s">
        <v>375</v>
      </c>
    </row>
    <row r="13" spans="1:1" ht="16" x14ac:dyDescent="0.2">
      <c r="A13" s="2" t="s">
        <v>376</v>
      </c>
    </row>
    <row r="14" spans="1:1" ht="16" x14ac:dyDescent="0.2">
      <c r="A14" s="2" t="s">
        <v>377</v>
      </c>
    </row>
    <row r="15" spans="1:1" ht="16" x14ac:dyDescent="0.2">
      <c r="A15" s="2" t="s">
        <v>378</v>
      </c>
    </row>
    <row r="16" spans="1:1" ht="16" x14ac:dyDescent="0.2">
      <c r="A16" s="2" t="s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 Plan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Mareen</cp:lastModifiedBy>
  <dcterms:created xsi:type="dcterms:W3CDTF">2026-01-11T16:09:50Z</dcterms:created>
  <dcterms:modified xsi:type="dcterms:W3CDTF">2026-01-11T16:51:00Z</dcterms:modified>
</cp:coreProperties>
</file>